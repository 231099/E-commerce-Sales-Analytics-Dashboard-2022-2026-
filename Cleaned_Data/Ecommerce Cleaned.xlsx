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E-Commerce\"/>
    </mc:Choice>
  </mc:AlternateContent>
  <bookViews>
    <workbookView xWindow="0" yWindow="0" windowWidth="19368" windowHeight="9720" activeTab="2"/>
  </bookViews>
  <sheets>
    <sheet name="Cleaned Data" sheetId="1" r:id="rId1"/>
    <sheet name="Pivot Tables" sheetId="2" r:id="rId2"/>
    <sheet name="Dashboard" sheetId="3" r:id="rId3"/>
  </sheets>
  <definedNames>
    <definedName name="Slicer_Month">#N/A</definedName>
    <definedName name="Slicer_product_category">#N/A</definedName>
    <definedName name="Slicer_region">#N/A</definedName>
    <definedName name="Slicer_Year">#N/A</definedName>
  </definedNames>
  <calcPr calcId="162913"/>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P1674" i="1" l="1"/>
  <c r="O1674" i="1"/>
  <c r="N1674" i="1"/>
  <c r="M1674" i="1"/>
  <c r="P1673" i="1"/>
  <c r="O1673" i="1"/>
  <c r="N1673" i="1"/>
  <c r="M1673" i="1"/>
  <c r="P1672" i="1"/>
  <c r="O1672" i="1"/>
  <c r="N1672" i="1"/>
  <c r="M1672" i="1"/>
  <c r="P1671" i="1"/>
  <c r="O1671" i="1"/>
  <c r="N1671" i="1"/>
  <c r="M1671" i="1"/>
  <c r="P1670" i="1"/>
  <c r="O1670" i="1"/>
  <c r="N1670" i="1"/>
  <c r="M1670" i="1"/>
  <c r="P1669" i="1"/>
  <c r="O1669" i="1"/>
  <c r="N1669" i="1"/>
  <c r="M1669" i="1"/>
  <c r="P1668" i="1"/>
  <c r="O1668" i="1"/>
  <c r="N1668" i="1"/>
  <c r="M1668" i="1"/>
  <c r="P1667" i="1"/>
  <c r="O1667" i="1"/>
  <c r="N1667" i="1"/>
  <c r="M1667" i="1"/>
  <c r="P1666" i="1"/>
  <c r="O1666" i="1"/>
  <c r="N1666" i="1"/>
  <c r="M1666" i="1"/>
  <c r="P1665" i="1"/>
  <c r="O1665" i="1"/>
  <c r="N1665" i="1"/>
  <c r="M1665" i="1"/>
  <c r="P1664" i="1"/>
  <c r="O1664" i="1"/>
  <c r="N1664" i="1"/>
  <c r="M1664" i="1"/>
  <c r="P1663" i="1"/>
  <c r="O1663" i="1"/>
  <c r="N1663" i="1"/>
  <c r="M1663" i="1"/>
  <c r="P1662" i="1"/>
  <c r="O1662" i="1"/>
  <c r="N1662" i="1"/>
  <c r="M1662" i="1"/>
  <c r="P1661" i="1"/>
  <c r="O1661" i="1"/>
  <c r="N1661" i="1"/>
  <c r="M1661" i="1"/>
  <c r="P1660" i="1"/>
  <c r="O1660" i="1"/>
  <c r="N1660" i="1"/>
  <c r="M1660" i="1"/>
  <c r="P1659" i="1"/>
  <c r="O1659" i="1"/>
  <c r="N1659" i="1"/>
  <c r="M1659" i="1"/>
  <c r="P1658" i="1"/>
  <c r="O1658" i="1"/>
  <c r="N1658" i="1"/>
  <c r="M1658" i="1"/>
  <c r="P1657" i="1"/>
  <c r="O1657" i="1"/>
  <c r="N1657" i="1"/>
  <c r="M1657" i="1"/>
  <c r="P1656" i="1"/>
  <c r="O1656" i="1"/>
  <c r="N1656" i="1"/>
  <c r="M1656" i="1"/>
  <c r="P1655" i="1"/>
  <c r="O1655" i="1"/>
  <c r="N1655" i="1"/>
  <c r="M1655" i="1"/>
  <c r="P1654" i="1"/>
  <c r="O1654" i="1"/>
  <c r="N1654" i="1"/>
  <c r="M1654" i="1"/>
  <c r="P1653" i="1"/>
  <c r="O1653" i="1"/>
  <c r="N1653" i="1"/>
  <c r="M1653" i="1"/>
  <c r="P1652" i="1"/>
  <c r="O1652" i="1"/>
  <c r="N1652" i="1"/>
  <c r="M1652" i="1"/>
  <c r="P1651" i="1"/>
  <c r="O1651" i="1"/>
  <c r="N1651" i="1"/>
  <c r="M1651" i="1"/>
  <c r="P1650" i="1"/>
  <c r="O1650" i="1"/>
  <c r="N1650" i="1"/>
  <c r="M1650" i="1"/>
  <c r="P1649" i="1"/>
  <c r="O1649" i="1"/>
  <c r="N1649" i="1"/>
  <c r="M1649" i="1"/>
  <c r="P1648" i="1"/>
  <c r="O1648" i="1"/>
  <c r="N1648" i="1"/>
  <c r="M1648" i="1"/>
  <c r="P1647" i="1"/>
  <c r="O1647" i="1"/>
  <c r="N1647" i="1"/>
  <c r="M1647" i="1"/>
  <c r="P1646" i="1"/>
  <c r="O1646" i="1"/>
  <c r="N1646" i="1"/>
  <c r="M1646" i="1"/>
  <c r="P1645" i="1"/>
  <c r="O1645" i="1"/>
  <c r="N1645" i="1"/>
  <c r="M1645" i="1"/>
  <c r="P1644" i="1"/>
  <c r="O1644" i="1"/>
  <c r="N1644" i="1"/>
  <c r="M1644" i="1"/>
  <c r="P1643" i="1"/>
  <c r="O1643" i="1"/>
  <c r="N1643" i="1"/>
  <c r="M1643" i="1"/>
  <c r="P1642" i="1"/>
  <c r="O1642" i="1"/>
  <c r="N1642" i="1"/>
  <c r="M1642" i="1"/>
  <c r="P1641" i="1"/>
  <c r="O1641" i="1"/>
  <c r="N1641" i="1"/>
  <c r="M1641" i="1"/>
  <c r="P1640" i="1"/>
  <c r="O1640" i="1"/>
  <c r="N1640" i="1"/>
  <c r="M1640" i="1"/>
  <c r="P1639" i="1"/>
  <c r="O1639" i="1"/>
  <c r="N1639" i="1"/>
  <c r="M1639" i="1"/>
  <c r="P1638" i="1"/>
  <c r="O1638" i="1"/>
  <c r="N1638" i="1"/>
  <c r="M1638" i="1"/>
  <c r="P1637" i="1"/>
  <c r="O1637" i="1"/>
  <c r="N1637" i="1"/>
  <c r="M1637" i="1"/>
  <c r="P1636" i="1"/>
  <c r="O1636" i="1"/>
  <c r="N1636" i="1"/>
  <c r="M1636" i="1"/>
  <c r="P1635" i="1"/>
  <c r="O1635" i="1"/>
  <c r="N1635" i="1"/>
  <c r="M1635" i="1"/>
  <c r="P1634" i="1"/>
  <c r="O1634" i="1"/>
  <c r="N1634" i="1"/>
  <c r="M1634" i="1"/>
  <c r="P1633" i="1"/>
  <c r="O1633" i="1"/>
  <c r="N1633" i="1"/>
  <c r="M1633" i="1"/>
  <c r="P1632" i="1"/>
  <c r="O1632" i="1"/>
  <c r="N1632" i="1"/>
  <c r="M1632" i="1"/>
  <c r="P1631" i="1"/>
  <c r="O1631" i="1"/>
  <c r="N1631" i="1"/>
  <c r="M1631" i="1"/>
  <c r="P1630" i="1"/>
  <c r="O1630" i="1"/>
  <c r="N1630" i="1"/>
  <c r="M1630" i="1"/>
  <c r="P1629" i="1"/>
  <c r="O1629" i="1"/>
  <c r="N1629" i="1"/>
  <c r="M1629" i="1"/>
  <c r="P1628" i="1"/>
  <c r="O1628" i="1"/>
  <c r="N1628" i="1"/>
  <c r="M1628" i="1"/>
  <c r="P1627" i="1"/>
  <c r="O1627" i="1"/>
  <c r="N1627" i="1"/>
  <c r="M1627" i="1"/>
  <c r="P1626" i="1"/>
  <c r="O1626" i="1"/>
  <c r="N1626" i="1"/>
  <c r="M1626" i="1"/>
  <c r="P1625" i="1"/>
  <c r="O1625" i="1"/>
  <c r="N1625" i="1"/>
  <c r="M1625" i="1"/>
  <c r="P1624" i="1"/>
  <c r="O1624" i="1"/>
  <c r="N1624" i="1"/>
  <c r="M1624" i="1"/>
  <c r="P1623" i="1"/>
  <c r="O1623" i="1"/>
  <c r="N1623" i="1"/>
  <c r="M1623" i="1"/>
  <c r="P1622" i="1"/>
  <c r="O1622" i="1"/>
  <c r="N1622" i="1"/>
  <c r="M1622" i="1"/>
  <c r="P1621" i="1"/>
  <c r="O1621" i="1"/>
  <c r="N1621" i="1"/>
  <c r="M1621" i="1"/>
  <c r="P1620" i="1"/>
  <c r="O1620" i="1"/>
  <c r="N1620" i="1"/>
  <c r="M1620" i="1"/>
  <c r="P1619" i="1"/>
  <c r="O1619" i="1"/>
  <c r="N1619" i="1"/>
  <c r="M1619" i="1"/>
  <c r="P1618" i="1"/>
  <c r="O1618" i="1"/>
  <c r="N1618" i="1"/>
  <c r="M1618" i="1"/>
  <c r="P1617" i="1"/>
  <c r="O1617" i="1"/>
  <c r="N1617" i="1"/>
  <c r="M1617" i="1"/>
  <c r="P1616" i="1"/>
  <c r="O1616" i="1"/>
  <c r="N1616" i="1"/>
  <c r="M1616" i="1"/>
  <c r="P1615" i="1"/>
  <c r="O1615" i="1"/>
  <c r="N1615" i="1"/>
  <c r="M1615" i="1"/>
  <c r="P1614" i="1"/>
  <c r="O1614" i="1"/>
  <c r="N1614" i="1"/>
  <c r="M1614" i="1"/>
  <c r="P1613" i="1"/>
  <c r="O1613" i="1"/>
  <c r="N1613" i="1"/>
  <c r="M1613" i="1"/>
  <c r="P1612" i="1"/>
  <c r="O1612" i="1"/>
  <c r="N1612" i="1"/>
  <c r="M1612" i="1"/>
  <c r="P1611" i="1"/>
  <c r="O1611" i="1"/>
  <c r="N1611" i="1"/>
  <c r="M1611" i="1"/>
  <c r="P1610" i="1"/>
  <c r="O1610" i="1"/>
  <c r="N1610" i="1"/>
  <c r="M1610" i="1"/>
  <c r="P1609" i="1"/>
  <c r="O1609" i="1"/>
  <c r="N1609" i="1"/>
  <c r="M1609" i="1"/>
  <c r="P1608" i="1"/>
  <c r="O1608" i="1"/>
  <c r="N1608" i="1"/>
  <c r="M1608" i="1"/>
  <c r="P1607" i="1"/>
  <c r="O1607" i="1"/>
  <c r="N1607" i="1"/>
  <c r="M1607" i="1"/>
  <c r="P1606" i="1"/>
  <c r="O1606" i="1"/>
  <c r="N1606" i="1"/>
  <c r="M1606" i="1"/>
  <c r="P1605" i="1"/>
  <c r="O1605" i="1"/>
  <c r="N1605" i="1"/>
  <c r="M1605" i="1"/>
  <c r="P1604" i="1"/>
  <c r="O1604" i="1"/>
  <c r="N1604" i="1"/>
  <c r="M1604" i="1"/>
  <c r="P1603" i="1"/>
  <c r="O1603" i="1"/>
  <c r="N1603" i="1"/>
  <c r="M1603" i="1"/>
  <c r="P1602" i="1"/>
  <c r="O1602" i="1"/>
  <c r="N1602" i="1"/>
  <c r="M1602" i="1"/>
  <c r="P1601" i="1"/>
  <c r="O1601" i="1"/>
  <c r="N1601" i="1"/>
  <c r="M1601" i="1"/>
  <c r="P1600" i="1"/>
  <c r="O1600" i="1"/>
  <c r="N1600" i="1"/>
  <c r="M1600" i="1"/>
  <c r="P1599" i="1"/>
  <c r="O1599" i="1"/>
  <c r="N1599" i="1"/>
  <c r="M1599" i="1"/>
  <c r="P1598" i="1"/>
  <c r="O1598" i="1"/>
  <c r="N1598" i="1"/>
  <c r="M1598" i="1"/>
  <c r="P1597" i="1"/>
  <c r="O1597" i="1"/>
  <c r="N1597" i="1"/>
  <c r="M1597" i="1"/>
  <c r="P1596" i="1"/>
  <c r="O1596" i="1"/>
  <c r="N1596" i="1"/>
  <c r="M1596" i="1"/>
  <c r="P1595" i="1"/>
  <c r="O1595" i="1"/>
  <c r="N1595" i="1"/>
  <c r="M1595" i="1"/>
  <c r="P1594" i="1"/>
  <c r="O1594" i="1"/>
  <c r="N1594" i="1"/>
  <c r="M1594" i="1"/>
  <c r="P1593" i="1"/>
  <c r="O1593" i="1"/>
  <c r="N1593" i="1"/>
  <c r="M1593" i="1"/>
  <c r="P1592" i="1"/>
  <c r="O1592" i="1"/>
  <c r="N1592" i="1"/>
  <c r="M1592" i="1"/>
  <c r="P1591" i="1"/>
  <c r="O1591" i="1"/>
  <c r="N1591" i="1"/>
  <c r="M1591" i="1"/>
  <c r="P1590" i="1"/>
  <c r="O1590" i="1"/>
  <c r="N1590" i="1"/>
  <c r="M1590" i="1"/>
  <c r="P1589" i="1"/>
  <c r="O1589" i="1"/>
  <c r="N1589" i="1"/>
  <c r="M1589" i="1"/>
  <c r="P1588" i="1"/>
  <c r="O1588" i="1"/>
  <c r="N1588" i="1"/>
  <c r="M1588" i="1"/>
  <c r="P1587" i="1"/>
  <c r="O1587" i="1"/>
  <c r="N1587" i="1"/>
  <c r="M1587" i="1"/>
  <c r="P1586" i="1"/>
  <c r="O1586" i="1"/>
  <c r="N1586" i="1"/>
  <c r="M1586" i="1"/>
  <c r="P1585" i="1"/>
  <c r="O1585" i="1"/>
  <c r="N1585" i="1"/>
  <c r="M1585" i="1"/>
  <c r="P1584" i="1"/>
  <c r="O1584" i="1"/>
  <c r="N1584" i="1"/>
  <c r="M1584" i="1"/>
  <c r="P1583" i="1"/>
  <c r="O1583" i="1"/>
  <c r="N1583" i="1"/>
  <c r="M1583" i="1"/>
  <c r="P1582" i="1"/>
  <c r="O1582" i="1"/>
  <c r="N1582" i="1"/>
  <c r="M1582" i="1"/>
  <c r="P1581" i="1"/>
  <c r="O1581" i="1"/>
  <c r="N1581" i="1"/>
  <c r="M1581" i="1"/>
  <c r="P1580" i="1"/>
  <c r="O1580" i="1"/>
  <c r="N1580" i="1"/>
  <c r="M1580" i="1"/>
  <c r="P1579" i="1"/>
  <c r="O1579" i="1"/>
  <c r="N1579" i="1"/>
  <c r="M1579" i="1"/>
  <c r="P1578" i="1"/>
  <c r="O1578" i="1"/>
  <c r="N1578" i="1"/>
  <c r="M1578" i="1"/>
  <c r="P1577" i="1"/>
  <c r="O1577" i="1"/>
  <c r="N1577" i="1"/>
  <c r="M1577" i="1"/>
  <c r="P1576" i="1"/>
  <c r="O1576" i="1"/>
  <c r="N1576" i="1"/>
  <c r="M1576" i="1"/>
  <c r="P1575" i="1"/>
  <c r="O1575" i="1"/>
  <c r="N1575" i="1"/>
  <c r="M1575" i="1"/>
  <c r="P1574" i="1"/>
  <c r="O1574" i="1"/>
  <c r="N1574" i="1"/>
  <c r="M1574" i="1"/>
  <c r="P1573" i="1"/>
  <c r="O1573" i="1"/>
  <c r="N1573" i="1"/>
  <c r="M1573" i="1"/>
  <c r="P1572" i="1"/>
  <c r="O1572" i="1"/>
  <c r="N1572" i="1"/>
  <c r="M1572" i="1"/>
  <c r="P1571" i="1"/>
  <c r="O1571" i="1"/>
  <c r="N1571" i="1"/>
  <c r="M1571" i="1"/>
  <c r="P1570" i="1"/>
  <c r="O1570" i="1"/>
  <c r="N1570" i="1"/>
  <c r="M1570" i="1"/>
  <c r="P1569" i="1"/>
  <c r="O1569" i="1"/>
  <c r="N1569" i="1"/>
  <c r="M1569" i="1"/>
  <c r="P1568" i="1"/>
  <c r="O1568" i="1"/>
  <c r="N1568" i="1"/>
  <c r="M1568" i="1"/>
  <c r="P1567" i="1"/>
  <c r="O1567" i="1"/>
  <c r="N1567" i="1"/>
  <c r="M1567" i="1"/>
  <c r="P1566" i="1"/>
  <c r="O1566" i="1"/>
  <c r="N1566" i="1"/>
  <c r="M1566" i="1"/>
  <c r="P1565" i="1"/>
  <c r="O1565" i="1"/>
  <c r="N1565" i="1"/>
  <c r="M1565" i="1"/>
  <c r="P1564" i="1"/>
  <c r="O1564" i="1"/>
  <c r="N1564" i="1"/>
  <c r="M1564" i="1"/>
  <c r="P1563" i="1"/>
  <c r="O1563" i="1"/>
  <c r="N1563" i="1"/>
  <c r="M1563" i="1"/>
  <c r="P1562" i="1"/>
  <c r="O1562" i="1"/>
  <c r="N1562" i="1"/>
  <c r="M1562" i="1"/>
  <c r="P1561" i="1"/>
  <c r="O1561" i="1"/>
  <c r="N1561" i="1"/>
  <c r="M1561" i="1"/>
  <c r="P1560" i="1"/>
  <c r="O1560" i="1"/>
  <c r="N1560" i="1"/>
  <c r="M1560" i="1"/>
  <c r="P1559" i="1"/>
  <c r="O1559" i="1"/>
  <c r="N1559" i="1"/>
  <c r="M1559" i="1"/>
  <c r="P1558" i="1"/>
  <c r="O1558" i="1"/>
  <c r="N1558" i="1"/>
  <c r="M1558" i="1"/>
  <c r="P1557" i="1"/>
  <c r="O1557" i="1"/>
  <c r="N1557" i="1"/>
  <c r="M1557" i="1"/>
  <c r="P1556" i="1"/>
  <c r="O1556" i="1"/>
  <c r="N1556" i="1"/>
  <c r="M1556" i="1"/>
  <c r="P1555" i="1"/>
  <c r="O1555" i="1"/>
  <c r="N1555" i="1"/>
  <c r="M1555" i="1"/>
  <c r="P1554" i="1"/>
  <c r="O1554" i="1"/>
  <c r="N1554" i="1"/>
  <c r="M1554" i="1"/>
  <c r="P1553" i="1"/>
  <c r="O1553" i="1"/>
  <c r="N1553" i="1"/>
  <c r="M1553" i="1"/>
  <c r="P1552" i="1"/>
  <c r="O1552" i="1"/>
  <c r="N1552" i="1"/>
  <c r="M1552" i="1"/>
  <c r="P1551" i="1"/>
  <c r="O1551" i="1"/>
  <c r="N1551" i="1"/>
  <c r="M1551" i="1"/>
  <c r="P1550" i="1"/>
  <c r="O1550" i="1"/>
  <c r="N1550" i="1"/>
  <c r="M1550" i="1"/>
  <c r="P1549" i="1"/>
  <c r="O1549" i="1"/>
  <c r="N1549" i="1"/>
  <c r="M1549" i="1"/>
  <c r="P1548" i="1"/>
  <c r="O1548" i="1"/>
  <c r="N1548" i="1"/>
  <c r="M1548" i="1"/>
  <c r="P1547" i="1"/>
  <c r="O1547" i="1"/>
  <c r="N1547" i="1"/>
  <c r="M1547" i="1"/>
  <c r="P1546" i="1"/>
  <c r="O1546" i="1"/>
  <c r="N1546" i="1"/>
  <c r="M1546" i="1"/>
  <c r="P1545" i="1"/>
  <c r="O1545" i="1"/>
  <c r="N1545" i="1"/>
  <c r="M1545" i="1"/>
  <c r="P1544" i="1"/>
  <c r="O1544" i="1"/>
  <c r="N1544" i="1"/>
  <c r="M1544" i="1"/>
  <c r="P1543" i="1"/>
  <c r="O1543" i="1"/>
  <c r="N1543" i="1"/>
  <c r="M1543" i="1"/>
  <c r="P1542" i="1"/>
  <c r="O1542" i="1"/>
  <c r="N1542" i="1"/>
  <c r="M1542" i="1"/>
  <c r="P1541" i="1"/>
  <c r="O1541" i="1"/>
  <c r="N1541" i="1"/>
  <c r="M1541" i="1"/>
  <c r="P1540" i="1"/>
  <c r="O1540" i="1"/>
  <c r="N1540" i="1"/>
  <c r="M1540" i="1"/>
  <c r="P1539" i="1"/>
  <c r="O1539" i="1"/>
  <c r="N1539" i="1"/>
  <c r="M1539" i="1"/>
  <c r="P1538" i="1"/>
  <c r="O1538" i="1"/>
  <c r="N1538" i="1"/>
  <c r="M1538" i="1"/>
  <c r="P1537" i="1"/>
  <c r="O1537" i="1"/>
  <c r="N1537" i="1"/>
  <c r="M1537" i="1"/>
  <c r="P1536" i="1"/>
  <c r="O1536" i="1"/>
  <c r="N1536" i="1"/>
  <c r="M1536" i="1"/>
  <c r="P1535" i="1"/>
  <c r="O1535" i="1"/>
  <c r="N1535" i="1"/>
  <c r="M1535" i="1"/>
  <c r="P1534" i="1"/>
  <c r="O1534" i="1"/>
  <c r="N1534" i="1"/>
  <c r="M1534" i="1"/>
  <c r="P1533" i="1"/>
  <c r="O1533" i="1"/>
  <c r="N1533" i="1"/>
  <c r="M1533" i="1"/>
  <c r="P1532" i="1"/>
  <c r="O1532" i="1"/>
  <c r="N1532" i="1"/>
  <c r="M1532" i="1"/>
  <c r="P1531" i="1"/>
  <c r="O1531" i="1"/>
  <c r="N1531" i="1"/>
  <c r="M1531" i="1"/>
  <c r="P1530" i="1"/>
  <c r="O1530" i="1"/>
  <c r="N1530" i="1"/>
  <c r="M1530" i="1"/>
  <c r="P1529" i="1"/>
  <c r="O1529" i="1"/>
  <c r="N1529" i="1"/>
  <c r="M1529" i="1"/>
  <c r="P1528" i="1"/>
  <c r="O1528" i="1"/>
  <c r="N1528" i="1"/>
  <c r="M1528" i="1"/>
  <c r="P1527" i="1"/>
  <c r="O1527" i="1"/>
  <c r="N1527" i="1"/>
  <c r="M1527" i="1"/>
  <c r="P1526" i="1"/>
  <c r="O1526" i="1"/>
  <c r="N1526" i="1"/>
  <c r="M1526" i="1"/>
  <c r="P1525" i="1"/>
  <c r="O1525" i="1"/>
  <c r="N1525" i="1"/>
  <c r="M1525" i="1"/>
  <c r="P1524" i="1"/>
  <c r="O1524" i="1"/>
  <c r="N1524" i="1"/>
  <c r="M1524" i="1"/>
  <c r="P1523" i="1"/>
  <c r="O1523" i="1"/>
  <c r="N1523" i="1"/>
  <c r="M1523" i="1"/>
  <c r="P1522" i="1"/>
  <c r="O1522" i="1"/>
  <c r="N1522" i="1"/>
  <c r="M1522" i="1"/>
  <c r="P1521" i="1"/>
  <c r="O1521" i="1"/>
  <c r="N1521" i="1"/>
  <c r="M1521" i="1"/>
  <c r="P1520" i="1"/>
  <c r="O1520" i="1"/>
  <c r="N1520" i="1"/>
  <c r="M1520" i="1"/>
  <c r="P1519" i="1"/>
  <c r="O1519" i="1"/>
  <c r="N1519" i="1"/>
  <c r="M1519" i="1"/>
  <c r="P1518" i="1"/>
  <c r="O1518" i="1"/>
  <c r="N1518" i="1"/>
  <c r="M1518" i="1"/>
  <c r="P1517" i="1"/>
  <c r="O1517" i="1"/>
  <c r="N1517" i="1"/>
  <c r="M1517" i="1"/>
  <c r="P1516" i="1"/>
  <c r="O1516" i="1"/>
  <c r="N1516" i="1"/>
  <c r="M1516" i="1"/>
  <c r="P1515" i="1"/>
  <c r="O1515" i="1"/>
  <c r="N1515" i="1"/>
  <c r="M1515" i="1"/>
  <c r="P1514" i="1"/>
  <c r="O1514" i="1"/>
  <c r="N1514" i="1"/>
  <c r="M1514" i="1"/>
  <c r="P1513" i="1"/>
  <c r="O1513" i="1"/>
  <c r="N1513" i="1"/>
  <c r="M1513" i="1"/>
  <c r="P1512" i="1"/>
  <c r="O1512" i="1"/>
  <c r="N1512" i="1"/>
  <c r="M1512" i="1"/>
  <c r="P1511" i="1"/>
  <c r="O1511" i="1"/>
  <c r="N1511" i="1"/>
  <c r="M1511" i="1"/>
  <c r="P1510" i="1"/>
  <c r="O1510" i="1"/>
  <c r="N1510" i="1"/>
  <c r="M1510" i="1"/>
  <c r="P1509" i="1"/>
  <c r="O1509" i="1"/>
  <c r="N1509" i="1"/>
  <c r="M1509" i="1"/>
  <c r="P1508" i="1"/>
  <c r="O1508" i="1"/>
  <c r="N1508" i="1"/>
  <c r="M1508" i="1"/>
  <c r="P1507" i="1"/>
  <c r="O1507" i="1"/>
  <c r="N1507" i="1"/>
  <c r="M1507" i="1"/>
  <c r="P1506" i="1"/>
  <c r="O1506" i="1"/>
  <c r="N1506" i="1"/>
  <c r="M1506" i="1"/>
  <c r="P1505" i="1"/>
  <c r="O1505" i="1"/>
  <c r="N1505" i="1"/>
  <c r="M1505" i="1"/>
  <c r="P1504" i="1"/>
  <c r="O1504" i="1"/>
  <c r="N1504" i="1"/>
  <c r="M1504" i="1"/>
  <c r="P1503" i="1"/>
  <c r="O1503" i="1"/>
  <c r="N1503" i="1"/>
  <c r="M1503" i="1"/>
  <c r="P1502" i="1"/>
  <c r="O1502" i="1"/>
  <c r="N1502" i="1"/>
  <c r="M1502" i="1"/>
  <c r="P1501" i="1"/>
  <c r="O1501" i="1"/>
  <c r="N1501" i="1"/>
  <c r="M1501" i="1"/>
  <c r="P1500" i="1"/>
  <c r="O1500" i="1"/>
  <c r="N1500" i="1"/>
  <c r="M1500" i="1"/>
  <c r="P1499" i="1"/>
  <c r="O1499" i="1"/>
  <c r="N1499" i="1"/>
  <c r="M1499" i="1"/>
  <c r="P1498" i="1"/>
  <c r="O1498" i="1"/>
  <c r="N1498" i="1"/>
  <c r="M1498" i="1"/>
  <c r="P1497" i="1"/>
  <c r="O1497" i="1"/>
  <c r="N1497" i="1"/>
  <c r="M1497" i="1"/>
  <c r="P1496" i="1"/>
  <c r="O1496" i="1"/>
  <c r="N1496" i="1"/>
  <c r="M1496" i="1"/>
  <c r="P1495" i="1"/>
  <c r="O1495" i="1"/>
  <c r="N1495" i="1"/>
  <c r="M1495" i="1"/>
  <c r="P1494" i="1"/>
  <c r="O1494" i="1"/>
  <c r="N1494" i="1"/>
  <c r="M1494" i="1"/>
  <c r="P1493" i="1"/>
  <c r="O1493" i="1"/>
  <c r="N1493" i="1"/>
  <c r="M1493" i="1"/>
  <c r="P1492" i="1"/>
  <c r="O1492" i="1"/>
  <c r="N1492" i="1"/>
  <c r="M1492" i="1"/>
  <c r="P1491" i="1"/>
  <c r="O1491" i="1"/>
  <c r="N1491" i="1"/>
  <c r="M1491" i="1"/>
  <c r="P1490" i="1"/>
  <c r="O1490" i="1"/>
  <c r="N1490" i="1"/>
  <c r="M1490" i="1"/>
  <c r="P1489" i="1"/>
  <c r="O1489" i="1"/>
  <c r="N1489" i="1"/>
  <c r="M1489" i="1"/>
  <c r="P1488" i="1"/>
  <c r="O1488" i="1"/>
  <c r="N1488" i="1"/>
  <c r="M1488" i="1"/>
  <c r="P1487" i="1"/>
  <c r="O1487" i="1"/>
  <c r="N1487" i="1"/>
  <c r="M1487" i="1"/>
  <c r="P1486" i="1"/>
  <c r="O1486" i="1"/>
  <c r="N1486" i="1"/>
  <c r="M1486" i="1"/>
  <c r="P1485" i="1"/>
  <c r="O1485" i="1"/>
  <c r="N1485" i="1"/>
  <c r="M1485" i="1"/>
  <c r="P1484" i="1"/>
  <c r="O1484" i="1"/>
  <c r="N1484" i="1"/>
  <c r="M1484" i="1"/>
  <c r="P1483" i="1"/>
  <c r="O1483" i="1"/>
  <c r="N1483" i="1"/>
  <c r="M1483" i="1"/>
  <c r="P1482" i="1"/>
  <c r="O1482" i="1"/>
  <c r="N1482" i="1"/>
  <c r="M1482" i="1"/>
  <c r="P1481" i="1"/>
  <c r="O1481" i="1"/>
  <c r="N1481" i="1"/>
  <c r="M1481" i="1"/>
  <c r="P1480" i="1"/>
  <c r="O1480" i="1"/>
  <c r="N1480" i="1"/>
  <c r="M1480" i="1"/>
  <c r="P1479" i="1"/>
  <c r="O1479" i="1"/>
  <c r="N1479" i="1"/>
  <c r="M1479" i="1"/>
  <c r="P1478" i="1"/>
  <c r="O1478" i="1"/>
  <c r="N1478" i="1"/>
  <c r="M1478" i="1"/>
  <c r="P1477" i="1"/>
  <c r="O1477" i="1"/>
  <c r="N1477" i="1"/>
  <c r="M1477" i="1"/>
  <c r="P1476" i="1"/>
  <c r="O1476" i="1"/>
  <c r="N1476" i="1"/>
  <c r="M1476" i="1"/>
  <c r="P1475" i="1"/>
  <c r="O1475" i="1"/>
  <c r="N1475" i="1"/>
  <c r="M1475" i="1"/>
  <c r="P1474" i="1"/>
  <c r="O1474" i="1"/>
  <c r="N1474" i="1"/>
  <c r="M1474" i="1"/>
  <c r="P1473" i="1"/>
  <c r="O1473" i="1"/>
  <c r="N1473" i="1"/>
  <c r="M1473" i="1"/>
  <c r="P1472" i="1"/>
  <c r="O1472" i="1"/>
  <c r="N1472" i="1"/>
  <c r="M1472" i="1"/>
  <c r="P1471" i="1"/>
  <c r="O1471" i="1"/>
  <c r="N1471" i="1"/>
  <c r="M1471" i="1"/>
  <c r="P1470" i="1"/>
  <c r="O1470" i="1"/>
  <c r="N1470" i="1"/>
  <c r="M1470" i="1"/>
  <c r="P1469" i="1"/>
  <c r="O1469" i="1"/>
  <c r="N1469" i="1"/>
  <c r="M1469" i="1"/>
  <c r="P1468" i="1"/>
  <c r="O1468" i="1"/>
  <c r="N1468" i="1"/>
  <c r="M1468" i="1"/>
  <c r="P1467" i="1"/>
  <c r="O1467" i="1"/>
  <c r="N1467" i="1"/>
  <c r="M1467" i="1"/>
  <c r="P1466" i="1"/>
  <c r="O1466" i="1"/>
  <c r="N1466" i="1"/>
  <c r="M1466" i="1"/>
  <c r="P1465" i="1"/>
  <c r="O1465" i="1"/>
  <c r="N1465" i="1"/>
  <c r="M1465" i="1"/>
  <c r="P1464" i="1"/>
  <c r="O1464" i="1"/>
  <c r="N1464" i="1"/>
  <c r="M1464" i="1"/>
  <c r="P1463" i="1"/>
  <c r="O1463" i="1"/>
  <c r="N1463" i="1"/>
  <c r="M1463" i="1"/>
  <c r="P1462" i="1"/>
  <c r="O1462" i="1"/>
  <c r="N1462" i="1"/>
  <c r="M1462" i="1"/>
  <c r="P1461" i="1"/>
  <c r="O1461" i="1"/>
  <c r="N1461" i="1"/>
  <c r="M1461" i="1"/>
  <c r="P1460" i="1"/>
  <c r="O1460" i="1"/>
  <c r="N1460" i="1"/>
  <c r="M1460" i="1"/>
  <c r="P1459" i="1"/>
  <c r="O1459" i="1"/>
  <c r="N1459" i="1"/>
  <c r="M1459" i="1"/>
  <c r="P1458" i="1"/>
  <c r="O1458" i="1"/>
  <c r="N1458" i="1"/>
  <c r="M1458" i="1"/>
  <c r="P1457" i="1"/>
  <c r="O1457" i="1"/>
  <c r="N1457" i="1"/>
  <c r="M1457" i="1"/>
  <c r="P1456" i="1"/>
  <c r="O1456" i="1"/>
  <c r="N1456" i="1"/>
  <c r="M1456" i="1"/>
  <c r="P1455" i="1"/>
  <c r="O1455" i="1"/>
  <c r="N1455" i="1"/>
  <c r="M1455" i="1"/>
  <c r="P1454" i="1"/>
  <c r="O1454" i="1"/>
  <c r="N1454" i="1"/>
  <c r="M1454" i="1"/>
  <c r="P1453" i="1"/>
  <c r="O1453" i="1"/>
  <c r="N1453" i="1"/>
  <c r="M1453" i="1"/>
  <c r="P1452" i="1"/>
  <c r="O1452" i="1"/>
  <c r="N1452" i="1"/>
  <c r="M1452" i="1"/>
  <c r="P1451" i="1"/>
  <c r="O1451" i="1"/>
  <c r="N1451" i="1"/>
  <c r="M1451" i="1"/>
  <c r="P1450" i="1"/>
  <c r="O1450" i="1"/>
  <c r="N1450" i="1"/>
  <c r="M1450" i="1"/>
  <c r="P1449" i="1"/>
  <c r="O1449" i="1"/>
  <c r="N1449" i="1"/>
  <c r="M1449" i="1"/>
  <c r="P1448" i="1"/>
  <c r="O1448" i="1"/>
  <c r="N1448" i="1"/>
  <c r="M1448" i="1"/>
  <c r="P1447" i="1"/>
  <c r="O1447" i="1"/>
  <c r="N1447" i="1"/>
  <c r="M1447" i="1"/>
  <c r="P1446" i="1"/>
  <c r="O1446" i="1"/>
  <c r="N1446" i="1"/>
  <c r="M1446" i="1"/>
  <c r="P1445" i="1"/>
  <c r="O1445" i="1"/>
  <c r="N1445" i="1"/>
  <c r="M1445" i="1"/>
  <c r="P1444" i="1"/>
  <c r="O1444" i="1"/>
  <c r="N1444" i="1"/>
  <c r="M1444" i="1"/>
  <c r="P1443" i="1"/>
  <c r="O1443" i="1"/>
  <c r="N1443" i="1"/>
  <c r="M1443" i="1"/>
  <c r="P1442" i="1"/>
  <c r="O1442" i="1"/>
  <c r="N1442" i="1"/>
  <c r="M1442" i="1"/>
  <c r="P1441" i="1"/>
  <c r="O1441" i="1"/>
  <c r="N1441" i="1"/>
  <c r="M1441" i="1"/>
  <c r="P1440" i="1"/>
  <c r="O1440" i="1"/>
  <c r="N1440" i="1"/>
  <c r="M1440" i="1"/>
  <c r="P1439" i="1"/>
  <c r="O1439" i="1"/>
  <c r="N1439" i="1"/>
  <c r="M1439" i="1"/>
  <c r="P1438" i="1"/>
  <c r="O1438" i="1"/>
  <c r="N1438" i="1"/>
  <c r="M1438" i="1"/>
  <c r="P1437" i="1"/>
  <c r="O1437" i="1"/>
  <c r="N1437" i="1"/>
  <c r="M1437" i="1"/>
  <c r="P1436" i="1"/>
  <c r="O1436" i="1"/>
  <c r="N1436" i="1"/>
  <c r="M1436" i="1"/>
  <c r="P1435" i="1"/>
  <c r="O1435" i="1"/>
  <c r="N1435" i="1"/>
  <c r="M1435" i="1"/>
  <c r="P1434" i="1"/>
  <c r="O1434" i="1"/>
  <c r="N1434" i="1"/>
  <c r="M1434" i="1"/>
  <c r="P1433" i="1"/>
  <c r="O1433" i="1"/>
  <c r="N1433" i="1"/>
  <c r="M1433" i="1"/>
  <c r="P1432" i="1"/>
  <c r="O1432" i="1"/>
  <c r="N1432" i="1"/>
  <c r="M1432" i="1"/>
  <c r="P1431" i="1"/>
  <c r="O1431" i="1"/>
  <c r="N1431" i="1"/>
  <c r="M1431" i="1"/>
  <c r="P1430" i="1"/>
  <c r="O1430" i="1"/>
  <c r="N1430" i="1"/>
  <c r="M1430" i="1"/>
  <c r="P1429" i="1"/>
  <c r="O1429" i="1"/>
  <c r="N1429" i="1"/>
  <c r="M1429" i="1"/>
  <c r="P1428" i="1"/>
  <c r="O1428" i="1"/>
  <c r="N1428" i="1"/>
  <c r="M1428" i="1"/>
  <c r="P1427" i="1"/>
  <c r="O1427" i="1"/>
  <c r="N1427" i="1"/>
  <c r="M1427" i="1"/>
  <c r="P1426" i="1"/>
  <c r="O1426" i="1"/>
  <c r="N1426" i="1"/>
  <c r="M1426" i="1"/>
  <c r="P1425" i="1"/>
  <c r="O1425" i="1"/>
  <c r="N1425" i="1"/>
  <c r="M1425" i="1"/>
  <c r="P1424" i="1"/>
  <c r="O1424" i="1"/>
  <c r="N1424" i="1"/>
  <c r="M1424" i="1"/>
  <c r="P1423" i="1"/>
  <c r="O1423" i="1"/>
  <c r="N1423" i="1"/>
  <c r="M1423" i="1"/>
  <c r="P1422" i="1"/>
  <c r="O1422" i="1"/>
  <c r="N1422" i="1"/>
  <c r="M1422" i="1"/>
  <c r="P1421" i="1"/>
  <c r="O1421" i="1"/>
  <c r="N1421" i="1"/>
  <c r="M1421" i="1"/>
  <c r="P1420" i="1"/>
  <c r="O1420" i="1"/>
  <c r="N1420" i="1"/>
  <c r="M1420" i="1"/>
  <c r="P1419" i="1"/>
  <c r="O1419" i="1"/>
  <c r="N1419" i="1"/>
  <c r="M1419" i="1"/>
  <c r="P1418" i="1"/>
  <c r="O1418" i="1"/>
  <c r="N1418" i="1"/>
  <c r="M1418" i="1"/>
  <c r="P1417" i="1"/>
  <c r="O1417" i="1"/>
  <c r="N1417" i="1"/>
  <c r="M1417" i="1"/>
  <c r="P1416" i="1"/>
  <c r="O1416" i="1"/>
  <c r="N1416" i="1"/>
  <c r="M1416" i="1"/>
  <c r="P1415" i="1"/>
  <c r="O1415" i="1"/>
  <c r="N1415" i="1"/>
  <c r="M1415" i="1"/>
  <c r="P1414" i="1"/>
  <c r="O1414" i="1"/>
  <c r="N1414" i="1"/>
  <c r="M1414" i="1"/>
  <c r="P1413" i="1"/>
  <c r="O1413" i="1"/>
  <c r="N1413" i="1"/>
  <c r="M1413" i="1"/>
  <c r="P1412" i="1"/>
  <c r="O1412" i="1"/>
  <c r="N1412" i="1"/>
  <c r="M1412" i="1"/>
  <c r="P1411" i="1"/>
  <c r="O1411" i="1"/>
  <c r="N1411" i="1"/>
  <c r="M1411" i="1"/>
  <c r="P1410" i="1"/>
  <c r="O1410" i="1"/>
  <c r="N1410" i="1"/>
  <c r="M1410" i="1"/>
  <c r="P1409" i="1"/>
  <c r="O1409" i="1"/>
  <c r="N1409" i="1"/>
  <c r="M1409" i="1"/>
  <c r="P1408" i="1"/>
  <c r="O1408" i="1"/>
  <c r="N1408" i="1"/>
  <c r="M1408" i="1"/>
  <c r="P1407" i="1"/>
  <c r="O1407" i="1"/>
  <c r="N1407" i="1"/>
  <c r="M1407" i="1"/>
  <c r="P1406" i="1"/>
  <c r="O1406" i="1"/>
  <c r="N1406" i="1"/>
  <c r="M1406" i="1"/>
  <c r="P1405" i="1"/>
  <c r="O1405" i="1"/>
  <c r="N1405" i="1"/>
  <c r="M1405" i="1"/>
  <c r="P1404" i="1"/>
  <c r="O1404" i="1"/>
  <c r="N1404" i="1"/>
  <c r="M1404" i="1"/>
  <c r="P1403" i="1"/>
  <c r="O1403" i="1"/>
  <c r="N1403" i="1"/>
  <c r="M1403" i="1"/>
  <c r="P1402" i="1"/>
  <c r="O1402" i="1"/>
  <c r="N1402" i="1"/>
  <c r="M1402" i="1"/>
  <c r="P1401" i="1"/>
  <c r="O1401" i="1"/>
  <c r="N1401" i="1"/>
  <c r="M1401" i="1"/>
  <c r="P1400" i="1"/>
  <c r="O1400" i="1"/>
  <c r="N1400" i="1"/>
  <c r="M1400" i="1"/>
  <c r="P1399" i="1"/>
  <c r="O1399" i="1"/>
  <c r="N1399" i="1"/>
  <c r="M1399" i="1"/>
  <c r="P1398" i="1"/>
  <c r="O1398" i="1"/>
  <c r="N1398" i="1"/>
  <c r="M1398" i="1"/>
  <c r="P1397" i="1"/>
  <c r="O1397" i="1"/>
  <c r="N1397" i="1"/>
  <c r="M1397" i="1"/>
  <c r="P1396" i="1"/>
  <c r="O1396" i="1"/>
  <c r="N1396" i="1"/>
  <c r="M1396" i="1"/>
  <c r="P1395" i="1"/>
  <c r="O1395" i="1"/>
  <c r="N1395" i="1"/>
  <c r="M1395" i="1"/>
  <c r="P1394" i="1"/>
  <c r="O1394" i="1"/>
  <c r="N1394" i="1"/>
  <c r="M1394" i="1"/>
  <c r="P1393" i="1"/>
  <c r="O1393" i="1"/>
  <c r="N1393" i="1"/>
  <c r="M1393" i="1"/>
  <c r="P1392" i="1"/>
  <c r="O1392" i="1"/>
  <c r="N1392" i="1"/>
  <c r="M1392" i="1"/>
  <c r="P1391" i="1"/>
  <c r="O1391" i="1"/>
  <c r="N1391" i="1"/>
  <c r="M1391" i="1"/>
  <c r="P1390" i="1"/>
  <c r="O1390" i="1"/>
  <c r="N1390" i="1"/>
  <c r="M1390" i="1"/>
  <c r="P1389" i="1"/>
  <c r="O1389" i="1"/>
  <c r="N1389" i="1"/>
  <c r="M1389" i="1"/>
  <c r="P1388" i="1"/>
  <c r="O1388" i="1"/>
  <c r="N1388" i="1"/>
  <c r="M1388" i="1"/>
  <c r="P1387" i="1"/>
  <c r="O1387" i="1"/>
  <c r="N1387" i="1"/>
  <c r="M1387" i="1"/>
  <c r="P1386" i="1"/>
  <c r="O1386" i="1"/>
  <c r="N1386" i="1"/>
  <c r="M1386" i="1"/>
  <c r="P1385" i="1"/>
  <c r="O1385" i="1"/>
  <c r="N1385" i="1"/>
  <c r="M1385" i="1"/>
  <c r="P1384" i="1"/>
  <c r="O1384" i="1"/>
  <c r="N1384" i="1"/>
  <c r="M1384" i="1"/>
  <c r="P1383" i="1"/>
  <c r="O1383" i="1"/>
  <c r="N1383" i="1"/>
  <c r="M1383" i="1"/>
  <c r="P1382" i="1"/>
  <c r="O1382" i="1"/>
  <c r="N1382" i="1"/>
  <c r="M1382" i="1"/>
  <c r="P1381" i="1"/>
  <c r="O1381" i="1"/>
  <c r="N1381" i="1"/>
  <c r="M1381" i="1"/>
  <c r="P1380" i="1"/>
  <c r="O1380" i="1"/>
  <c r="N1380" i="1"/>
  <c r="M1380" i="1"/>
  <c r="P1379" i="1"/>
  <c r="O1379" i="1"/>
  <c r="N1379" i="1"/>
  <c r="M1379" i="1"/>
  <c r="P1378" i="1"/>
  <c r="O1378" i="1"/>
  <c r="N1378" i="1"/>
  <c r="M1378" i="1"/>
  <c r="P1377" i="1"/>
  <c r="O1377" i="1"/>
  <c r="N1377" i="1"/>
  <c r="M1377" i="1"/>
  <c r="P1376" i="1"/>
  <c r="O1376" i="1"/>
  <c r="N1376" i="1"/>
  <c r="M1376" i="1"/>
  <c r="P1375" i="1"/>
  <c r="O1375" i="1"/>
  <c r="N1375" i="1"/>
  <c r="M1375" i="1"/>
  <c r="P1374" i="1"/>
  <c r="O1374" i="1"/>
  <c r="N1374" i="1"/>
  <c r="M1374" i="1"/>
  <c r="P1373" i="1"/>
  <c r="O1373" i="1"/>
  <c r="N1373" i="1"/>
  <c r="M1373" i="1"/>
  <c r="P1372" i="1"/>
  <c r="O1372" i="1"/>
  <c r="N1372" i="1"/>
  <c r="M1372" i="1"/>
  <c r="P1371" i="1"/>
  <c r="O1371" i="1"/>
  <c r="N1371" i="1"/>
  <c r="M1371" i="1"/>
  <c r="P1370" i="1"/>
  <c r="O1370" i="1"/>
  <c r="N1370" i="1"/>
  <c r="M1370" i="1"/>
  <c r="P1369" i="1"/>
  <c r="O1369" i="1"/>
  <c r="N1369" i="1"/>
  <c r="M1369" i="1"/>
  <c r="P1368" i="1"/>
  <c r="O1368" i="1"/>
  <c r="N1368" i="1"/>
  <c r="M1368" i="1"/>
  <c r="P1367" i="1"/>
  <c r="O1367" i="1"/>
  <c r="N1367" i="1"/>
  <c r="M1367" i="1"/>
  <c r="P1366" i="1"/>
  <c r="O1366" i="1"/>
  <c r="N1366" i="1"/>
  <c r="M1366" i="1"/>
  <c r="P1365" i="1"/>
  <c r="O1365" i="1"/>
  <c r="N1365" i="1"/>
  <c r="M1365" i="1"/>
  <c r="P1364" i="1"/>
  <c r="O1364" i="1"/>
  <c r="N1364" i="1"/>
  <c r="M1364" i="1"/>
  <c r="P1363" i="1"/>
  <c r="O1363" i="1"/>
  <c r="N1363" i="1"/>
  <c r="M1363" i="1"/>
  <c r="P1362" i="1"/>
  <c r="O1362" i="1"/>
  <c r="N1362" i="1"/>
  <c r="M1362" i="1"/>
  <c r="P1361" i="1"/>
  <c r="O1361" i="1"/>
  <c r="N1361" i="1"/>
  <c r="M1361" i="1"/>
  <c r="P1360" i="1"/>
  <c r="O1360" i="1"/>
  <c r="N1360" i="1"/>
  <c r="M1360" i="1"/>
  <c r="P1359" i="1"/>
  <c r="O1359" i="1"/>
  <c r="N1359" i="1"/>
  <c r="M1359" i="1"/>
  <c r="P1358" i="1"/>
  <c r="O1358" i="1"/>
  <c r="N1358" i="1"/>
  <c r="M1358" i="1"/>
  <c r="P1357" i="1"/>
  <c r="O1357" i="1"/>
  <c r="N1357" i="1"/>
  <c r="M1357" i="1"/>
  <c r="P1356" i="1"/>
  <c r="O1356" i="1"/>
  <c r="N1356" i="1"/>
  <c r="M1356" i="1"/>
  <c r="P1355" i="1"/>
  <c r="O1355" i="1"/>
  <c r="N1355" i="1"/>
  <c r="M1355" i="1"/>
  <c r="P1354" i="1"/>
  <c r="O1354" i="1"/>
  <c r="N1354" i="1"/>
  <c r="M1354" i="1"/>
  <c r="P1353" i="1"/>
  <c r="O1353" i="1"/>
  <c r="N1353" i="1"/>
  <c r="M1353" i="1"/>
  <c r="P1352" i="1"/>
  <c r="O1352" i="1"/>
  <c r="N1352" i="1"/>
  <c r="M1352" i="1"/>
  <c r="P1351" i="1"/>
  <c r="O1351" i="1"/>
  <c r="N1351" i="1"/>
  <c r="M1351" i="1"/>
  <c r="P1350" i="1"/>
  <c r="O1350" i="1"/>
  <c r="N1350" i="1"/>
  <c r="M1350" i="1"/>
  <c r="P1349" i="1"/>
  <c r="O1349" i="1"/>
  <c r="N1349" i="1"/>
  <c r="M1349" i="1"/>
  <c r="P1348" i="1"/>
  <c r="O1348" i="1"/>
  <c r="N1348" i="1"/>
  <c r="M1348" i="1"/>
  <c r="P1347" i="1"/>
  <c r="O1347" i="1"/>
  <c r="N1347" i="1"/>
  <c r="M1347" i="1"/>
  <c r="P1346" i="1"/>
  <c r="O1346" i="1"/>
  <c r="N1346" i="1"/>
  <c r="M1346" i="1"/>
  <c r="P1345" i="1"/>
  <c r="O1345" i="1"/>
  <c r="N1345" i="1"/>
  <c r="M1345" i="1"/>
  <c r="P1344" i="1"/>
  <c r="O1344" i="1"/>
  <c r="N1344" i="1"/>
  <c r="M1344" i="1"/>
  <c r="P1343" i="1"/>
  <c r="O1343" i="1"/>
  <c r="N1343" i="1"/>
  <c r="M1343" i="1"/>
  <c r="P1342" i="1"/>
  <c r="O1342" i="1"/>
  <c r="N1342" i="1"/>
  <c r="M1342" i="1"/>
  <c r="P1341" i="1"/>
  <c r="O1341" i="1"/>
  <c r="N1341" i="1"/>
  <c r="M1341" i="1"/>
  <c r="P1340" i="1"/>
  <c r="O1340" i="1"/>
  <c r="N1340" i="1"/>
  <c r="M1340" i="1"/>
  <c r="P1339" i="1"/>
  <c r="O1339" i="1"/>
  <c r="N1339" i="1"/>
  <c r="M1339" i="1"/>
  <c r="P1338" i="1"/>
  <c r="O1338" i="1"/>
  <c r="N1338" i="1"/>
  <c r="M1338" i="1"/>
  <c r="P1337" i="1"/>
  <c r="O1337" i="1"/>
  <c r="N1337" i="1"/>
  <c r="M1337" i="1"/>
  <c r="P1336" i="1"/>
  <c r="O1336" i="1"/>
  <c r="N1336" i="1"/>
  <c r="M1336" i="1"/>
  <c r="P1335" i="1"/>
  <c r="O1335" i="1"/>
  <c r="N1335" i="1"/>
  <c r="M1335" i="1"/>
  <c r="P1334" i="1"/>
  <c r="O1334" i="1"/>
  <c r="N1334" i="1"/>
  <c r="M1334" i="1"/>
  <c r="P1333" i="1"/>
  <c r="O1333" i="1"/>
  <c r="N1333" i="1"/>
  <c r="M1333" i="1"/>
  <c r="P1332" i="1"/>
  <c r="O1332" i="1"/>
  <c r="N1332" i="1"/>
  <c r="M1332" i="1"/>
  <c r="P1331" i="1"/>
  <c r="O1331" i="1"/>
  <c r="N1331" i="1"/>
  <c r="M1331" i="1"/>
  <c r="P1330" i="1"/>
  <c r="O1330" i="1"/>
  <c r="N1330" i="1"/>
  <c r="M1330" i="1"/>
  <c r="P1329" i="1"/>
  <c r="O1329" i="1"/>
  <c r="N1329" i="1"/>
  <c r="M1329" i="1"/>
  <c r="P1328" i="1"/>
  <c r="O1328" i="1"/>
  <c r="N1328" i="1"/>
  <c r="M1328" i="1"/>
  <c r="P1327" i="1"/>
  <c r="O1327" i="1"/>
  <c r="N1327" i="1"/>
  <c r="M1327" i="1"/>
  <c r="P1326" i="1"/>
  <c r="O1326" i="1"/>
  <c r="N1326" i="1"/>
  <c r="M1326" i="1"/>
  <c r="P1325" i="1"/>
  <c r="O1325" i="1"/>
  <c r="N1325" i="1"/>
  <c r="M1325" i="1"/>
  <c r="P1324" i="1"/>
  <c r="O1324" i="1"/>
  <c r="N1324" i="1"/>
  <c r="M1324" i="1"/>
  <c r="P1323" i="1"/>
  <c r="O1323" i="1"/>
  <c r="N1323" i="1"/>
  <c r="M1323" i="1"/>
  <c r="P1322" i="1"/>
  <c r="O1322" i="1"/>
  <c r="N1322" i="1"/>
  <c r="M1322" i="1"/>
  <c r="P1321" i="1"/>
  <c r="O1321" i="1"/>
  <c r="N1321" i="1"/>
  <c r="M1321" i="1"/>
  <c r="P1320" i="1"/>
  <c r="O1320" i="1"/>
  <c r="N1320" i="1"/>
  <c r="M1320" i="1"/>
  <c r="P1319" i="1"/>
  <c r="O1319" i="1"/>
  <c r="N1319" i="1"/>
  <c r="M1319" i="1"/>
  <c r="P1318" i="1"/>
  <c r="O1318" i="1"/>
  <c r="N1318" i="1"/>
  <c r="M1318" i="1"/>
  <c r="P1317" i="1"/>
  <c r="O1317" i="1"/>
  <c r="N1317" i="1"/>
  <c r="M1317" i="1"/>
  <c r="P1316" i="1"/>
  <c r="O1316" i="1"/>
  <c r="N1316" i="1"/>
  <c r="M1316" i="1"/>
  <c r="P1315" i="1"/>
  <c r="O1315" i="1"/>
  <c r="N1315" i="1"/>
  <c r="M1315" i="1"/>
  <c r="P1314" i="1"/>
  <c r="O1314" i="1"/>
  <c r="N1314" i="1"/>
  <c r="M1314" i="1"/>
  <c r="P1313" i="1"/>
  <c r="O1313" i="1"/>
  <c r="N1313" i="1"/>
  <c r="M1313" i="1"/>
  <c r="P1312" i="1"/>
  <c r="O1312" i="1"/>
  <c r="N1312" i="1"/>
  <c r="M1312" i="1"/>
  <c r="P1311" i="1"/>
  <c r="O1311" i="1"/>
  <c r="N1311" i="1"/>
  <c r="M1311" i="1"/>
  <c r="P1310" i="1"/>
  <c r="O1310" i="1"/>
  <c r="N1310" i="1"/>
  <c r="M1310" i="1"/>
  <c r="P1309" i="1"/>
  <c r="O1309" i="1"/>
  <c r="N1309" i="1"/>
  <c r="M1309" i="1"/>
  <c r="P1308" i="1"/>
  <c r="O1308" i="1"/>
  <c r="N1308" i="1"/>
  <c r="M1308" i="1"/>
  <c r="P1307" i="1"/>
  <c r="O1307" i="1"/>
  <c r="N1307" i="1"/>
  <c r="M1307" i="1"/>
  <c r="P1306" i="1"/>
  <c r="O1306" i="1"/>
  <c r="N1306" i="1"/>
  <c r="M1306" i="1"/>
  <c r="P1305" i="1"/>
  <c r="O1305" i="1"/>
  <c r="N1305" i="1"/>
  <c r="M1305" i="1"/>
  <c r="P1304" i="1"/>
  <c r="O1304" i="1"/>
  <c r="N1304" i="1"/>
  <c r="M1304" i="1"/>
  <c r="P1303" i="1"/>
  <c r="O1303" i="1"/>
  <c r="N1303" i="1"/>
  <c r="M1303" i="1"/>
  <c r="P1302" i="1"/>
  <c r="O1302" i="1"/>
  <c r="N1302" i="1"/>
  <c r="M1302" i="1"/>
  <c r="P1301" i="1"/>
  <c r="O1301" i="1"/>
  <c r="N1301" i="1"/>
  <c r="M1301" i="1"/>
  <c r="P1300" i="1"/>
  <c r="O1300" i="1"/>
  <c r="N1300" i="1"/>
  <c r="M1300" i="1"/>
  <c r="P1299" i="1"/>
  <c r="O1299" i="1"/>
  <c r="N1299" i="1"/>
  <c r="M1299" i="1"/>
  <c r="P1298" i="1"/>
  <c r="O1298" i="1"/>
  <c r="N1298" i="1"/>
  <c r="M1298" i="1"/>
  <c r="P1297" i="1"/>
  <c r="O1297" i="1"/>
  <c r="N1297" i="1"/>
  <c r="M1297" i="1"/>
  <c r="P1296" i="1"/>
  <c r="O1296" i="1"/>
  <c r="N1296" i="1"/>
  <c r="M1296" i="1"/>
  <c r="P1295" i="1"/>
  <c r="O1295" i="1"/>
  <c r="N1295" i="1"/>
  <c r="M1295" i="1"/>
  <c r="P1294" i="1"/>
  <c r="O1294" i="1"/>
  <c r="N1294" i="1"/>
  <c r="M1294" i="1"/>
  <c r="P1293" i="1"/>
  <c r="O1293" i="1"/>
  <c r="N1293" i="1"/>
  <c r="M1293" i="1"/>
  <c r="P1292" i="1"/>
  <c r="O1292" i="1"/>
  <c r="N1292" i="1"/>
  <c r="M1292" i="1"/>
  <c r="P1291" i="1"/>
  <c r="O1291" i="1"/>
  <c r="N1291" i="1"/>
  <c r="M1291" i="1"/>
  <c r="P1290" i="1"/>
  <c r="O1290" i="1"/>
  <c r="N1290" i="1"/>
  <c r="M1290" i="1"/>
  <c r="P1289" i="1"/>
  <c r="O1289" i="1"/>
  <c r="N1289" i="1"/>
  <c r="M1289" i="1"/>
  <c r="P1288" i="1"/>
  <c r="O1288" i="1"/>
  <c r="N1288" i="1"/>
  <c r="M1288" i="1"/>
  <c r="P1287" i="1"/>
  <c r="O1287" i="1"/>
  <c r="N1287" i="1"/>
  <c r="M1287" i="1"/>
  <c r="P1286" i="1"/>
  <c r="O1286" i="1"/>
  <c r="N1286" i="1"/>
  <c r="M1286" i="1"/>
  <c r="P1285" i="1"/>
  <c r="O1285" i="1"/>
  <c r="N1285" i="1"/>
  <c r="M1285" i="1"/>
  <c r="P1284" i="1"/>
  <c r="O1284" i="1"/>
  <c r="N1284" i="1"/>
  <c r="M1284" i="1"/>
  <c r="P1283" i="1"/>
  <c r="O1283" i="1"/>
  <c r="N1283" i="1"/>
  <c r="M1283" i="1"/>
  <c r="P1282" i="1"/>
  <c r="O1282" i="1"/>
  <c r="N1282" i="1"/>
  <c r="M1282" i="1"/>
  <c r="P1281" i="1"/>
  <c r="O1281" i="1"/>
  <c r="N1281" i="1"/>
  <c r="M1281" i="1"/>
  <c r="P1280" i="1"/>
  <c r="O1280" i="1"/>
  <c r="N1280" i="1"/>
  <c r="M1280" i="1"/>
  <c r="P1279" i="1"/>
  <c r="O1279" i="1"/>
  <c r="N1279" i="1"/>
  <c r="M1279" i="1"/>
  <c r="P1278" i="1"/>
  <c r="O1278" i="1"/>
  <c r="N1278" i="1"/>
  <c r="M1278" i="1"/>
  <c r="P1277" i="1"/>
  <c r="O1277" i="1"/>
  <c r="N1277" i="1"/>
  <c r="M1277" i="1"/>
  <c r="P1276" i="1"/>
  <c r="O1276" i="1"/>
  <c r="N1276" i="1"/>
  <c r="M1276" i="1"/>
  <c r="P1275" i="1"/>
  <c r="O1275" i="1"/>
  <c r="N1275" i="1"/>
  <c r="M1275" i="1"/>
  <c r="P1274" i="1"/>
  <c r="O1274" i="1"/>
  <c r="N1274" i="1"/>
  <c r="M1274" i="1"/>
  <c r="P1273" i="1"/>
  <c r="O1273" i="1"/>
  <c r="N1273" i="1"/>
  <c r="M1273" i="1"/>
  <c r="P1272" i="1"/>
  <c r="O1272" i="1"/>
  <c r="N1272" i="1"/>
  <c r="M1272" i="1"/>
  <c r="P1271" i="1"/>
  <c r="O1271" i="1"/>
  <c r="N1271" i="1"/>
  <c r="M1271" i="1"/>
  <c r="P1270" i="1"/>
  <c r="O1270" i="1"/>
  <c r="N1270" i="1"/>
  <c r="M1270" i="1"/>
  <c r="P1269" i="1"/>
  <c r="O1269" i="1"/>
  <c r="N1269" i="1"/>
  <c r="M1269" i="1"/>
  <c r="P1268" i="1"/>
  <c r="O1268" i="1"/>
  <c r="N1268" i="1"/>
  <c r="M1268" i="1"/>
  <c r="P1267" i="1"/>
  <c r="O1267" i="1"/>
  <c r="N1267" i="1"/>
  <c r="M1267" i="1"/>
  <c r="P1266" i="1"/>
  <c r="O1266" i="1"/>
  <c r="N1266" i="1"/>
  <c r="M1266" i="1"/>
  <c r="P1265" i="1"/>
  <c r="O1265" i="1"/>
  <c r="N1265" i="1"/>
  <c r="M1265" i="1"/>
  <c r="P1264" i="1"/>
  <c r="O1264" i="1"/>
  <c r="N1264" i="1"/>
  <c r="M1264" i="1"/>
  <c r="P1263" i="1"/>
  <c r="O1263" i="1"/>
  <c r="N1263" i="1"/>
  <c r="M1263" i="1"/>
  <c r="P1262" i="1"/>
  <c r="O1262" i="1"/>
  <c r="N1262" i="1"/>
  <c r="M1262" i="1"/>
  <c r="P1261" i="1"/>
  <c r="O1261" i="1"/>
  <c r="N1261" i="1"/>
  <c r="M1261" i="1"/>
  <c r="P1260" i="1"/>
  <c r="O1260" i="1"/>
  <c r="N1260" i="1"/>
  <c r="M1260" i="1"/>
  <c r="P1259" i="1"/>
  <c r="O1259" i="1"/>
  <c r="N1259" i="1"/>
  <c r="M1259" i="1"/>
  <c r="P1258" i="1"/>
  <c r="O1258" i="1"/>
  <c r="N1258" i="1"/>
  <c r="M1258" i="1"/>
  <c r="P1257" i="1"/>
  <c r="O1257" i="1"/>
  <c r="N1257" i="1"/>
  <c r="M1257" i="1"/>
  <c r="P1256" i="1"/>
  <c r="O1256" i="1"/>
  <c r="N1256" i="1"/>
  <c r="M1256" i="1"/>
  <c r="P1255" i="1"/>
  <c r="O1255" i="1"/>
  <c r="N1255" i="1"/>
  <c r="M1255" i="1"/>
  <c r="P1254" i="1"/>
  <c r="O1254" i="1"/>
  <c r="N1254" i="1"/>
  <c r="M1254" i="1"/>
  <c r="P1253" i="1"/>
  <c r="O1253" i="1"/>
  <c r="N1253" i="1"/>
  <c r="M1253" i="1"/>
  <c r="P1252" i="1"/>
  <c r="O1252" i="1"/>
  <c r="N1252" i="1"/>
  <c r="M1252" i="1"/>
  <c r="P1251" i="1"/>
  <c r="O1251" i="1"/>
  <c r="N1251" i="1"/>
  <c r="M1251" i="1"/>
  <c r="P1250" i="1"/>
  <c r="O1250" i="1"/>
  <c r="N1250" i="1"/>
  <c r="M1250" i="1"/>
  <c r="P1249" i="1"/>
  <c r="O1249" i="1"/>
  <c r="N1249" i="1"/>
  <c r="M1249" i="1"/>
  <c r="P1248" i="1"/>
  <c r="O1248" i="1"/>
  <c r="N1248" i="1"/>
  <c r="M1248" i="1"/>
  <c r="P1247" i="1"/>
  <c r="O1247" i="1"/>
  <c r="N1247" i="1"/>
  <c r="M1247" i="1"/>
  <c r="P1246" i="1"/>
  <c r="O1246" i="1"/>
  <c r="N1246" i="1"/>
  <c r="M1246" i="1"/>
  <c r="P1245" i="1"/>
  <c r="O1245" i="1"/>
  <c r="N1245" i="1"/>
  <c r="M1245" i="1"/>
  <c r="P1244" i="1"/>
  <c r="O1244" i="1"/>
  <c r="N1244" i="1"/>
  <c r="M1244" i="1"/>
  <c r="P1243" i="1"/>
  <c r="O1243" i="1"/>
  <c r="N1243" i="1"/>
  <c r="M1243" i="1"/>
  <c r="P1242" i="1"/>
  <c r="O1242" i="1"/>
  <c r="N1242" i="1"/>
  <c r="M1242" i="1"/>
  <c r="P1241" i="1"/>
  <c r="O1241" i="1"/>
  <c r="N1241" i="1"/>
  <c r="M1241" i="1"/>
  <c r="P1240" i="1"/>
  <c r="O1240" i="1"/>
  <c r="N1240" i="1"/>
  <c r="M1240" i="1"/>
  <c r="P1239" i="1"/>
  <c r="O1239" i="1"/>
  <c r="N1239" i="1"/>
  <c r="M1239" i="1"/>
  <c r="P1238" i="1"/>
  <c r="O1238" i="1"/>
  <c r="N1238" i="1"/>
  <c r="M1238" i="1"/>
  <c r="P1237" i="1"/>
  <c r="O1237" i="1"/>
  <c r="N1237" i="1"/>
  <c r="M1237" i="1"/>
  <c r="P1236" i="1"/>
  <c r="O1236" i="1"/>
  <c r="N1236" i="1"/>
  <c r="M1236" i="1"/>
  <c r="P1235" i="1"/>
  <c r="O1235" i="1"/>
  <c r="N1235" i="1"/>
  <c r="M1235" i="1"/>
  <c r="P1234" i="1"/>
  <c r="O1234" i="1"/>
  <c r="N1234" i="1"/>
  <c r="M1234" i="1"/>
  <c r="P1233" i="1"/>
  <c r="O1233" i="1"/>
  <c r="N1233" i="1"/>
  <c r="M1233" i="1"/>
  <c r="P1232" i="1"/>
  <c r="O1232" i="1"/>
  <c r="N1232" i="1"/>
  <c r="M1232" i="1"/>
  <c r="P1231" i="1"/>
  <c r="O1231" i="1"/>
  <c r="N1231" i="1"/>
  <c r="M1231" i="1"/>
  <c r="P1230" i="1"/>
  <c r="O1230" i="1"/>
  <c r="N1230" i="1"/>
  <c r="M1230" i="1"/>
  <c r="P1229" i="1"/>
  <c r="O1229" i="1"/>
  <c r="N1229" i="1"/>
  <c r="M1229" i="1"/>
  <c r="P1228" i="1"/>
  <c r="O1228" i="1"/>
  <c r="N1228" i="1"/>
  <c r="M1228" i="1"/>
  <c r="P1227" i="1"/>
  <c r="O1227" i="1"/>
  <c r="N1227" i="1"/>
  <c r="M1227" i="1"/>
  <c r="P1226" i="1"/>
  <c r="O1226" i="1"/>
  <c r="N1226" i="1"/>
  <c r="M1226" i="1"/>
  <c r="P1225" i="1"/>
  <c r="O1225" i="1"/>
  <c r="N1225" i="1"/>
  <c r="M1225" i="1"/>
  <c r="P1224" i="1"/>
  <c r="O1224" i="1"/>
  <c r="N1224" i="1"/>
  <c r="M1224" i="1"/>
  <c r="P1223" i="1"/>
  <c r="O1223" i="1"/>
  <c r="N1223" i="1"/>
  <c r="M1223" i="1"/>
  <c r="P1222" i="1"/>
  <c r="O1222" i="1"/>
  <c r="N1222" i="1"/>
  <c r="M1222" i="1"/>
  <c r="P1221" i="1"/>
  <c r="O1221" i="1"/>
  <c r="N1221" i="1"/>
  <c r="M1221" i="1"/>
  <c r="P1220" i="1"/>
  <c r="O1220" i="1"/>
  <c r="N1220" i="1"/>
  <c r="M1220" i="1"/>
  <c r="P1219" i="1"/>
  <c r="O1219" i="1"/>
  <c r="N1219" i="1"/>
  <c r="M1219" i="1"/>
  <c r="P1218" i="1"/>
  <c r="O1218" i="1"/>
  <c r="N1218" i="1"/>
  <c r="M1218" i="1"/>
  <c r="P1217" i="1"/>
  <c r="O1217" i="1"/>
  <c r="N1217" i="1"/>
  <c r="M1217" i="1"/>
  <c r="P1216" i="1"/>
  <c r="O1216" i="1"/>
  <c r="N1216" i="1"/>
  <c r="M1216" i="1"/>
  <c r="P1215" i="1"/>
  <c r="O1215" i="1"/>
  <c r="N1215" i="1"/>
  <c r="M1215" i="1"/>
  <c r="P1214" i="1"/>
  <c r="O1214" i="1"/>
  <c r="N1214" i="1"/>
  <c r="M1214" i="1"/>
  <c r="P1213" i="1"/>
  <c r="O1213" i="1"/>
  <c r="N1213" i="1"/>
  <c r="M1213" i="1"/>
  <c r="P1212" i="1"/>
  <c r="O1212" i="1"/>
  <c r="N1212" i="1"/>
  <c r="M1212" i="1"/>
  <c r="P1211" i="1"/>
  <c r="O1211" i="1"/>
  <c r="N1211" i="1"/>
  <c r="M1211" i="1"/>
  <c r="P1210" i="1"/>
  <c r="O1210" i="1"/>
  <c r="N1210" i="1"/>
  <c r="M1210" i="1"/>
  <c r="P1209" i="1"/>
  <c r="O1209" i="1"/>
  <c r="N1209" i="1"/>
  <c r="M1209" i="1"/>
  <c r="P1208" i="1"/>
  <c r="O1208" i="1"/>
  <c r="N1208" i="1"/>
  <c r="M1208" i="1"/>
  <c r="P1207" i="1"/>
  <c r="O1207" i="1"/>
  <c r="N1207" i="1"/>
  <c r="M1207" i="1"/>
  <c r="P1206" i="1"/>
  <c r="O1206" i="1"/>
  <c r="N1206" i="1"/>
  <c r="M1206" i="1"/>
  <c r="P1205" i="1"/>
  <c r="O1205" i="1"/>
  <c r="N1205" i="1"/>
  <c r="M1205" i="1"/>
  <c r="P1204" i="1"/>
  <c r="O1204" i="1"/>
  <c r="N1204" i="1"/>
  <c r="M1204" i="1"/>
  <c r="P1203" i="1"/>
  <c r="O1203" i="1"/>
  <c r="N1203" i="1"/>
  <c r="M1203" i="1"/>
  <c r="P1202" i="1"/>
  <c r="O1202" i="1"/>
  <c r="N1202" i="1"/>
  <c r="M1202" i="1"/>
  <c r="P1201" i="1"/>
  <c r="O1201" i="1"/>
  <c r="N1201" i="1"/>
  <c r="M1201" i="1"/>
  <c r="P1200" i="1"/>
  <c r="O1200" i="1"/>
  <c r="N1200" i="1"/>
  <c r="M1200" i="1"/>
  <c r="P1199" i="1"/>
  <c r="O1199" i="1"/>
  <c r="N1199" i="1"/>
  <c r="M1199" i="1"/>
  <c r="P1198" i="1"/>
  <c r="O1198" i="1"/>
  <c r="N1198" i="1"/>
  <c r="M1198" i="1"/>
  <c r="P1197" i="1"/>
  <c r="O1197" i="1"/>
  <c r="N1197" i="1"/>
  <c r="M1197" i="1"/>
  <c r="P1196" i="1"/>
  <c r="O1196" i="1"/>
  <c r="N1196" i="1"/>
  <c r="M1196" i="1"/>
  <c r="P1195" i="1"/>
  <c r="O1195" i="1"/>
  <c r="N1195" i="1"/>
  <c r="M1195" i="1"/>
  <c r="P1194" i="1"/>
  <c r="O1194" i="1"/>
  <c r="N1194" i="1"/>
  <c r="M1194" i="1"/>
  <c r="P1193" i="1"/>
  <c r="O1193" i="1"/>
  <c r="N1193" i="1"/>
  <c r="M1193" i="1"/>
  <c r="P1192" i="1"/>
  <c r="O1192" i="1"/>
  <c r="N1192" i="1"/>
  <c r="M1192" i="1"/>
  <c r="P1191" i="1"/>
  <c r="O1191" i="1"/>
  <c r="N1191" i="1"/>
  <c r="M1191" i="1"/>
  <c r="P1190" i="1"/>
  <c r="O1190" i="1"/>
  <c r="N1190" i="1"/>
  <c r="M1190" i="1"/>
  <c r="P1189" i="1"/>
  <c r="O1189" i="1"/>
  <c r="N1189" i="1"/>
  <c r="M1189" i="1"/>
  <c r="P1188" i="1"/>
  <c r="O1188" i="1"/>
  <c r="N1188" i="1"/>
  <c r="M1188" i="1"/>
  <c r="P1187" i="1"/>
  <c r="O1187" i="1"/>
  <c r="N1187" i="1"/>
  <c r="M1187" i="1"/>
  <c r="P1186" i="1"/>
  <c r="O1186" i="1"/>
  <c r="N1186" i="1"/>
  <c r="M1186" i="1"/>
  <c r="P1185" i="1"/>
  <c r="O1185" i="1"/>
  <c r="N1185" i="1"/>
  <c r="M1185" i="1"/>
  <c r="P1184" i="1"/>
  <c r="O1184" i="1"/>
  <c r="N1184" i="1"/>
  <c r="M1184" i="1"/>
  <c r="P1183" i="1"/>
  <c r="O1183" i="1"/>
  <c r="N1183" i="1"/>
  <c r="M1183" i="1"/>
  <c r="P1182" i="1"/>
  <c r="O1182" i="1"/>
  <c r="N1182" i="1"/>
  <c r="M1182" i="1"/>
  <c r="P1181" i="1"/>
  <c r="O1181" i="1"/>
  <c r="N1181" i="1"/>
  <c r="M1181" i="1"/>
  <c r="P1180" i="1"/>
  <c r="O1180" i="1"/>
  <c r="N1180" i="1"/>
  <c r="M1180" i="1"/>
  <c r="P1179" i="1"/>
  <c r="O1179" i="1"/>
  <c r="N1179" i="1"/>
  <c r="M1179" i="1"/>
  <c r="P1178" i="1"/>
  <c r="O1178" i="1"/>
  <c r="N1178" i="1"/>
  <c r="M1178" i="1"/>
  <c r="P1177" i="1"/>
  <c r="O1177" i="1"/>
  <c r="N1177" i="1"/>
  <c r="M1177" i="1"/>
  <c r="P1176" i="1"/>
  <c r="O1176" i="1"/>
  <c r="N1176" i="1"/>
  <c r="M1176" i="1"/>
  <c r="P1175" i="1"/>
  <c r="O1175" i="1"/>
  <c r="N1175" i="1"/>
  <c r="M1175" i="1"/>
  <c r="P1174" i="1"/>
  <c r="O1174" i="1"/>
  <c r="N1174" i="1"/>
  <c r="M1174" i="1"/>
  <c r="P1173" i="1"/>
  <c r="O1173" i="1"/>
  <c r="N1173" i="1"/>
  <c r="M1173" i="1"/>
  <c r="P1172" i="1"/>
  <c r="O1172" i="1"/>
  <c r="N1172" i="1"/>
  <c r="M1172" i="1"/>
  <c r="P1171" i="1"/>
  <c r="O1171" i="1"/>
  <c r="N1171" i="1"/>
  <c r="M1171" i="1"/>
  <c r="P1170" i="1"/>
  <c r="O1170" i="1"/>
  <c r="N1170" i="1"/>
  <c r="M1170" i="1"/>
  <c r="P1169" i="1"/>
  <c r="O1169" i="1"/>
  <c r="N1169" i="1"/>
  <c r="M1169" i="1"/>
  <c r="P1168" i="1"/>
  <c r="O1168" i="1"/>
  <c r="N1168" i="1"/>
  <c r="M1168" i="1"/>
  <c r="P1167" i="1"/>
  <c r="O1167" i="1"/>
  <c r="N1167" i="1"/>
  <c r="M1167" i="1"/>
  <c r="P1166" i="1"/>
  <c r="O1166" i="1"/>
  <c r="N1166" i="1"/>
  <c r="M1166" i="1"/>
  <c r="P1165" i="1"/>
  <c r="O1165" i="1"/>
  <c r="N1165" i="1"/>
  <c r="M1165" i="1"/>
  <c r="P1164" i="1"/>
  <c r="O1164" i="1"/>
  <c r="N1164" i="1"/>
  <c r="M1164" i="1"/>
  <c r="P1163" i="1"/>
  <c r="O1163" i="1"/>
  <c r="N1163" i="1"/>
  <c r="M1163" i="1"/>
  <c r="P1162" i="1"/>
  <c r="O1162" i="1"/>
  <c r="N1162" i="1"/>
  <c r="M1162" i="1"/>
  <c r="P1161" i="1"/>
  <c r="O1161" i="1"/>
  <c r="N1161" i="1"/>
  <c r="M1161" i="1"/>
  <c r="P1160" i="1"/>
  <c r="O1160" i="1"/>
  <c r="N1160" i="1"/>
  <c r="M1160" i="1"/>
  <c r="P1159" i="1"/>
  <c r="O1159" i="1"/>
  <c r="N1159" i="1"/>
  <c r="M1159" i="1"/>
  <c r="P1158" i="1"/>
  <c r="O1158" i="1"/>
  <c r="N1158" i="1"/>
  <c r="M1158" i="1"/>
  <c r="P1157" i="1"/>
  <c r="O1157" i="1"/>
  <c r="N1157" i="1"/>
  <c r="M1157" i="1"/>
  <c r="P1156" i="1"/>
  <c r="O1156" i="1"/>
  <c r="N1156" i="1"/>
  <c r="M1156" i="1"/>
  <c r="P1155" i="1"/>
  <c r="O1155" i="1"/>
  <c r="N1155" i="1"/>
  <c r="M1155" i="1"/>
  <c r="P1154" i="1"/>
  <c r="O1154" i="1"/>
  <c r="N1154" i="1"/>
  <c r="M1154" i="1"/>
  <c r="P1153" i="1"/>
  <c r="O1153" i="1"/>
  <c r="N1153" i="1"/>
  <c r="M1153" i="1"/>
  <c r="P1152" i="1"/>
  <c r="O1152" i="1"/>
  <c r="N1152" i="1"/>
  <c r="M1152" i="1"/>
  <c r="P1151" i="1"/>
  <c r="O1151" i="1"/>
  <c r="N1151" i="1"/>
  <c r="M1151" i="1"/>
  <c r="P1150" i="1"/>
  <c r="O1150" i="1"/>
  <c r="N1150" i="1"/>
  <c r="M1150" i="1"/>
  <c r="P1149" i="1"/>
  <c r="O1149" i="1"/>
  <c r="N1149" i="1"/>
  <c r="M1149" i="1"/>
  <c r="P1148" i="1"/>
  <c r="O1148" i="1"/>
  <c r="N1148" i="1"/>
  <c r="M1148" i="1"/>
  <c r="P1147" i="1"/>
  <c r="O1147" i="1"/>
  <c r="N1147" i="1"/>
  <c r="M1147" i="1"/>
  <c r="P1146" i="1"/>
  <c r="O1146" i="1"/>
  <c r="N1146" i="1"/>
  <c r="M1146" i="1"/>
  <c r="P1145" i="1"/>
  <c r="O1145" i="1"/>
  <c r="N1145" i="1"/>
  <c r="M1145" i="1"/>
  <c r="P1144" i="1"/>
  <c r="O1144" i="1"/>
  <c r="N1144" i="1"/>
  <c r="M1144" i="1"/>
  <c r="P1143" i="1"/>
  <c r="O1143" i="1"/>
  <c r="N1143" i="1"/>
  <c r="M1143" i="1"/>
  <c r="P1142" i="1"/>
  <c r="O1142" i="1"/>
  <c r="N1142" i="1"/>
  <c r="M1142" i="1"/>
  <c r="P1141" i="1"/>
  <c r="O1141" i="1"/>
  <c r="N1141" i="1"/>
  <c r="M1141" i="1"/>
  <c r="P1140" i="1"/>
  <c r="O1140" i="1"/>
  <c r="N1140" i="1"/>
  <c r="M1140" i="1"/>
  <c r="P1139" i="1"/>
  <c r="O1139" i="1"/>
  <c r="N1139" i="1"/>
  <c r="M1139" i="1"/>
  <c r="P1138" i="1"/>
  <c r="O1138" i="1"/>
  <c r="N1138" i="1"/>
  <c r="M1138" i="1"/>
  <c r="P1137" i="1"/>
  <c r="O1137" i="1"/>
  <c r="N1137" i="1"/>
  <c r="M1137" i="1"/>
  <c r="P1136" i="1"/>
  <c r="O1136" i="1"/>
  <c r="N1136" i="1"/>
  <c r="M1136" i="1"/>
  <c r="P1135" i="1"/>
  <c r="O1135" i="1"/>
  <c r="N1135" i="1"/>
  <c r="M1135" i="1"/>
  <c r="P1134" i="1"/>
  <c r="O1134" i="1"/>
  <c r="N1134" i="1"/>
  <c r="M1134" i="1"/>
  <c r="P1133" i="1"/>
  <c r="O1133" i="1"/>
  <c r="N1133" i="1"/>
  <c r="M1133" i="1"/>
  <c r="P1132" i="1"/>
  <c r="O1132" i="1"/>
  <c r="N1132" i="1"/>
  <c r="M1132" i="1"/>
  <c r="P1131" i="1"/>
  <c r="O1131" i="1"/>
  <c r="N1131" i="1"/>
  <c r="M1131" i="1"/>
  <c r="P1130" i="1"/>
  <c r="O1130" i="1"/>
  <c r="N1130" i="1"/>
  <c r="M1130" i="1"/>
  <c r="P1129" i="1"/>
  <c r="O1129" i="1"/>
  <c r="N1129" i="1"/>
  <c r="M1129" i="1"/>
  <c r="P1128" i="1"/>
  <c r="O1128" i="1"/>
  <c r="N1128" i="1"/>
  <c r="M1128" i="1"/>
  <c r="P1127" i="1"/>
  <c r="O1127" i="1"/>
  <c r="N1127" i="1"/>
  <c r="M1127" i="1"/>
  <c r="P1126" i="1"/>
  <c r="O1126" i="1"/>
  <c r="N1126" i="1"/>
  <c r="M1126" i="1"/>
  <c r="P1125" i="1"/>
  <c r="O1125" i="1"/>
  <c r="N1125" i="1"/>
  <c r="M1125" i="1"/>
  <c r="P1124" i="1"/>
  <c r="O1124" i="1"/>
  <c r="N1124" i="1"/>
  <c r="M1124" i="1"/>
  <c r="P1123" i="1"/>
  <c r="O1123" i="1"/>
  <c r="N1123" i="1"/>
  <c r="M1123" i="1"/>
  <c r="P1122" i="1"/>
  <c r="O1122" i="1"/>
  <c r="N1122" i="1"/>
  <c r="M1122" i="1"/>
  <c r="P1121" i="1"/>
  <c r="O1121" i="1"/>
  <c r="N1121" i="1"/>
  <c r="M1121" i="1"/>
  <c r="P1120" i="1"/>
  <c r="O1120" i="1"/>
  <c r="N1120" i="1"/>
  <c r="M1120" i="1"/>
  <c r="P1119" i="1"/>
  <c r="O1119" i="1"/>
  <c r="N1119" i="1"/>
  <c r="M1119" i="1"/>
  <c r="P1118" i="1"/>
  <c r="O1118" i="1"/>
  <c r="N1118" i="1"/>
  <c r="M1118" i="1"/>
  <c r="P1117" i="1"/>
  <c r="O1117" i="1"/>
  <c r="N1117" i="1"/>
  <c r="M1117" i="1"/>
  <c r="P1116" i="1"/>
  <c r="O1116" i="1"/>
  <c r="N1116" i="1"/>
  <c r="M1116" i="1"/>
  <c r="P1115" i="1"/>
  <c r="O1115" i="1"/>
  <c r="N1115" i="1"/>
  <c r="M1115" i="1"/>
  <c r="P1114" i="1"/>
  <c r="O1114" i="1"/>
  <c r="N1114" i="1"/>
  <c r="M1114" i="1"/>
  <c r="P1113" i="1"/>
  <c r="O1113" i="1"/>
  <c r="N1113" i="1"/>
  <c r="M1113" i="1"/>
  <c r="P1112" i="1"/>
  <c r="O1112" i="1"/>
  <c r="N1112" i="1"/>
  <c r="M1112" i="1"/>
  <c r="P1111" i="1"/>
  <c r="O1111" i="1"/>
  <c r="N1111" i="1"/>
  <c r="M1111" i="1"/>
  <c r="P1110" i="1"/>
  <c r="O1110" i="1"/>
  <c r="N1110" i="1"/>
  <c r="M1110" i="1"/>
  <c r="P1109" i="1"/>
  <c r="O1109" i="1"/>
  <c r="N1109" i="1"/>
  <c r="M1109" i="1"/>
  <c r="P1108" i="1"/>
  <c r="O1108" i="1"/>
  <c r="N1108" i="1"/>
  <c r="M1108" i="1"/>
  <c r="P1107" i="1"/>
  <c r="O1107" i="1"/>
  <c r="N1107" i="1"/>
  <c r="M1107" i="1"/>
  <c r="P1106" i="1"/>
  <c r="O1106" i="1"/>
  <c r="N1106" i="1"/>
  <c r="M1106" i="1"/>
  <c r="P1105" i="1"/>
  <c r="O1105" i="1"/>
  <c r="N1105" i="1"/>
  <c r="M1105" i="1"/>
  <c r="P1104" i="1"/>
  <c r="O1104" i="1"/>
  <c r="N1104" i="1"/>
  <c r="M1104" i="1"/>
  <c r="P1103" i="1"/>
  <c r="O1103" i="1"/>
  <c r="N1103" i="1"/>
  <c r="M1103" i="1"/>
  <c r="P1102" i="1"/>
  <c r="O1102" i="1"/>
  <c r="N1102" i="1"/>
  <c r="M1102" i="1"/>
  <c r="P1101" i="1"/>
  <c r="O1101" i="1"/>
  <c r="N1101" i="1"/>
  <c r="M1101" i="1"/>
  <c r="P1100" i="1"/>
  <c r="O1100" i="1"/>
  <c r="N1100" i="1"/>
  <c r="M1100" i="1"/>
  <c r="P1099" i="1"/>
  <c r="O1099" i="1"/>
  <c r="N1099" i="1"/>
  <c r="M1099" i="1"/>
  <c r="P1098" i="1"/>
  <c r="O1098" i="1"/>
  <c r="N1098" i="1"/>
  <c r="M1098" i="1"/>
  <c r="P1097" i="1"/>
  <c r="O1097" i="1"/>
  <c r="N1097" i="1"/>
  <c r="M1097" i="1"/>
  <c r="P1096" i="1"/>
  <c r="O1096" i="1"/>
  <c r="N1096" i="1"/>
  <c r="M1096" i="1"/>
  <c r="P1095" i="1"/>
  <c r="O1095" i="1"/>
  <c r="N1095" i="1"/>
  <c r="M1095" i="1"/>
  <c r="P1094" i="1"/>
  <c r="O1094" i="1"/>
  <c r="N1094" i="1"/>
  <c r="M1094" i="1"/>
  <c r="P1093" i="1"/>
  <c r="O1093" i="1"/>
  <c r="N1093" i="1"/>
  <c r="M1093" i="1"/>
  <c r="P1092" i="1"/>
  <c r="O1092" i="1"/>
  <c r="N1092" i="1"/>
  <c r="M1092" i="1"/>
  <c r="P1091" i="1"/>
  <c r="O1091" i="1"/>
  <c r="N1091" i="1"/>
  <c r="M1091" i="1"/>
  <c r="P1090" i="1"/>
  <c r="O1090" i="1"/>
  <c r="N1090" i="1"/>
  <c r="M1090" i="1"/>
  <c r="P1089" i="1"/>
  <c r="O1089" i="1"/>
  <c r="N1089" i="1"/>
  <c r="M1089" i="1"/>
  <c r="P1088" i="1"/>
  <c r="O1088" i="1"/>
  <c r="N1088" i="1"/>
  <c r="M1088" i="1"/>
  <c r="P1087" i="1"/>
  <c r="O1087" i="1"/>
  <c r="N1087" i="1"/>
  <c r="M1087" i="1"/>
  <c r="P1086" i="1"/>
  <c r="O1086" i="1"/>
  <c r="N1086" i="1"/>
  <c r="M1086" i="1"/>
  <c r="P1085" i="1"/>
  <c r="O1085" i="1"/>
  <c r="N1085" i="1"/>
  <c r="M1085" i="1"/>
  <c r="P1084" i="1"/>
  <c r="O1084" i="1"/>
  <c r="N1084" i="1"/>
  <c r="M1084" i="1"/>
  <c r="P1083" i="1"/>
  <c r="O1083" i="1"/>
  <c r="N1083" i="1"/>
  <c r="M1083" i="1"/>
  <c r="P1082" i="1"/>
  <c r="O1082" i="1"/>
  <c r="N1082" i="1"/>
  <c r="M1082" i="1"/>
  <c r="P1081" i="1"/>
  <c r="O1081" i="1"/>
  <c r="N1081" i="1"/>
  <c r="M1081" i="1"/>
  <c r="P1080" i="1"/>
  <c r="O1080" i="1"/>
  <c r="N1080" i="1"/>
  <c r="M1080" i="1"/>
  <c r="P1079" i="1"/>
  <c r="O1079" i="1"/>
  <c r="N1079" i="1"/>
  <c r="M1079" i="1"/>
  <c r="P1078" i="1"/>
  <c r="O1078" i="1"/>
  <c r="N1078" i="1"/>
  <c r="M1078" i="1"/>
  <c r="P1077" i="1"/>
  <c r="O1077" i="1"/>
  <c r="N1077" i="1"/>
  <c r="M1077" i="1"/>
  <c r="P1076" i="1"/>
  <c r="O1076" i="1"/>
  <c r="N1076" i="1"/>
  <c r="M1076" i="1"/>
  <c r="P1075" i="1"/>
  <c r="O1075" i="1"/>
  <c r="N1075" i="1"/>
  <c r="M1075" i="1"/>
  <c r="P1074" i="1"/>
  <c r="O1074" i="1"/>
  <c r="N1074" i="1"/>
  <c r="M1074" i="1"/>
  <c r="P1073" i="1"/>
  <c r="O1073" i="1"/>
  <c r="N1073" i="1"/>
  <c r="M1073" i="1"/>
  <c r="P1072" i="1"/>
  <c r="O1072" i="1"/>
  <c r="N1072" i="1"/>
  <c r="M1072" i="1"/>
  <c r="P1071" i="1"/>
  <c r="O1071" i="1"/>
  <c r="N1071" i="1"/>
  <c r="M1071" i="1"/>
  <c r="P1070" i="1"/>
  <c r="O1070" i="1"/>
  <c r="N1070" i="1"/>
  <c r="M1070" i="1"/>
  <c r="P1069" i="1"/>
  <c r="O1069" i="1"/>
  <c r="N1069" i="1"/>
  <c r="M1069" i="1"/>
  <c r="P1068" i="1"/>
  <c r="O1068" i="1"/>
  <c r="N1068" i="1"/>
  <c r="M1068" i="1"/>
  <c r="P1067" i="1"/>
  <c r="O1067" i="1"/>
  <c r="N1067" i="1"/>
  <c r="M1067" i="1"/>
  <c r="P1066" i="1"/>
  <c r="O1066" i="1"/>
  <c r="N1066" i="1"/>
  <c r="M1066" i="1"/>
  <c r="P1065" i="1"/>
  <c r="O1065" i="1"/>
  <c r="N1065" i="1"/>
  <c r="M1065" i="1"/>
  <c r="P1064" i="1"/>
  <c r="O1064" i="1"/>
  <c r="N1064" i="1"/>
  <c r="M1064" i="1"/>
  <c r="P1063" i="1"/>
  <c r="O1063" i="1"/>
  <c r="N1063" i="1"/>
  <c r="M1063" i="1"/>
  <c r="P1062" i="1"/>
  <c r="O1062" i="1"/>
  <c r="N1062" i="1"/>
  <c r="M1062" i="1"/>
  <c r="P1061" i="1"/>
  <c r="O1061" i="1"/>
  <c r="N1061" i="1"/>
  <c r="M1061" i="1"/>
  <c r="P1060" i="1"/>
  <c r="O1060" i="1"/>
  <c r="N1060" i="1"/>
  <c r="M1060" i="1"/>
  <c r="P1059" i="1"/>
  <c r="O1059" i="1"/>
  <c r="N1059" i="1"/>
  <c r="M1059" i="1"/>
  <c r="P1058" i="1"/>
  <c r="O1058" i="1"/>
  <c r="N1058" i="1"/>
  <c r="M1058" i="1"/>
  <c r="P1057" i="1"/>
  <c r="O1057" i="1"/>
  <c r="N1057" i="1"/>
  <c r="M1057" i="1"/>
  <c r="P1056" i="1"/>
  <c r="O1056" i="1"/>
  <c r="N1056" i="1"/>
  <c r="M1056" i="1"/>
  <c r="P1055" i="1"/>
  <c r="O1055" i="1"/>
  <c r="N1055" i="1"/>
  <c r="M1055" i="1"/>
  <c r="P1054" i="1"/>
  <c r="O1054" i="1"/>
  <c r="N1054" i="1"/>
  <c r="M1054" i="1"/>
  <c r="P1053" i="1"/>
  <c r="O1053" i="1"/>
  <c r="N1053" i="1"/>
  <c r="M1053" i="1"/>
  <c r="P1052" i="1"/>
  <c r="O1052" i="1"/>
  <c r="N1052" i="1"/>
  <c r="M1052" i="1"/>
  <c r="P1051" i="1"/>
  <c r="O1051" i="1"/>
  <c r="N1051" i="1"/>
  <c r="M1051" i="1"/>
  <c r="P1050" i="1"/>
  <c r="O1050" i="1"/>
  <c r="N1050" i="1"/>
  <c r="M1050" i="1"/>
  <c r="P1049" i="1"/>
  <c r="O1049" i="1"/>
  <c r="N1049" i="1"/>
  <c r="M1049" i="1"/>
  <c r="P1048" i="1"/>
  <c r="O1048" i="1"/>
  <c r="N1048" i="1"/>
  <c r="M1048" i="1"/>
  <c r="P1047" i="1"/>
  <c r="O1047" i="1"/>
  <c r="N1047" i="1"/>
  <c r="M1047" i="1"/>
  <c r="P1046" i="1"/>
  <c r="O1046" i="1"/>
  <c r="N1046" i="1"/>
  <c r="M1046" i="1"/>
  <c r="P1045" i="1"/>
  <c r="O1045" i="1"/>
  <c r="N1045" i="1"/>
  <c r="M1045" i="1"/>
  <c r="P1044" i="1"/>
  <c r="O1044" i="1"/>
  <c r="N1044" i="1"/>
  <c r="M1044" i="1"/>
  <c r="P1043" i="1"/>
  <c r="O1043" i="1"/>
  <c r="N1043" i="1"/>
  <c r="M1043" i="1"/>
  <c r="P1042" i="1"/>
  <c r="O1042" i="1"/>
  <c r="N1042" i="1"/>
  <c r="M1042" i="1"/>
  <c r="P1041" i="1"/>
  <c r="O1041" i="1"/>
  <c r="N1041" i="1"/>
  <c r="M1041" i="1"/>
  <c r="P1040" i="1"/>
  <c r="O1040" i="1"/>
  <c r="N1040" i="1"/>
  <c r="M1040" i="1"/>
  <c r="P1039" i="1"/>
  <c r="O1039" i="1"/>
  <c r="N1039" i="1"/>
  <c r="M1039" i="1"/>
  <c r="P1038" i="1"/>
  <c r="O1038" i="1"/>
  <c r="N1038" i="1"/>
  <c r="M1038" i="1"/>
  <c r="P1037" i="1"/>
  <c r="O1037" i="1"/>
  <c r="N1037" i="1"/>
  <c r="M1037" i="1"/>
  <c r="P1036" i="1"/>
  <c r="O1036" i="1"/>
  <c r="N1036" i="1"/>
  <c r="M1036" i="1"/>
  <c r="P1035" i="1"/>
  <c r="O1035" i="1"/>
  <c r="N1035" i="1"/>
  <c r="M1035" i="1"/>
  <c r="P1034" i="1"/>
  <c r="O1034" i="1"/>
  <c r="N1034" i="1"/>
  <c r="M1034" i="1"/>
  <c r="P1033" i="1"/>
  <c r="O1033" i="1"/>
  <c r="N1033" i="1"/>
  <c r="M1033" i="1"/>
  <c r="P1032" i="1"/>
  <c r="O1032" i="1"/>
  <c r="N1032" i="1"/>
  <c r="M1032" i="1"/>
  <c r="P1031" i="1"/>
  <c r="O1031" i="1"/>
  <c r="N1031" i="1"/>
  <c r="M1031" i="1"/>
  <c r="P1030" i="1"/>
  <c r="O1030" i="1"/>
  <c r="N1030" i="1"/>
  <c r="M1030" i="1"/>
  <c r="P1029" i="1"/>
  <c r="O1029" i="1"/>
  <c r="N1029" i="1"/>
  <c r="M1029" i="1"/>
  <c r="P1028" i="1"/>
  <c r="O1028" i="1"/>
  <c r="N1028" i="1"/>
  <c r="M1028" i="1"/>
  <c r="P1027" i="1"/>
  <c r="O1027" i="1"/>
  <c r="N1027" i="1"/>
  <c r="M1027" i="1"/>
  <c r="P1026" i="1"/>
  <c r="O1026" i="1"/>
  <c r="N1026" i="1"/>
  <c r="M1026" i="1"/>
  <c r="P1025" i="1"/>
  <c r="O1025" i="1"/>
  <c r="N1025" i="1"/>
  <c r="M1025" i="1"/>
  <c r="P1024" i="1"/>
  <c r="O1024" i="1"/>
  <c r="N1024" i="1"/>
  <c r="M1024" i="1"/>
  <c r="P1023" i="1"/>
  <c r="O1023" i="1"/>
  <c r="N1023" i="1"/>
  <c r="M1023" i="1"/>
  <c r="P1022" i="1"/>
  <c r="O1022" i="1"/>
  <c r="N1022" i="1"/>
  <c r="M1022" i="1"/>
  <c r="P1021" i="1"/>
  <c r="O1021" i="1"/>
  <c r="N1021" i="1"/>
  <c r="M1021" i="1"/>
  <c r="P1020" i="1"/>
  <c r="O1020" i="1"/>
  <c r="N1020" i="1"/>
  <c r="M1020" i="1"/>
  <c r="P1019" i="1"/>
  <c r="O1019" i="1"/>
  <c r="N1019" i="1"/>
  <c r="M1019" i="1"/>
  <c r="P1018" i="1"/>
  <c r="O1018" i="1"/>
  <c r="N1018" i="1"/>
  <c r="M1018" i="1"/>
  <c r="P1017" i="1"/>
  <c r="O1017" i="1"/>
  <c r="N1017" i="1"/>
  <c r="M1017" i="1"/>
  <c r="P1016" i="1"/>
  <c r="O1016" i="1"/>
  <c r="N1016" i="1"/>
  <c r="M1016" i="1"/>
  <c r="P1015" i="1"/>
  <c r="O1015" i="1"/>
  <c r="N1015" i="1"/>
  <c r="M1015" i="1"/>
  <c r="P1014" i="1"/>
  <c r="O1014" i="1"/>
  <c r="N1014" i="1"/>
  <c r="M1014" i="1"/>
  <c r="P1013" i="1"/>
  <c r="O1013" i="1"/>
  <c r="N1013" i="1"/>
  <c r="M1013" i="1"/>
  <c r="P1012" i="1"/>
  <c r="O1012" i="1"/>
  <c r="N1012" i="1"/>
  <c r="M1012" i="1"/>
  <c r="P1011" i="1"/>
  <c r="O1011" i="1"/>
  <c r="N1011" i="1"/>
  <c r="M1011" i="1"/>
  <c r="P1010" i="1"/>
  <c r="O1010" i="1"/>
  <c r="N1010" i="1"/>
  <c r="M1010" i="1"/>
  <c r="P1009" i="1"/>
  <c r="O1009" i="1"/>
  <c r="N1009" i="1"/>
  <c r="M1009" i="1"/>
  <c r="P1008" i="1"/>
  <c r="O1008" i="1"/>
  <c r="N1008" i="1"/>
  <c r="M1008" i="1"/>
  <c r="P1007" i="1"/>
  <c r="O1007" i="1"/>
  <c r="N1007" i="1"/>
  <c r="M1007" i="1"/>
  <c r="P1006" i="1"/>
  <c r="O1006" i="1"/>
  <c r="N1006" i="1"/>
  <c r="M1006" i="1"/>
  <c r="P1005" i="1"/>
  <c r="O1005" i="1"/>
  <c r="N1005" i="1"/>
  <c r="M1005" i="1"/>
  <c r="P1004" i="1"/>
  <c r="O1004" i="1"/>
  <c r="N1004" i="1"/>
  <c r="M1004" i="1"/>
  <c r="P1003" i="1"/>
  <c r="O1003" i="1"/>
  <c r="N1003" i="1"/>
  <c r="M1003" i="1"/>
  <c r="P1002" i="1"/>
  <c r="O1002" i="1"/>
  <c r="N1002" i="1"/>
  <c r="M1002" i="1"/>
  <c r="P1001" i="1"/>
  <c r="O1001" i="1"/>
  <c r="N1001" i="1"/>
  <c r="M1001" i="1"/>
  <c r="P1000" i="1"/>
  <c r="O1000" i="1"/>
  <c r="N1000" i="1"/>
  <c r="M1000" i="1"/>
  <c r="P999" i="1"/>
  <c r="O999" i="1"/>
  <c r="N999" i="1"/>
  <c r="M999" i="1"/>
  <c r="P998" i="1"/>
  <c r="O998" i="1"/>
  <c r="N998" i="1"/>
  <c r="M998" i="1"/>
  <c r="P997" i="1"/>
  <c r="O997" i="1"/>
  <c r="N997" i="1"/>
  <c r="M997" i="1"/>
  <c r="P996" i="1"/>
  <c r="O996" i="1"/>
  <c r="N996" i="1"/>
  <c r="M996" i="1"/>
  <c r="P995" i="1"/>
  <c r="O995" i="1"/>
  <c r="N995" i="1"/>
  <c r="M995" i="1"/>
  <c r="P994" i="1"/>
  <c r="O994" i="1"/>
  <c r="N994" i="1"/>
  <c r="M994" i="1"/>
  <c r="P993" i="1"/>
  <c r="O993" i="1"/>
  <c r="N993" i="1"/>
  <c r="M993" i="1"/>
  <c r="P992" i="1"/>
  <c r="O992" i="1"/>
  <c r="N992" i="1"/>
  <c r="M992" i="1"/>
  <c r="P991" i="1"/>
  <c r="O991" i="1"/>
  <c r="N991" i="1"/>
  <c r="M991" i="1"/>
  <c r="P990" i="1"/>
  <c r="O990" i="1"/>
  <c r="N990" i="1"/>
  <c r="M990" i="1"/>
  <c r="P989" i="1"/>
  <c r="O989" i="1"/>
  <c r="N989" i="1"/>
  <c r="M989" i="1"/>
  <c r="P988" i="1"/>
  <c r="O988" i="1"/>
  <c r="N988" i="1"/>
  <c r="M988" i="1"/>
  <c r="P987" i="1"/>
  <c r="O987" i="1"/>
  <c r="N987" i="1"/>
  <c r="M987" i="1"/>
  <c r="P986" i="1"/>
  <c r="O986" i="1"/>
  <c r="N986" i="1"/>
  <c r="M986" i="1"/>
  <c r="P985" i="1"/>
  <c r="O985" i="1"/>
  <c r="N985" i="1"/>
  <c r="M985" i="1"/>
  <c r="P984" i="1"/>
  <c r="O984" i="1"/>
  <c r="N984" i="1"/>
  <c r="M984" i="1"/>
  <c r="P983" i="1"/>
  <c r="O983" i="1"/>
  <c r="N983" i="1"/>
  <c r="M983" i="1"/>
  <c r="P982" i="1"/>
  <c r="O982" i="1"/>
  <c r="N982" i="1"/>
  <c r="M982" i="1"/>
  <c r="P981" i="1"/>
  <c r="O981" i="1"/>
  <c r="N981" i="1"/>
  <c r="M981" i="1"/>
  <c r="P980" i="1"/>
  <c r="O980" i="1"/>
  <c r="N980" i="1"/>
  <c r="M980" i="1"/>
  <c r="P979" i="1"/>
  <c r="O979" i="1"/>
  <c r="N979" i="1"/>
  <c r="M979" i="1"/>
  <c r="P978" i="1"/>
  <c r="O978" i="1"/>
  <c r="N978" i="1"/>
  <c r="M978" i="1"/>
  <c r="P977" i="1"/>
  <c r="O977" i="1"/>
  <c r="N977" i="1"/>
  <c r="M977" i="1"/>
  <c r="P976" i="1"/>
  <c r="O976" i="1"/>
  <c r="N976" i="1"/>
  <c r="M976" i="1"/>
  <c r="P975" i="1"/>
  <c r="O975" i="1"/>
  <c r="N975" i="1"/>
  <c r="M975" i="1"/>
  <c r="P974" i="1"/>
  <c r="O974" i="1"/>
  <c r="N974" i="1"/>
  <c r="M974" i="1"/>
  <c r="P973" i="1"/>
  <c r="O973" i="1"/>
  <c r="N973" i="1"/>
  <c r="M973" i="1"/>
  <c r="P972" i="1"/>
  <c r="O972" i="1"/>
  <c r="N972" i="1"/>
  <c r="M972" i="1"/>
  <c r="P971" i="1"/>
  <c r="O971" i="1"/>
  <c r="N971" i="1"/>
  <c r="M971" i="1"/>
  <c r="P970" i="1"/>
  <c r="O970" i="1"/>
  <c r="N970" i="1"/>
  <c r="M970" i="1"/>
  <c r="P969" i="1"/>
  <c r="O969" i="1"/>
  <c r="N969" i="1"/>
  <c r="M969" i="1"/>
  <c r="P968" i="1"/>
  <c r="O968" i="1"/>
  <c r="N968" i="1"/>
  <c r="M968" i="1"/>
  <c r="P967" i="1"/>
  <c r="O967" i="1"/>
  <c r="N967" i="1"/>
  <c r="M967" i="1"/>
  <c r="P966" i="1"/>
  <c r="O966" i="1"/>
  <c r="N966" i="1"/>
  <c r="M966" i="1"/>
  <c r="P965" i="1"/>
  <c r="O965" i="1"/>
  <c r="N965" i="1"/>
  <c r="M965" i="1"/>
  <c r="P964" i="1"/>
  <c r="O964" i="1"/>
  <c r="N964" i="1"/>
  <c r="M964" i="1"/>
  <c r="P963" i="1"/>
  <c r="O963" i="1"/>
  <c r="N963" i="1"/>
  <c r="M963" i="1"/>
  <c r="P962" i="1"/>
  <c r="O962" i="1"/>
  <c r="N962" i="1"/>
  <c r="M962" i="1"/>
  <c r="P961" i="1"/>
  <c r="O961" i="1"/>
  <c r="N961" i="1"/>
  <c r="M961" i="1"/>
  <c r="P960" i="1"/>
  <c r="O960" i="1"/>
  <c r="N960" i="1"/>
  <c r="M960" i="1"/>
  <c r="P959" i="1"/>
  <c r="O959" i="1"/>
  <c r="N959" i="1"/>
  <c r="M959" i="1"/>
  <c r="P958" i="1"/>
  <c r="O958" i="1"/>
  <c r="N958" i="1"/>
  <c r="M958" i="1"/>
  <c r="P957" i="1"/>
  <c r="O957" i="1"/>
  <c r="N957" i="1"/>
  <c r="M957" i="1"/>
  <c r="P956" i="1"/>
  <c r="O956" i="1"/>
  <c r="N956" i="1"/>
  <c r="M956" i="1"/>
  <c r="P955" i="1"/>
  <c r="O955" i="1"/>
  <c r="N955" i="1"/>
  <c r="M955" i="1"/>
  <c r="P954" i="1"/>
  <c r="O954" i="1"/>
  <c r="N954" i="1"/>
  <c r="M954" i="1"/>
  <c r="P953" i="1"/>
  <c r="O953" i="1"/>
  <c r="N953" i="1"/>
  <c r="M953" i="1"/>
  <c r="P952" i="1"/>
  <c r="O952" i="1"/>
  <c r="N952" i="1"/>
  <c r="M952" i="1"/>
  <c r="P951" i="1"/>
  <c r="O951" i="1"/>
  <c r="N951" i="1"/>
  <c r="M951" i="1"/>
  <c r="P950" i="1"/>
  <c r="O950" i="1"/>
  <c r="N950" i="1"/>
  <c r="M950" i="1"/>
  <c r="P949" i="1"/>
  <c r="O949" i="1"/>
  <c r="N949" i="1"/>
  <c r="M949" i="1"/>
  <c r="P948" i="1"/>
  <c r="O948" i="1"/>
  <c r="N948" i="1"/>
  <c r="M948" i="1"/>
  <c r="P947" i="1"/>
  <c r="O947" i="1"/>
  <c r="N947" i="1"/>
  <c r="M947" i="1"/>
  <c r="P946" i="1"/>
  <c r="O946" i="1"/>
  <c r="N946" i="1"/>
  <c r="M946" i="1"/>
  <c r="P945" i="1"/>
  <c r="O945" i="1"/>
  <c r="N945" i="1"/>
  <c r="M945" i="1"/>
  <c r="P944" i="1"/>
  <c r="O944" i="1"/>
  <c r="N944" i="1"/>
  <c r="M944" i="1"/>
  <c r="P943" i="1"/>
  <c r="O943" i="1"/>
  <c r="N943" i="1"/>
  <c r="M943" i="1"/>
  <c r="P942" i="1"/>
  <c r="O942" i="1"/>
  <c r="N942" i="1"/>
  <c r="M942" i="1"/>
  <c r="P941" i="1"/>
  <c r="O941" i="1"/>
  <c r="N941" i="1"/>
  <c r="M941" i="1"/>
  <c r="P940" i="1"/>
  <c r="O940" i="1"/>
  <c r="N940" i="1"/>
  <c r="M940" i="1"/>
  <c r="P939" i="1"/>
  <c r="O939" i="1"/>
  <c r="N939" i="1"/>
  <c r="M939" i="1"/>
  <c r="P938" i="1"/>
  <c r="O938" i="1"/>
  <c r="N938" i="1"/>
  <c r="M938" i="1"/>
  <c r="P937" i="1"/>
  <c r="O937" i="1"/>
  <c r="N937" i="1"/>
  <c r="M937" i="1"/>
  <c r="P936" i="1"/>
  <c r="O936" i="1"/>
  <c r="N936" i="1"/>
  <c r="M936" i="1"/>
  <c r="P935" i="1"/>
  <c r="O935" i="1"/>
  <c r="N935" i="1"/>
  <c r="M935" i="1"/>
  <c r="P934" i="1"/>
  <c r="O934" i="1"/>
  <c r="N934" i="1"/>
  <c r="M934" i="1"/>
  <c r="P933" i="1"/>
  <c r="O933" i="1"/>
  <c r="N933" i="1"/>
  <c r="M933" i="1"/>
  <c r="P932" i="1"/>
  <c r="O932" i="1"/>
  <c r="N932" i="1"/>
  <c r="M932" i="1"/>
  <c r="P931" i="1"/>
  <c r="O931" i="1"/>
  <c r="N931" i="1"/>
  <c r="M931" i="1"/>
  <c r="P930" i="1"/>
  <c r="O930" i="1"/>
  <c r="N930" i="1"/>
  <c r="M930" i="1"/>
  <c r="P929" i="1"/>
  <c r="O929" i="1"/>
  <c r="N929" i="1"/>
  <c r="M929" i="1"/>
  <c r="P928" i="1"/>
  <c r="O928" i="1"/>
  <c r="N928" i="1"/>
  <c r="M928" i="1"/>
  <c r="P927" i="1"/>
  <c r="O927" i="1"/>
  <c r="N927" i="1"/>
  <c r="M927" i="1"/>
  <c r="P926" i="1"/>
  <c r="O926" i="1"/>
  <c r="N926" i="1"/>
  <c r="M926" i="1"/>
  <c r="P925" i="1"/>
  <c r="O925" i="1"/>
  <c r="N925" i="1"/>
  <c r="M925" i="1"/>
  <c r="P924" i="1"/>
  <c r="O924" i="1"/>
  <c r="N924" i="1"/>
  <c r="M924" i="1"/>
  <c r="P923" i="1"/>
  <c r="O923" i="1"/>
  <c r="N923" i="1"/>
  <c r="M923" i="1"/>
  <c r="P922" i="1"/>
  <c r="O922" i="1"/>
  <c r="N922" i="1"/>
  <c r="M922" i="1"/>
  <c r="P921" i="1"/>
  <c r="O921" i="1"/>
  <c r="N921" i="1"/>
  <c r="M921" i="1"/>
  <c r="P920" i="1"/>
  <c r="O920" i="1"/>
  <c r="N920" i="1"/>
  <c r="M920" i="1"/>
  <c r="P919" i="1"/>
  <c r="O919" i="1"/>
  <c r="N919" i="1"/>
  <c r="M919" i="1"/>
  <c r="P918" i="1"/>
  <c r="O918" i="1"/>
  <c r="N918" i="1"/>
  <c r="M918" i="1"/>
  <c r="P917" i="1"/>
  <c r="O917" i="1"/>
  <c r="N917" i="1"/>
  <c r="M917" i="1"/>
  <c r="P916" i="1"/>
  <c r="O916" i="1"/>
  <c r="N916" i="1"/>
  <c r="M916" i="1"/>
  <c r="P915" i="1"/>
  <c r="O915" i="1"/>
  <c r="N915" i="1"/>
  <c r="M915" i="1"/>
  <c r="P914" i="1"/>
  <c r="O914" i="1"/>
  <c r="N914" i="1"/>
  <c r="M914" i="1"/>
  <c r="P913" i="1"/>
  <c r="O913" i="1"/>
  <c r="N913" i="1"/>
  <c r="M913" i="1"/>
  <c r="P912" i="1"/>
  <c r="O912" i="1"/>
  <c r="N912" i="1"/>
  <c r="M912" i="1"/>
  <c r="P911" i="1"/>
  <c r="O911" i="1"/>
  <c r="N911" i="1"/>
  <c r="M911" i="1"/>
  <c r="P910" i="1"/>
  <c r="O910" i="1"/>
  <c r="N910" i="1"/>
  <c r="M910" i="1"/>
  <c r="P909" i="1"/>
  <c r="O909" i="1"/>
  <c r="N909" i="1"/>
  <c r="M909" i="1"/>
  <c r="P908" i="1"/>
  <c r="O908" i="1"/>
  <c r="N908" i="1"/>
  <c r="M908" i="1"/>
  <c r="P907" i="1"/>
  <c r="O907" i="1"/>
  <c r="N907" i="1"/>
  <c r="M907" i="1"/>
  <c r="P906" i="1"/>
  <c r="O906" i="1"/>
  <c r="N906" i="1"/>
  <c r="M906" i="1"/>
  <c r="P905" i="1"/>
  <c r="O905" i="1"/>
  <c r="N905" i="1"/>
  <c r="M905" i="1"/>
  <c r="P904" i="1"/>
  <c r="O904" i="1"/>
  <c r="N904" i="1"/>
  <c r="M904" i="1"/>
  <c r="P903" i="1"/>
  <c r="O903" i="1"/>
  <c r="N903" i="1"/>
  <c r="M903" i="1"/>
  <c r="P902" i="1"/>
  <c r="O902" i="1"/>
  <c r="N902" i="1"/>
  <c r="M902" i="1"/>
  <c r="P901" i="1"/>
  <c r="O901" i="1"/>
  <c r="N901" i="1"/>
  <c r="M901" i="1"/>
  <c r="P900" i="1"/>
  <c r="O900" i="1"/>
  <c r="N900" i="1"/>
  <c r="M900" i="1"/>
  <c r="P899" i="1"/>
  <c r="O899" i="1"/>
  <c r="N899" i="1"/>
  <c r="M899" i="1"/>
  <c r="P898" i="1"/>
  <c r="O898" i="1"/>
  <c r="N898" i="1"/>
  <c r="M898" i="1"/>
  <c r="P897" i="1"/>
  <c r="O897" i="1"/>
  <c r="N897" i="1"/>
  <c r="M897" i="1"/>
  <c r="P896" i="1"/>
  <c r="O896" i="1"/>
  <c r="N896" i="1"/>
  <c r="M896" i="1"/>
  <c r="P895" i="1"/>
  <c r="O895" i="1"/>
  <c r="N895" i="1"/>
  <c r="M895" i="1"/>
  <c r="P894" i="1"/>
  <c r="O894" i="1"/>
  <c r="N894" i="1"/>
  <c r="M894" i="1"/>
  <c r="P893" i="1"/>
  <c r="O893" i="1"/>
  <c r="N893" i="1"/>
  <c r="M893" i="1"/>
  <c r="P892" i="1"/>
  <c r="O892" i="1"/>
  <c r="N892" i="1"/>
  <c r="M892" i="1"/>
  <c r="P891" i="1"/>
  <c r="O891" i="1"/>
  <c r="N891" i="1"/>
  <c r="M891" i="1"/>
  <c r="P890" i="1"/>
  <c r="O890" i="1"/>
  <c r="N890" i="1"/>
  <c r="M890" i="1"/>
  <c r="P889" i="1"/>
  <c r="O889" i="1"/>
  <c r="N889" i="1"/>
  <c r="M889" i="1"/>
  <c r="P888" i="1"/>
  <c r="O888" i="1"/>
  <c r="N888" i="1"/>
  <c r="M888" i="1"/>
  <c r="P887" i="1"/>
  <c r="O887" i="1"/>
  <c r="N887" i="1"/>
  <c r="M887" i="1"/>
  <c r="P886" i="1"/>
  <c r="O886" i="1"/>
  <c r="N886" i="1"/>
  <c r="M886" i="1"/>
  <c r="P885" i="1"/>
  <c r="O885" i="1"/>
  <c r="N885" i="1"/>
  <c r="M885" i="1"/>
  <c r="P884" i="1"/>
  <c r="O884" i="1"/>
  <c r="N884" i="1"/>
  <c r="M884" i="1"/>
  <c r="P883" i="1"/>
  <c r="O883" i="1"/>
  <c r="N883" i="1"/>
  <c r="M883" i="1"/>
  <c r="P882" i="1"/>
  <c r="O882" i="1"/>
  <c r="N882" i="1"/>
  <c r="M882" i="1"/>
  <c r="P881" i="1"/>
  <c r="O881" i="1"/>
  <c r="N881" i="1"/>
  <c r="M881" i="1"/>
  <c r="P880" i="1"/>
  <c r="O880" i="1"/>
  <c r="N880" i="1"/>
  <c r="M880" i="1"/>
  <c r="P879" i="1"/>
  <c r="O879" i="1"/>
  <c r="N879" i="1"/>
  <c r="M879" i="1"/>
  <c r="P878" i="1"/>
  <c r="O878" i="1"/>
  <c r="N878" i="1"/>
  <c r="M878" i="1"/>
  <c r="P877" i="1"/>
  <c r="O877" i="1"/>
  <c r="N877" i="1"/>
  <c r="M877" i="1"/>
  <c r="P876" i="1"/>
  <c r="O876" i="1"/>
  <c r="N876" i="1"/>
  <c r="M876" i="1"/>
  <c r="P875" i="1"/>
  <c r="O875" i="1"/>
  <c r="N875" i="1"/>
  <c r="M875" i="1"/>
  <c r="P874" i="1"/>
  <c r="O874" i="1"/>
  <c r="N874" i="1"/>
  <c r="M874" i="1"/>
  <c r="P873" i="1"/>
  <c r="O873" i="1"/>
  <c r="N873" i="1"/>
  <c r="M873" i="1"/>
  <c r="P872" i="1"/>
  <c r="O872" i="1"/>
  <c r="N872" i="1"/>
  <c r="M872" i="1"/>
  <c r="P871" i="1"/>
  <c r="O871" i="1"/>
  <c r="N871" i="1"/>
  <c r="M871" i="1"/>
  <c r="P870" i="1"/>
  <c r="O870" i="1"/>
  <c r="N870" i="1"/>
  <c r="M870" i="1"/>
  <c r="P869" i="1"/>
  <c r="O869" i="1"/>
  <c r="N869" i="1"/>
  <c r="M869" i="1"/>
  <c r="P868" i="1"/>
  <c r="O868" i="1"/>
  <c r="N868" i="1"/>
  <c r="M868" i="1"/>
  <c r="P867" i="1"/>
  <c r="O867" i="1"/>
  <c r="N867" i="1"/>
  <c r="M867" i="1"/>
  <c r="P866" i="1"/>
  <c r="O866" i="1"/>
  <c r="N866" i="1"/>
  <c r="M866" i="1"/>
  <c r="P865" i="1"/>
  <c r="O865" i="1"/>
  <c r="N865" i="1"/>
  <c r="M865" i="1"/>
  <c r="P864" i="1"/>
  <c r="O864" i="1"/>
  <c r="N864" i="1"/>
  <c r="M864" i="1"/>
  <c r="P863" i="1"/>
  <c r="O863" i="1"/>
  <c r="N863" i="1"/>
  <c r="M863" i="1"/>
  <c r="P862" i="1"/>
  <c r="O862" i="1"/>
  <c r="N862" i="1"/>
  <c r="M862" i="1"/>
  <c r="P861" i="1"/>
  <c r="O861" i="1"/>
  <c r="N861" i="1"/>
  <c r="M861" i="1"/>
  <c r="P860" i="1"/>
  <c r="O860" i="1"/>
  <c r="N860" i="1"/>
  <c r="M860" i="1"/>
  <c r="P859" i="1"/>
  <c r="O859" i="1"/>
  <c r="N859" i="1"/>
  <c r="M859" i="1"/>
  <c r="P858" i="1"/>
  <c r="O858" i="1"/>
  <c r="N858" i="1"/>
  <c r="M858" i="1"/>
  <c r="P857" i="1"/>
  <c r="O857" i="1"/>
  <c r="N857" i="1"/>
  <c r="M857" i="1"/>
  <c r="P856" i="1"/>
  <c r="O856" i="1"/>
  <c r="N856" i="1"/>
  <c r="M856" i="1"/>
  <c r="P855" i="1"/>
  <c r="O855" i="1"/>
  <c r="N855" i="1"/>
  <c r="M855" i="1"/>
  <c r="P854" i="1"/>
  <c r="O854" i="1"/>
  <c r="N854" i="1"/>
  <c r="M854" i="1"/>
  <c r="P853" i="1"/>
  <c r="O853" i="1"/>
  <c r="N853" i="1"/>
  <c r="M853" i="1"/>
  <c r="P852" i="1"/>
  <c r="O852" i="1"/>
  <c r="N852" i="1"/>
  <c r="M852" i="1"/>
  <c r="P851" i="1"/>
  <c r="O851" i="1"/>
  <c r="N851" i="1"/>
  <c r="M851" i="1"/>
  <c r="P850" i="1"/>
  <c r="O850" i="1"/>
  <c r="N850" i="1"/>
  <c r="M850" i="1"/>
  <c r="P849" i="1"/>
  <c r="O849" i="1"/>
  <c r="N849" i="1"/>
  <c r="M849" i="1"/>
  <c r="P848" i="1"/>
  <c r="O848" i="1"/>
  <c r="N848" i="1"/>
  <c r="M848" i="1"/>
  <c r="P847" i="1"/>
  <c r="O847" i="1"/>
  <c r="N847" i="1"/>
  <c r="M847" i="1"/>
  <c r="P846" i="1"/>
  <c r="O846" i="1"/>
  <c r="N846" i="1"/>
  <c r="M846" i="1"/>
  <c r="P845" i="1"/>
  <c r="O845" i="1"/>
  <c r="N845" i="1"/>
  <c r="M845" i="1"/>
  <c r="P844" i="1"/>
  <c r="O844" i="1"/>
  <c r="N844" i="1"/>
  <c r="M844" i="1"/>
  <c r="P843" i="1"/>
  <c r="O843" i="1"/>
  <c r="N843" i="1"/>
  <c r="M843" i="1"/>
  <c r="P842" i="1"/>
  <c r="O842" i="1"/>
  <c r="N842" i="1"/>
  <c r="M842" i="1"/>
  <c r="P841" i="1"/>
  <c r="O841" i="1"/>
  <c r="N841" i="1"/>
  <c r="M841" i="1"/>
  <c r="P840" i="1"/>
  <c r="O840" i="1"/>
  <c r="N840" i="1"/>
  <c r="M840" i="1"/>
  <c r="P839" i="1"/>
  <c r="O839" i="1"/>
  <c r="N839" i="1"/>
  <c r="M839" i="1"/>
  <c r="P838" i="1"/>
  <c r="O838" i="1"/>
  <c r="N838" i="1"/>
  <c r="M838" i="1"/>
  <c r="P837" i="1"/>
  <c r="O837" i="1"/>
  <c r="N837" i="1"/>
  <c r="M837" i="1"/>
  <c r="P836" i="1"/>
  <c r="O836" i="1"/>
  <c r="N836" i="1"/>
  <c r="M836" i="1"/>
  <c r="P835" i="1"/>
  <c r="O835" i="1"/>
  <c r="N835" i="1"/>
  <c r="M835" i="1"/>
  <c r="P834" i="1"/>
  <c r="O834" i="1"/>
  <c r="N834" i="1"/>
  <c r="M834" i="1"/>
  <c r="P833" i="1"/>
  <c r="O833" i="1"/>
  <c r="N833" i="1"/>
  <c r="M833" i="1"/>
  <c r="P832" i="1"/>
  <c r="O832" i="1"/>
  <c r="N832" i="1"/>
  <c r="M832" i="1"/>
  <c r="P831" i="1"/>
  <c r="O831" i="1"/>
  <c r="N831" i="1"/>
  <c r="M831" i="1"/>
  <c r="P830" i="1"/>
  <c r="O830" i="1"/>
  <c r="N830" i="1"/>
  <c r="M830" i="1"/>
  <c r="P829" i="1"/>
  <c r="O829" i="1"/>
  <c r="N829" i="1"/>
  <c r="M829" i="1"/>
  <c r="P828" i="1"/>
  <c r="O828" i="1"/>
  <c r="N828" i="1"/>
  <c r="M828" i="1"/>
  <c r="P827" i="1"/>
  <c r="O827" i="1"/>
  <c r="N827" i="1"/>
  <c r="M827" i="1"/>
  <c r="P826" i="1"/>
  <c r="O826" i="1"/>
  <c r="N826" i="1"/>
  <c r="M826" i="1"/>
  <c r="P825" i="1"/>
  <c r="O825" i="1"/>
  <c r="N825" i="1"/>
  <c r="M825" i="1"/>
  <c r="P824" i="1"/>
  <c r="O824" i="1"/>
  <c r="N824" i="1"/>
  <c r="M824" i="1"/>
  <c r="P823" i="1"/>
  <c r="O823" i="1"/>
  <c r="N823" i="1"/>
  <c r="M823" i="1"/>
  <c r="P822" i="1"/>
  <c r="O822" i="1"/>
  <c r="N822" i="1"/>
  <c r="M822" i="1"/>
  <c r="P821" i="1"/>
  <c r="O821" i="1"/>
  <c r="N821" i="1"/>
  <c r="M821" i="1"/>
  <c r="P820" i="1"/>
  <c r="O820" i="1"/>
  <c r="N820" i="1"/>
  <c r="M820" i="1"/>
  <c r="P819" i="1"/>
  <c r="O819" i="1"/>
  <c r="N819" i="1"/>
  <c r="M819" i="1"/>
  <c r="P818" i="1"/>
  <c r="O818" i="1"/>
  <c r="N818" i="1"/>
  <c r="M818" i="1"/>
  <c r="P817" i="1"/>
  <c r="O817" i="1"/>
  <c r="N817" i="1"/>
  <c r="M817" i="1"/>
  <c r="P816" i="1"/>
  <c r="O816" i="1"/>
  <c r="N816" i="1"/>
  <c r="M816" i="1"/>
  <c r="P815" i="1"/>
  <c r="O815" i="1"/>
  <c r="N815" i="1"/>
  <c r="M815" i="1"/>
  <c r="P814" i="1"/>
  <c r="O814" i="1"/>
  <c r="N814" i="1"/>
  <c r="M814" i="1"/>
  <c r="P813" i="1"/>
  <c r="O813" i="1"/>
  <c r="N813" i="1"/>
  <c r="M813" i="1"/>
  <c r="P812" i="1"/>
  <c r="O812" i="1"/>
  <c r="N812" i="1"/>
  <c r="M812" i="1"/>
  <c r="P811" i="1"/>
  <c r="O811" i="1"/>
  <c r="N811" i="1"/>
  <c r="M811" i="1"/>
  <c r="P810" i="1"/>
  <c r="O810" i="1"/>
  <c r="N810" i="1"/>
  <c r="M810" i="1"/>
  <c r="P809" i="1"/>
  <c r="O809" i="1"/>
  <c r="N809" i="1"/>
  <c r="M809" i="1"/>
  <c r="P808" i="1"/>
  <c r="O808" i="1"/>
  <c r="N808" i="1"/>
  <c r="M808" i="1"/>
  <c r="P807" i="1"/>
  <c r="O807" i="1"/>
  <c r="N807" i="1"/>
  <c r="M807" i="1"/>
  <c r="P806" i="1"/>
  <c r="O806" i="1"/>
  <c r="N806" i="1"/>
  <c r="M806" i="1"/>
  <c r="P805" i="1"/>
  <c r="O805" i="1"/>
  <c r="N805" i="1"/>
  <c r="M805" i="1"/>
  <c r="P804" i="1"/>
  <c r="O804" i="1"/>
  <c r="N804" i="1"/>
  <c r="M804" i="1"/>
  <c r="P803" i="1"/>
  <c r="O803" i="1"/>
  <c r="N803" i="1"/>
  <c r="M803" i="1"/>
  <c r="P802" i="1"/>
  <c r="O802" i="1"/>
  <c r="N802" i="1"/>
  <c r="M802" i="1"/>
  <c r="P801" i="1"/>
  <c r="O801" i="1"/>
  <c r="N801" i="1"/>
  <c r="M801" i="1"/>
  <c r="P800" i="1"/>
  <c r="O800" i="1"/>
  <c r="N800" i="1"/>
  <c r="M800" i="1"/>
  <c r="P799" i="1"/>
  <c r="O799" i="1"/>
  <c r="N799" i="1"/>
  <c r="M799" i="1"/>
  <c r="P798" i="1"/>
  <c r="O798" i="1"/>
  <c r="N798" i="1"/>
  <c r="M798" i="1"/>
  <c r="P797" i="1"/>
  <c r="O797" i="1"/>
  <c r="N797" i="1"/>
  <c r="M797" i="1"/>
  <c r="P796" i="1"/>
  <c r="O796" i="1"/>
  <c r="N796" i="1"/>
  <c r="M796" i="1"/>
  <c r="P795" i="1"/>
  <c r="O795" i="1"/>
  <c r="N795" i="1"/>
  <c r="M795" i="1"/>
  <c r="P794" i="1"/>
  <c r="O794" i="1"/>
  <c r="N794" i="1"/>
  <c r="M794" i="1"/>
  <c r="P793" i="1"/>
  <c r="O793" i="1"/>
  <c r="N793" i="1"/>
  <c r="M793" i="1"/>
  <c r="P792" i="1"/>
  <c r="O792" i="1"/>
  <c r="N792" i="1"/>
  <c r="M792" i="1"/>
  <c r="P791" i="1"/>
  <c r="O791" i="1"/>
  <c r="N791" i="1"/>
  <c r="M791" i="1"/>
  <c r="P790" i="1"/>
  <c r="O790" i="1"/>
  <c r="N790" i="1"/>
  <c r="M790" i="1"/>
  <c r="P789" i="1"/>
  <c r="O789" i="1"/>
  <c r="N789" i="1"/>
  <c r="M789" i="1"/>
  <c r="P788" i="1"/>
  <c r="O788" i="1"/>
  <c r="N788" i="1"/>
  <c r="M788" i="1"/>
  <c r="P787" i="1"/>
  <c r="O787" i="1"/>
  <c r="N787" i="1"/>
  <c r="M787" i="1"/>
  <c r="P786" i="1"/>
  <c r="O786" i="1"/>
  <c r="N786" i="1"/>
  <c r="M786" i="1"/>
  <c r="P785" i="1"/>
  <c r="O785" i="1"/>
  <c r="N785" i="1"/>
  <c r="M785" i="1"/>
  <c r="P784" i="1"/>
  <c r="O784" i="1"/>
  <c r="N784" i="1"/>
  <c r="M784" i="1"/>
  <c r="P783" i="1"/>
  <c r="O783" i="1"/>
  <c r="N783" i="1"/>
  <c r="M783" i="1"/>
  <c r="P782" i="1"/>
  <c r="O782" i="1"/>
  <c r="N782" i="1"/>
  <c r="M782" i="1"/>
  <c r="P781" i="1"/>
  <c r="O781" i="1"/>
  <c r="N781" i="1"/>
  <c r="M781" i="1"/>
  <c r="P780" i="1"/>
  <c r="O780" i="1"/>
  <c r="N780" i="1"/>
  <c r="M780" i="1"/>
  <c r="P779" i="1"/>
  <c r="O779" i="1"/>
  <c r="N779" i="1"/>
  <c r="M779" i="1"/>
  <c r="P778" i="1"/>
  <c r="O778" i="1"/>
  <c r="N778" i="1"/>
  <c r="M778" i="1"/>
  <c r="P777" i="1"/>
  <c r="O777" i="1"/>
  <c r="N777" i="1"/>
  <c r="M777" i="1"/>
  <c r="P776" i="1"/>
  <c r="O776" i="1"/>
  <c r="N776" i="1"/>
  <c r="M776" i="1"/>
  <c r="P775" i="1"/>
  <c r="O775" i="1"/>
  <c r="N775" i="1"/>
  <c r="M775" i="1"/>
  <c r="P774" i="1"/>
  <c r="O774" i="1"/>
  <c r="N774" i="1"/>
  <c r="M774" i="1"/>
  <c r="P773" i="1"/>
  <c r="O773" i="1"/>
  <c r="N773" i="1"/>
  <c r="M773" i="1"/>
  <c r="P772" i="1"/>
  <c r="O772" i="1"/>
  <c r="N772" i="1"/>
  <c r="M772" i="1"/>
  <c r="P771" i="1"/>
  <c r="O771" i="1"/>
  <c r="N771" i="1"/>
  <c r="M771" i="1"/>
  <c r="P770" i="1"/>
  <c r="O770" i="1"/>
  <c r="N770" i="1"/>
  <c r="M770" i="1"/>
  <c r="P769" i="1"/>
  <c r="O769" i="1"/>
  <c r="N769" i="1"/>
  <c r="M769" i="1"/>
  <c r="P768" i="1"/>
  <c r="O768" i="1"/>
  <c r="N768" i="1"/>
  <c r="M768" i="1"/>
  <c r="P767" i="1"/>
  <c r="O767" i="1"/>
  <c r="N767" i="1"/>
  <c r="M767" i="1"/>
  <c r="P766" i="1"/>
  <c r="O766" i="1"/>
  <c r="N766" i="1"/>
  <c r="M766" i="1"/>
  <c r="P765" i="1"/>
  <c r="O765" i="1"/>
  <c r="N765" i="1"/>
  <c r="M765" i="1"/>
  <c r="P764" i="1"/>
  <c r="O764" i="1"/>
  <c r="N764" i="1"/>
  <c r="M764" i="1"/>
  <c r="P763" i="1"/>
  <c r="O763" i="1"/>
  <c r="N763" i="1"/>
  <c r="M763" i="1"/>
  <c r="P762" i="1"/>
  <c r="O762" i="1"/>
  <c r="N762" i="1"/>
  <c r="M762" i="1"/>
  <c r="P761" i="1"/>
  <c r="O761" i="1"/>
  <c r="N761" i="1"/>
  <c r="M761" i="1"/>
  <c r="P760" i="1"/>
  <c r="O760" i="1"/>
  <c r="N760" i="1"/>
  <c r="M760" i="1"/>
  <c r="P759" i="1"/>
  <c r="O759" i="1"/>
  <c r="N759" i="1"/>
  <c r="M759" i="1"/>
  <c r="P758" i="1"/>
  <c r="O758" i="1"/>
  <c r="N758" i="1"/>
  <c r="M758" i="1"/>
  <c r="P757" i="1"/>
  <c r="O757" i="1"/>
  <c r="N757" i="1"/>
  <c r="M757" i="1"/>
  <c r="P756" i="1"/>
  <c r="O756" i="1"/>
  <c r="N756" i="1"/>
  <c r="M756" i="1"/>
  <c r="P755" i="1"/>
  <c r="O755" i="1"/>
  <c r="N755" i="1"/>
  <c r="M755" i="1"/>
  <c r="P754" i="1"/>
  <c r="O754" i="1"/>
  <c r="N754" i="1"/>
  <c r="M754" i="1"/>
  <c r="P753" i="1"/>
  <c r="O753" i="1"/>
  <c r="N753" i="1"/>
  <c r="M753" i="1"/>
  <c r="P752" i="1"/>
  <c r="O752" i="1"/>
  <c r="N752" i="1"/>
  <c r="M752" i="1"/>
  <c r="P751" i="1"/>
  <c r="O751" i="1"/>
  <c r="N751" i="1"/>
  <c r="M751" i="1"/>
  <c r="P750" i="1"/>
  <c r="O750" i="1"/>
  <c r="N750" i="1"/>
  <c r="M750" i="1"/>
  <c r="P749" i="1"/>
  <c r="O749" i="1"/>
  <c r="N749" i="1"/>
  <c r="M749" i="1"/>
  <c r="P748" i="1"/>
  <c r="O748" i="1"/>
  <c r="N748" i="1"/>
  <c r="M748" i="1"/>
  <c r="P747" i="1"/>
  <c r="O747" i="1"/>
  <c r="N747" i="1"/>
  <c r="M747" i="1"/>
  <c r="P746" i="1"/>
  <c r="O746" i="1"/>
  <c r="N746" i="1"/>
  <c r="M746" i="1"/>
  <c r="P745" i="1"/>
  <c r="O745" i="1"/>
  <c r="N745" i="1"/>
  <c r="M745" i="1"/>
  <c r="P744" i="1"/>
  <c r="O744" i="1"/>
  <c r="N744" i="1"/>
  <c r="M744" i="1"/>
  <c r="P743" i="1"/>
  <c r="O743" i="1"/>
  <c r="N743" i="1"/>
  <c r="M743" i="1"/>
  <c r="P742" i="1"/>
  <c r="O742" i="1"/>
  <c r="N742" i="1"/>
  <c r="M742" i="1"/>
  <c r="P741" i="1"/>
  <c r="O741" i="1"/>
  <c r="N741" i="1"/>
  <c r="M741" i="1"/>
  <c r="P740" i="1"/>
  <c r="O740" i="1"/>
  <c r="N740" i="1"/>
  <c r="M740" i="1"/>
  <c r="P739" i="1"/>
  <c r="O739" i="1"/>
  <c r="N739" i="1"/>
  <c r="M739" i="1"/>
  <c r="P738" i="1"/>
  <c r="O738" i="1"/>
  <c r="N738" i="1"/>
  <c r="M738" i="1"/>
  <c r="P737" i="1"/>
  <c r="O737" i="1"/>
  <c r="N737" i="1"/>
  <c r="M737" i="1"/>
  <c r="P736" i="1"/>
  <c r="O736" i="1"/>
  <c r="N736" i="1"/>
  <c r="M736" i="1"/>
  <c r="P735" i="1"/>
  <c r="O735" i="1"/>
  <c r="N735" i="1"/>
  <c r="M735" i="1"/>
  <c r="P734" i="1"/>
  <c r="O734" i="1"/>
  <c r="N734" i="1"/>
  <c r="M734" i="1"/>
  <c r="P733" i="1"/>
  <c r="O733" i="1"/>
  <c r="N733" i="1"/>
  <c r="M733" i="1"/>
  <c r="P732" i="1"/>
  <c r="O732" i="1"/>
  <c r="N732" i="1"/>
  <c r="M732" i="1"/>
  <c r="P731" i="1"/>
  <c r="O731" i="1"/>
  <c r="N731" i="1"/>
  <c r="M731" i="1"/>
  <c r="P730" i="1"/>
  <c r="O730" i="1"/>
  <c r="N730" i="1"/>
  <c r="M730" i="1"/>
  <c r="P729" i="1"/>
  <c r="O729" i="1"/>
  <c r="N729" i="1"/>
  <c r="M729" i="1"/>
  <c r="P728" i="1"/>
  <c r="O728" i="1"/>
  <c r="N728" i="1"/>
  <c r="M728" i="1"/>
  <c r="P727" i="1"/>
  <c r="O727" i="1"/>
  <c r="N727" i="1"/>
  <c r="M727" i="1"/>
  <c r="P726" i="1"/>
  <c r="O726" i="1"/>
  <c r="N726" i="1"/>
  <c r="M726" i="1"/>
  <c r="P725" i="1"/>
  <c r="O725" i="1"/>
  <c r="N725" i="1"/>
  <c r="M725" i="1"/>
  <c r="P724" i="1"/>
  <c r="O724" i="1"/>
  <c r="N724" i="1"/>
  <c r="M724" i="1"/>
  <c r="P723" i="1"/>
  <c r="O723" i="1"/>
  <c r="N723" i="1"/>
  <c r="M723" i="1"/>
  <c r="P722" i="1"/>
  <c r="O722" i="1"/>
  <c r="N722" i="1"/>
  <c r="M722" i="1"/>
  <c r="P721" i="1"/>
  <c r="O721" i="1"/>
  <c r="N721" i="1"/>
  <c r="M721" i="1"/>
  <c r="P720" i="1"/>
  <c r="O720" i="1"/>
  <c r="N720" i="1"/>
  <c r="M720" i="1"/>
  <c r="P719" i="1"/>
  <c r="O719" i="1"/>
  <c r="N719" i="1"/>
  <c r="M719" i="1"/>
  <c r="P718" i="1"/>
  <c r="O718" i="1"/>
  <c r="N718" i="1"/>
  <c r="M718" i="1"/>
  <c r="P717" i="1"/>
  <c r="O717" i="1"/>
  <c r="N717" i="1"/>
  <c r="M717" i="1"/>
  <c r="P716" i="1"/>
  <c r="O716" i="1"/>
  <c r="N716" i="1"/>
  <c r="M716" i="1"/>
  <c r="P715" i="1"/>
  <c r="O715" i="1"/>
  <c r="N715" i="1"/>
  <c r="M715" i="1"/>
  <c r="P714" i="1"/>
  <c r="O714" i="1"/>
  <c r="N714" i="1"/>
  <c r="M714" i="1"/>
  <c r="P713" i="1"/>
  <c r="O713" i="1"/>
  <c r="N713" i="1"/>
  <c r="M713" i="1"/>
  <c r="P712" i="1"/>
  <c r="O712" i="1"/>
  <c r="N712" i="1"/>
  <c r="M712" i="1"/>
  <c r="P711" i="1"/>
  <c r="O711" i="1"/>
  <c r="N711" i="1"/>
  <c r="M711" i="1"/>
  <c r="P710" i="1"/>
  <c r="O710" i="1"/>
  <c r="N710" i="1"/>
  <c r="M710" i="1"/>
  <c r="P709" i="1"/>
  <c r="O709" i="1"/>
  <c r="N709" i="1"/>
  <c r="M709" i="1"/>
  <c r="P708" i="1"/>
  <c r="O708" i="1"/>
  <c r="N708" i="1"/>
  <c r="M708" i="1"/>
  <c r="P707" i="1"/>
  <c r="O707" i="1"/>
  <c r="N707" i="1"/>
  <c r="M707" i="1"/>
  <c r="P706" i="1"/>
  <c r="O706" i="1"/>
  <c r="N706" i="1"/>
  <c r="M706" i="1"/>
  <c r="P705" i="1"/>
  <c r="O705" i="1"/>
  <c r="N705" i="1"/>
  <c r="M705" i="1"/>
  <c r="P704" i="1"/>
  <c r="O704" i="1"/>
  <c r="N704" i="1"/>
  <c r="M704" i="1"/>
  <c r="P703" i="1"/>
  <c r="O703" i="1"/>
  <c r="N703" i="1"/>
  <c r="M703" i="1"/>
  <c r="P702" i="1"/>
  <c r="O702" i="1"/>
  <c r="N702" i="1"/>
  <c r="M702" i="1"/>
  <c r="P701" i="1"/>
  <c r="O701" i="1"/>
  <c r="N701" i="1"/>
  <c r="M701" i="1"/>
  <c r="P700" i="1"/>
  <c r="O700" i="1"/>
  <c r="N700" i="1"/>
  <c r="M700" i="1"/>
  <c r="P699" i="1"/>
  <c r="O699" i="1"/>
  <c r="N699" i="1"/>
  <c r="M699" i="1"/>
  <c r="P698" i="1"/>
  <c r="O698" i="1"/>
  <c r="N698" i="1"/>
  <c r="M698" i="1"/>
  <c r="P697" i="1"/>
  <c r="O697" i="1"/>
  <c r="N697" i="1"/>
  <c r="M697" i="1"/>
  <c r="P696" i="1"/>
  <c r="O696" i="1"/>
  <c r="N696" i="1"/>
  <c r="M696" i="1"/>
  <c r="P695" i="1"/>
  <c r="O695" i="1"/>
  <c r="N695" i="1"/>
  <c r="M695" i="1"/>
  <c r="P694" i="1"/>
  <c r="O694" i="1"/>
  <c r="N694" i="1"/>
  <c r="M694" i="1"/>
  <c r="P693" i="1"/>
  <c r="O693" i="1"/>
  <c r="N693" i="1"/>
  <c r="M693" i="1"/>
  <c r="P692" i="1"/>
  <c r="O692" i="1"/>
  <c r="N692" i="1"/>
  <c r="M692" i="1"/>
  <c r="P691" i="1"/>
  <c r="O691" i="1"/>
  <c r="N691" i="1"/>
  <c r="M691" i="1"/>
  <c r="P690" i="1"/>
  <c r="O690" i="1"/>
  <c r="N690" i="1"/>
  <c r="M690" i="1"/>
  <c r="P689" i="1"/>
  <c r="O689" i="1"/>
  <c r="N689" i="1"/>
  <c r="M689" i="1"/>
  <c r="P688" i="1"/>
  <c r="O688" i="1"/>
  <c r="N688" i="1"/>
  <c r="M688" i="1"/>
  <c r="P687" i="1"/>
  <c r="O687" i="1"/>
  <c r="N687" i="1"/>
  <c r="M687" i="1"/>
  <c r="P686" i="1"/>
  <c r="O686" i="1"/>
  <c r="N686" i="1"/>
  <c r="M686" i="1"/>
  <c r="P685" i="1"/>
  <c r="O685" i="1"/>
  <c r="N685" i="1"/>
  <c r="M685" i="1"/>
  <c r="P684" i="1"/>
  <c r="O684" i="1"/>
  <c r="N684" i="1"/>
  <c r="M684" i="1"/>
  <c r="P683" i="1"/>
  <c r="O683" i="1"/>
  <c r="N683" i="1"/>
  <c r="M683" i="1"/>
  <c r="P682" i="1"/>
  <c r="O682" i="1"/>
  <c r="N682" i="1"/>
  <c r="M682" i="1"/>
  <c r="P681" i="1"/>
  <c r="O681" i="1"/>
  <c r="N681" i="1"/>
  <c r="M681" i="1"/>
  <c r="P680" i="1"/>
  <c r="O680" i="1"/>
  <c r="N680" i="1"/>
  <c r="M680" i="1"/>
  <c r="P679" i="1"/>
  <c r="O679" i="1"/>
  <c r="N679" i="1"/>
  <c r="M679" i="1"/>
  <c r="P678" i="1"/>
  <c r="O678" i="1"/>
  <c r="N678" i="1"/>
  <c r="M678" i="1"/>
  <c r="P677" i="1"/>
  <c r="O677" i="1"/>
  <c r="N677" i="1"/>
  <c r="M677" i="1"/>
  <c r="P676" i="1"/>
  <c r="O676" i="1"/>
  <c r="N676" i="1"/>
  <c r="M676" i="1"/>
  <c r="P675" i="1"/>
  <c r="O675" i="1"/>
  <c r="N675" i="1"/>
  <c r="M675" i="1"/>
  <c r="P674" i="1"/>
  <c r="O674" i="1"/>
  <c r="N674" i="1"/>
  <c r="M674" i="1"/>
  <c r="P673" i="1"/>
  <c r="O673" i="1"/>
  <c r="N673" i="1"/>
  <c r="M673" i="1"/>
  <c r="P672" i="1"/>
  <c r="O672" i="1"/>
  <c r="N672" i="1"/>
  <c r="M672" i="1"/>
  <c r="P671" i="1"/>
  <c r="O671" i="1"/>
  <c r="N671" i="1"/>
  <c r="M671" i="1"/>
  <c r="P670" i="1"/>
  <c r="O670" i="1"/>
  <c r="N670" i="1"/>
  <c r="M670" i="1"/>
  <c r="P669" i="1"/>
  <c r="O669" i="1"/>
  <c r="N669" i="1"/>
  <c r="M669" i="1"/>
  <c r="P668" i="1"/>
  <c r="O668" i="1"/>
  <c r="N668" i="1"/>
  <c r="M668" i="1"/>
  <c r="P667" i="1"/>
  <c r="O667" i="1"/>
  <c r="N667" i="1"/>
  <c r="M667" i="1"/>
  <c r="P666" i="1"/>
  <c r="O666" i="1"/>
  <c r="N666" i="1"/>
  <c r="M666" i="1"/>
  <c r="P665" i="1"/>
  <c r="O665" i="1"/>
  <c r="N665" i="1"/>
  <c r="M665" i="1"/>
  <c r="P664" i="1"/>
  <c r="O664" i="1"/>
  <c r="N664" i="1"/>
  <c r="M664" i="1"/>
  <c r="P663" i="1"/>
  <c r="O663" i="1"/>
  <c r="N663" i="1"/>
  <c r="M663" i="1"/>
  <c r="P662" i="1"/>
  <c r="O662" i="1"/>
  <c r="N662" i="1"/>
  <c r="M662" i="1"/>
  <c r="P661" i="1"/>
  <c r="O661" i="1"/>
  <c r="N661" i="1"/>
  <c r="M661" i="1"/>
  <c r="P660" i="1"/>
  <c r="O660" i="1"/>
  <c r="N660" i="1"/>
  <c r="M660" i="1"/>
  <c r="P659" i="1"/>
  <c r="O659" i="1"/>
  <c r="N659" i="1"/>
  <c r="M659" i="1"/>
  <c r="P658" i="1"/>
  <c r="O658" i="1"/>
  <c r="N658" i="1"/>
  <c r="M658" i="1"/>
  <c r="P657" i="1"/>
  <c r="O657" i="1"/>
  <c r="N657" i="1"/>
  <c r="M657" i="1"/>
  <c r="P656" i="1"/>
  <c r="O656" i="1"/>
  <c r="N656" i="1"/>
  <c r="M656" i="1"/>
  <c r="P655" i="1"/>
  <c r="O655" i="1"/>
  <c r="N655" i="1"/>
  <c r="M655" i="1"/>
  <c r="P654" i="1"/>
  <c r="O654" i="1"/>
  <c r="N654" i="1"/>
  <c r="M654" i="1"/>
  <c r="P653" i="1"/>
  <c r="O653" i="1"/>
  <c r="N653" i="1"/>
  <c r="M653" i="1"/>
  <c r="P652" i="1"/>
  <c r="O652" i="1"/>
  <c r="N652" i="1"/>
  <c r="M652" i="1"/>
  <c r="P651" i="1"/>
  <c r="O651" i="1"/>
  <c r="N651" i="1"/>
  <c r="M651" i="1"/>
  <c r="P650" i="1"/>
  <c r="O650" i="1"/>
  <c r="N650" i="1"/>
  <c r="M650" i="1"/>
  <c r="P649" i="1"/>
  <c r="O649" i="1"/>
  <c r="N649" i="1"/>
  <c r="M649" i="1"/>
  <c r="P648" i="1"/>
  <c r="O648" i="1"/>
  <c r="N648" i="1"/>
  <c r="M648" i="1"/>
  <c r="P647" i="1"/>
  <c r="O647" i="1"/>
  <c r="N647" i="1"/>
  <c r="M647" i="1"/>
  <c r="P646" i="1"/>
  <c r="O646" i="1"/>
  <c r="N646" i="1"/>
  <c r="M646" i="1"/>
  <c r="P645" i="1"/>
  <c r="O645" i="1"/>
  <c r="N645" i="1"/>
  <c r="M645" i="1"/>
  <c r="P644" i="1"/>
  <c r="O644" i="1"/>
  <c r="N644" i="1"/>
  <c r="M644" i="1"/>
  <c r="P643" i="1"/>
  <c r="O643" i="1"/>
  <c r="N643" i="1"/>
  <c r="M643" i="1"/>
  <c r="P642" i="1"/>
  <c r="O642" i="1"/>
  <c r="N642" i="1"/>
  <c r="M642" i="1"/>
  <c r="P641" i="1"/>
  <c r="O641" i="1"/>
  <c r="N641" i="1"/>
  <c r="M641" i="1"/>
  <c r="P640" i="1"/>
  <c r="O640" i="1"/>
  <c r="N640" i="1"/>
  <c r="M640" i="1"/>
  <c r="P639" i="1"/>
  <c r="O639" i="1"/>
  <c r="N639" i="1"/>
  <c r="M639" i="1"/>
  <c r="P638" i="1"/>
  <c r="O638" i="1"/>
  <c r="N638" i="1"/>
  <c r="M638" i="1"/>
  <c r="P637" i="1"/>
  <c r="O637" i="1"/>
  <c r="N637" i="1"/>
  <c r="M637" i="1"/>
  <c r="P636" i="1"/>
  <c r="O636" i="1"/>
  <c r="N636" i="1"/>
  <c r="M636" i="1"/>
  <c r="P635" i="1"/>
  <c r="O635" i="1"/>
  <c r="N635" i="1"/>
  <c r="M635" i="1"/>
  <c r="P634" i="1"/>
  <c r="O634" i="1"/>
  <c r="N634" i="1"/>
  <c r="M634" i="1"/>
  <c r="P633" i="1"/>
  <c r="O633" i="1"/>
  <c r="N633" i="1"/>
  <c r="M633" i="1"/>
  <c r="P632" i="1"/>
  <c r="O632" i="1"/>
  <c r="N632" i="1"/>
  <c r="M632" i="1"/>
  <c r="P631" i="1"/>
  <c r="O631" i="1"/>
  <c r="N631" i="1"/>
  <c r="M631" i="1"/>
  <c r="P630" i="1"/>
  <c r="O630" i="1"/>
  <c r="N630" i="1"/>
  <c r="M630" i="1"/>
  <c r="P629" i="1"/>
  <c r="O629" i="1"/>
  <c r="N629" i="1"/>
  <c r="M629" i="1"/>
  <c r="P628" i="1"/>
  <c r="O628" i="1"/>
  <c r="N628" i="1"/>
  <c r="M628" i="1"/>
  <c r="P627" i="1"/>
  <c r="O627" i="1"/>
  <c r="N627" i="1"/>
  <c r="M627" i="1"/>
  <c r="P626" i="1"/>
  <c r="O626" i="1"/>
  <c r="N626" i="1"/>
  <c r="M626" i="1"/>
  <c r="P625" i="1"/>
  <c r="O625" i="1"/>
  <c r="N625" i="1"/>
  <c r="M625" i="1"/>
  <c r="P624" i="1"/>
  <c r="O624" i="1"/>
  <c r="N624" i="1"/>
  <c r="M624" i="1"/>
  <c r="P623" i="1"/>
  <c r="O623" i="1"/>
  <c r="N623" i="1"/>
  <c r="M623" i="1"/>
  <c r="P622" i="1"/>
  <c r="O622" i="1"/>
  <c r="N622" i="1"/>
  <c r="M622" i="1"/>
  <c r="P621" i="1"/>
  <c r="O621" i="1"/>
  <c r="N621" i="1"/>
  <c r="M621" i="1"/>
  <c r="P620" i="1"/>
  <c r="O620" i="1"/>
  <c r="N620" i="1"/>
  <c r="M620" i="1"/>
  <c r="P619" i="1"/>
  <c r="O619" i="1"/>
  <c r="N619" i="1"/>
  <c r="M619" i="1"/>
  <c r="P618" i="1"/>
  <c r="O618" i="1"/>
  <c r="N618" i="1"/>
  <c r="M618" i="1"/>
  <c r="P617" i="1"/>
  <c r="O617" i="1"/>
  <c r="N617" i="1"/>
  <c r="M617" i="1"/>
  <c r="P616" i="1"/>
  <c r="O616" i="1"/>
  <c r="N616" i="1"/>
  <c r="M616" i="1"/>
  <c r="P615" i="1"/>
  <c r="O615" i="1"/>
  <c r="N615" i="1"/>
  <c r="M615" i="1"/>
  <c r="P614" i="1"/>
  <c r="O614" i="1"/>
  <c r="N614" i="1"/>
  <c r="M614" i="1"/>
  <c r="P613" i="1"/>
  <c r="O613" i="1"/>
  <c r="N613" i="1"/>
  <c r="M613" i="1"/>
  <c r="P612" i="1"/>
  <c r="O612" i="1"/>
  <c r="N612" i="1"/>
  <c r="M612" i="1"/>
  <c r="P611" i="1"/>
  <c r="O611" i="1"/>
  <c r="N611" i="1"/>
  <c r="M611" i="1"/>
  <c r="P610" i="1"/>
  <c r="O610" i="1"/>
  <c r="N610" i="1"/>
  <c r="M610" i="1"/>
  <c r="P609" i="1"/>
  <c r="O609" i="1"/>
  <c r="N609" i="1"/>
  <c r="M609" i="1"/>
  <c r="P608" i="1"/>
  <c r="O608" i="1"/>
  <c r="N608" i="1"/>
  <c r="M608" i="1"/>
  <c r="P607" i="1"/>
  <c r="O607" i="1"/>
  <c r="N607" i="1"/>
  <c r="M607" i="1"/>
  <c r="P606" i="1"/>
  <c r="O606" i="1"/>
  <c r="N606" i="1"/>
  <c r="M606" i="1"/>
  <c r="P605" i="1"/>
  <c r="O605" i="1"/>
  <c r="N605" i="1"/>
  <c r="M605" i="1"/>
  <c r="P604" i="1"/>
  <c r="O604" i="1"/>
  <c r="N604" i="1"/>
  <c r="M604" i="1"/>
  <c r="P603" i="1"/>
  <c r="O603" i="1"/>
  <c r="N603" i="1"/>
  <c r="M603" i="1"/>
  <c r="P602" i="1"/>
  <c r="O602" i="1"/>
  <c r="N602" i="1"/>
  <c r="M602" i="1"/>
  <c r="P601" i="1"/>
  <c r="O601" i="1"/>
  <c r="N601" i="1"/>
  <c r="M601" i="1"/>
  <c r="P600" i="1"/>
  <c r="O600" i="1"/>
  <c r="N600" i="1"/>
  <c r="M600" i="1"/>
  <c r="P599" i="1"/>
  <c r="O599" i="1"/>
  <c r="N599" i="1"/>
  <c r="M599" i="1"/>
  <c r="P598" i="1"/>
  <c r="O598" i="1"/>
  <c r="N598" i="1"/>
  <c r="M598" i="1"/>
  <c r="P597" i="1"/>
  <c r="O597" i="1"/>
  <c r="N597" i="1"/>
  <c r="M597" i="1"/>
  <c r="P596" i="1"/>
  <c r="O596" i="1"/>
  <c r="N596" i="1"/>
  <c r="M596" i="1"/>
  <c r="P595" i="1"/>
  <c r="O595" i="1"/>
  <c r="N595" i="1"/>
  <c r="M595" i="1"/>
  <c r="P594" i="1"/>
  <c r="O594" i="1"/>
  <c r="N594" i="1"/>
  <c r="M594" i="1"/>
  <c r="P593" i="1"/>
  <c r="O593" i="1"/>
  <c r="N593" i="1"/>
  <c r="M593" i="1"/>
  <c r="P592" i="1"/>
  <c r="O592" i="1"/>
  <c r="N592" i="1"/>
  <c r="M592" i="1"/>
  <c r="P591" i="1"/>
  <c r="O591" i="1"/>
  <c r="N591" i="1"/>
  <c r="M591" i="1"/>
  <c r="P590" i="1"/>
  <c r="O590" i="1"/>
  <c r="N590" i="1"/>
  <c r="M590" i="1"/>
  <c r="P589" i="1"/>
  <c r="O589" i="1"/>
  <c r="N589" i="1"/>
  <c r="M589" i="1"/>
  <c r="P588" i="1"/>
  <c r="O588" i="1"/>
  <c r="N588" i="1"/>
  <c r="M588" i="1"/>
  <c r="P587" i="1"/>
  <c r="O587" i="1"/>
  <c r="N587" i="1"/>
  <c r="M587" i="1"/>
  <c r="P586" i="1"/>
  <c r="O586" i="1"/>
  <c r="N586" i="1"/>
  <c r="M586" i="1"/>
  <c r="P585" i="1"/>
  <c r="O585" i="1"/>
  <c r="N585" i="1"/>
  <c r="M585" i="1"/>
  <c r="P584" i="1"/>
  <c r="O584" i="1"/>
  <c r="N584" i="1"/>
  <c r="M584" i="1"/>
  <c r="P583" i="1"/>
  <c r="O583" i="1"/>
  <c r="N583" i="1"/>
  <c r="M583" i="1"/>
  <c r="P582" i="1"/>
  <c r="O582" i="1"/>
  <c r="N582" i="1"/>
  <c r="M582" i="1"/>
  <c r="P581" i="1"/>
  <c r="O581" i="1"/>
  <c r="N581" i="1"/>
  <c r="M581" i="1"/>
  <c r="P580" i="1"/>
  <c r="O580" i="1"/>
  <c r="N580" i="1"/>
  <c r="M580" i="1"/>
  <c r="P579" i="1"/>
  <c r="O579" i="1"/>
  <c r="N579" i="1"/>
  <c r="M579" i="1"/>
  <c r="P578" i="1"/>
  <c r="O578" i="1"/>
  <c r="N578" i="1"/>
  <c r="M578" i="1"/>
  <c r="P577" i="1"/>
  <c r="O577" i="1"/>
  <c r="N577" i="1"/>
  <c r="M577" i="1"/>
  <c r="P576" i="1"/>
  <c r="O576" i="1"/>
  <c r="N576" i="1"/>
  <c r="M576" i="1"/>
  <c r="P575" i="1"/>
  <c r="O575" i="1"/>
  <c r="N575" i="1"/>
  <c r="M575" i="1"/>
  <c r="P574" i="1"/>
  <c r="O574" i="1"/>
  <c r="N574" i="1"/>
  <c r="M574" i="1"/>
  <c r="P573" i="1"/>
  <c r="O573" i="1"/>
  <c r="N573" i="1"/>
  <c r="M573" i="1"/>
  <c r="P572" i="1"/>
  <c r="O572" i="1"/>
  <c r="N572" i="1"/>
  <c r="M572" i="1"/>
  <c r="P571" i="1"/>
  <c r="O571" i="1"/>
  <c r="N571" i="1"/>
  <c r="M571" i="1"/>
  <c r="P570" i="1"/>
  <c r="O570" i="1"/>
  <c r="N570" i="1"/>
  <c r="M570" i="1"/>
  <c r="P569" i="1"/>
  <c r="O569" i="1"/>
  <c r="N569" i="1"/>
  <c r="M569" i="1"/>
  <c r="P568" i="1"/>
  <c r="O568" i="1"/>
  <c r="N568" i="1"/>
  <c r="M568" i="1"/>
  <c r="P567" i="1"/>
  <c r="O567" i="1"/>
  <c r="N567" i="1"/>
  <c r="M567" i="1"/>
  <c r="P566" i="1"/>
  <c r="O566" i="1"/>
  <c r="N566" i="1"/>
  <c r="M566" i="1"/>
  <c r="P565" i="1"/>
  <c r="O565" i="1"/>
  <c r="N565" i="1"/>
  <c r="M565" i="1"/>
  <c r="P564" i="1"/>
  <c r="O564" i="1"/>
  <c r="N564" i="1"/>
  <c r="M564" i="1"/>
  <c r="P563" i="1"/>
  <c r="O563" i="1"/>
  <c r="N563" i="1"/>
  <c r="M563" i="1"/>
  <c r="P562" i="1"/>
  <c r="O562" i="1"/>
  <c r="N562" i="1"/>
  <c r="M562" i="1"/>
  <c r="P561" i="1"/>
  <c r="O561" i="1"/>
  <c r="N561" i="1"/>
  <c r="M561" i="1"/>
  <c r="P560" i="1"/>
  <c r="O560" i="1"/>
  <c r="N560" i="1"/>
  <c r="M560" i="1"/>
  <c r="P559" i="1"/>
  <c r="O559" i="1"/>
  <c r="N559" i="1"/>
  <c r="M559" i="1"/>
  <c r="P558" i="1"/>
  <c r="O558" i="1"/>
  <c r="N558" i="1"/>
  <c r="M558" i="1"/>
  <c r="P557" i="1"/>
  <c r="O557" i="1"/>
  <c r="N557" i="1"/>
  <c r="M557" i="1"/>
  <c r="P556" i="1"/>
  <c r="O556" i="1"/>
  <c r="N556" i="1"/>
  <c r="M556" i="1"/>
  <c r="P555" i="1"/>
  <c r="O555" i="1"/>
  <c r="N555" i="1"/>
  <c r="M555" i="1"/>
  <c r="P554" i="1"/>
  <c r="O554" i="1"/>
  <c r="N554" i="1"/>
  <c r="M554" i="1"/>
  <c r="P553" i="1"/>
  <c r="O553" i="1"/>
  <c r="N553" i="1"/>
  <c r="M553" i="1"/>
  <c r="P552" i="1"/>
  <c r="O552" i="1"/>
  <c r="N552" i="1"/>
  <c r="M552" i="1"/>
  <c r="P551" i="1"/>
  <c r="O551" i="1"/>
  <c r="N551" i="1"/>
  <c r="M551" i="1"/>
  <c r="P550" i="1"/>
  <c r="O550" i="1"/>
  <c r="N550" i="1"/>
  <c r="M550" i="1"/>
  <c r="P549" i="1"/>
  <c r="O549" i="1"/>
  <c r="N549" i="1"/>
  <c r="M549" i="1"/>
  <c r="P548" i="1"/>
  <c r="O548" i="1"/>
  <c r="N548" i="1"/>
  <c r="M548" i="1"/>
  <c r="P547" i="1"/>
  <c r="O547" i="1"/>
  <c r="N547" i="1"/>
  <c r="M547" i="1"/>
  <c r="P546" i="1"/>
  <c r="O546" i="1"/>
  <c r="N546" i="1"/>
  <c r="M546" i="1"/>
  <c r="P545" i="1"/>
  <c r="O545" i="1"/>
  <c r="N545" i="1"/>
  <c r="M545" i="1"/>
  <c r="P544" i="1"/>
  <c r="O544" i="1"/>
  <c r="N544" i="1"/>
  <c r="M544" i="1"/>
  <c r="P543" i="1"/>
  <c r="O543" i="1"/>
  <c r="N543" i="1"/>
  <c r="M543" i="1"/>
  <c r="P542" i="1"/>
  <c r="O542" i="1"/>
  <c r="N542" i="1"/>
  <c r="M542" i="1"/>
  <c r="P541" i="1"/>
  <c r="O541" i="1"/>
  <c r="N541" i="1"/>
  <c r="M541" i="1"/>
  <c r="P540" i="1"/>
  <c r="O540" i="1"/>
  <c r="N540" i="1"/>
  <c r="M540" i="1"/>
  <c r="P539" i="1"/>
  <c r="O539" i="1"/>
  <c r="N539" i="1"/>
  <c r="M539" i="1"/>
  <c r="P538" i="1"/>
  <c r="O538" i="1"/>
  <c r="N538" i="1"/>
  <c r="M538" i="1"/>
  <c r="P537" i="1"/>
  <c r="O537" i="1"/>
  <c r="N537" i="1"/>
  <c r="M537" i="1"/>
  <c r="P536" i="1"/>
  <c r="O536" i="1"/>
  <c r="N536" i="1"/>
  <c r="M536" i="1"/>
  <c r="P535" i="1"/>
  <c r="O535" i="1"/>
  <c r="N535" i="1"/>
  <c r="M535" i="1"/>
  <c r="P534" i="1"/>
  <c r="O534" i="1"/>
  <c r="N534" i="1"/>
  <c r="M534" i="1"/>
  <c r="P533" i="1"/>
  <c r="O533" i="1"/>
  <c r="N533" i="1"/>
  <c r="M533" i="1"/>
  <c r="P532" i="1"/>
  <c r="O532" i="1"/>
  <c r="N532" i="1"/>
  <c r="M532" i="1"/>
  <c r="P531" i="1"/>
  <c r="O531" i="1"/>
  <c r="N531" i="1"/>
  <c r="M531" i="1"/>
  <c r="P530" i="1"/>
  <c r="O530" i="1"/>
  <c r="N530" i="1"/>
  <c r="M530" i="1"/>
  <c r="P529" i="1"/>
  <c r="O529" i="1"/>
  <c r="N529" i="1"/>
  <c r="M529" i="1"/>
  <c r="P528" i="1"/>
  <c r="O528" i="1"/>
  <c r="N528" i="1"/>
  <c r="M528" i="1"/>
  <c r="P527" i="1"/>
  <c r="O527" i="1"/>
  <c r="N527" i="1"/>
  <c r="M527" i="1"/>
  <c r="P526" i="1"/>
  <c r="O526" i="1"/>
  <c r="N526" i="1"/>
  <c r="M526" i="1"/>
  <c r="P525" i="1"/>
  <c r="O525" i="1"/>
  <c r="N525" i="1"/>
  <c r="M525" i="1"/>
  <c r="P524" i="1"/>
  <c r="O524" i="1"/>
  <c r="N524" i="1"/>
  <c r="M524" i="1"/>
  <c r="P523" i="1"/>
  <c r="O523" i="1"/>
  <c r="N523" i="1"/>
  <c r="M523" i="1"/>
  <c r="P522" i="1"/>
  <c r="O522" i="1"/>
  <c r="N522" i="1"/>
  <c r="M522" i="1"/>
  <c r="P521" i="1"/>
  <c r="O521" i="1"/>
  <c r="N521" i="1"/>
  <c r="M521" i="1"/>
  <c r="P520" i="1"/>
  <c r="O520" i="1"/>
  <c r="N520" i="1"/>
  <c r="M520" i="1"/>
  <c r="P519" i="1"/>
  <c r="O519" i="1"/>
  <c r="N519" i="1"/>
  <c r="M519" i="1"/>
  <c r="P518" i="1"/>
  <c r="O518" i="1"/>
  <c r="N518" i="1"/>
  <c r="M518" i="1"/>
  <c r="P517" i="1"/>
  <c r="O517" i="1"/>
  <c r="N517" i="1"/>
  <c r="M517" i="1"/>
  <c r="P516" i="1"/>
  <c r="O516" i="1"/>
  <c r="N516" i="1"/>
  <c r="M516" i="1"/>
  <c r="P515" i="1"/>
  <c r="O515" i="1"/>
  <c r="N515" i="1"/>
  <c r="M515" i="1"/>
  <c r="P514" i="1"/>
  <c r="O514" i="1"/>
  <c r="N514" i="1"/>
  <c r="M514" i="1"/>
  <c r="P513" i="1"/>
  <c r="O513" i="1"/>
  <c r="N513" i="1"/>
  <c r="M513" i="1"/>
  <c r="P512" i="1"/>
  <c r="O512" i="1"/>
  <c r="N512" i="1"/>
  <c r="M512" i="1"/>
  <c r="P511" i="1"/>
  <c r="O511" i="1"/>
  <c r="N511" i="1"/>
  <c r="M511" i="1"/>
  <c r="P510" i="1"/>
  <c r="O510" i="1"/>
  <c r="N510" i="1"/>
  <c r="M510" i="1"/>
  <c r="P509" i="1"/>
  <c r="O509" i="1"/>
  <c r="N509" i="1"/>
  <c r="M509" i="1"/>
  <c r="P508" i="1"/>
  <c r="O508" i="1"/>
  <c r="N508" i="1"/>
  <c r="M508" i="1"/>
  <c r="P507" i="1"/>
  <c r="O507" i="1"/>
  <c r="N507" i="1"/>
  <c r="M507" i="1"/>
  <c r="P506" i="1"/>
  <c r="O506" i="1"/>
  <c r="N506" i="1"/>
  <c r="M506" i="1"/>
  <c r="P505" i="1"/>
  <c r="O505" i="1"/>
  <c r="N505" i="1"/>
  <c r="M505" i="1"/>
  <c r="P504" i="1"/>
  <c r="O504" i="1"/>
  <c r="N504" i="1"/>
  <c r="M504" i="1"/>
  <c r="P503" i="1"/>
  <c r="O503" i="1"/>
  <c r="N503" i="1"/>
  <c r="M503" i="1"/>
  <c r="P502" i="1"/>
  <c r="O502" i="1"/>
  <c r="N502" i="1"/>
  <c r="M502" i="1"/>
  <c r="P501" i="1"/>
  <c r="O501" i="1"/>
  <c r="N501" i="1"/>
  <c r="M501" i="1"/>
  <c r="P500" i="1"/>
  <c r="O500" i="1"/>
  <c r="N500" i="1"/>
  <c r="M500" i="1"/>
  <c r="P499" i="1"/>
  <c r="O499" i="1"/>
  <c r="N499" i="1"/>
  <c r="M499" i="1"/>
  <c r="P498" i="1"/>
  <c r="O498" i="1"/>
  <c r="N498" i="1"/>
  <c r="M498" i="1"/>
  <c r="P497" i="1"/>
  <c r="O497" i="1"/>
  <c r="N497" i="1"/>
  <c r="M497" i="1"/>
  <c r="P496" i="1"/>
  <c r="O496" i="1"/>
  <c r="N496" i="1"/>
  <c r="M496" i="1"/>
  <c r="P495" i="1"/>
  <c r="O495" i="1"/>
  <c r="N495" i="1"/>
  <c r="M495" i="1"/>
  <c r="P494" i="1"/>
  <c r="O494" i="1"/>
  <c r="N494" i="1"/>
  <c r="M494" i="1"/>
  <c r="P493" i="1"/>
  <c r="O493" i="1"/>
  <c r="N493" i="1"/>
  <c r="M493" i="1"/>
  <c r="P492" i="1"/>
  <c r="O492" i="1"/>
  <c r="N492" i="1"/>
  <c r="M492" i="1"/>
  <c r="P491" i="1"/>
  <c r="O491" i="1"/>
  <c r="N491" i="1"/>
  <c r="M491" i="1"/>
  <c r="P490" i="1"/>
  <c r="O490" i="1"/>
  <c r="N490" i="1"/>
  <c r="M490" i="1"/>
  <c r="P489" i="1"/>
  <c r="O489" i="1"/>
  <c r="N489" i="1"/>
  <c r="M489" i="1"/>
  <c r="P488" i="1"/>
  <c r="O488" i="1"/>
  <c r="N488" i="1"/>
  <c r="M488" i="1"/>
  <c r="P487" i="1"/>
  <c r="O487" i="1"/>
  <c r="N487" i="1"/>
  <c r="M487" i="1"/>
  <c r="P486" i="1"/>
  <c r="O486" i="1"/>
  <c r="N486" i="1"/>
  <c r="M486" i="1"/>
  <c r="P485" i="1"/>
  <c r="O485" i="1"/>
  <c r="N485" i="1"/>
  <c r="M485" i="1"/>
  <c r="P484" i="1"/>
  <c r="O484" i="1"/>
  <c r="N484" i="1"/>
  <c r="M484" i="1"/>
  <c r="P483" i="1"/>
  <c r="O483" i="1"/>
  <c r="N483" i="1"/>
  <c r="M483" i="1"/>
  <c r="P482" i="1"/>
  <c r="O482" i="1"/>
  <c r="N482" i="1"/>
  <c r="M482" i="1"/>
  <c r="P481" i="1"/>
  <c r="O481" i="1"/>
  <c r="N481" i="1"/>
  <c r="M481" i="1"/>
  <c r="P480" i="1"/>
  <c r="O480" i="1"/>
  <c r="N480" i="1"/>
  <c r="M480" i="1"/>
  <c r="P479" i="1"/>
  <c r="O479" i="1"/>
  <c r="N479" i="1"/>
  <c r="M479" i="1"/>
  <c r="P478" i="1"/>
  <c r="O478" i="1"/>
  <c r="N478" i="1"/>
  <c r="M478" i="1"/>
  <c r="P477" i="1"/>
  <c r="O477" i="1"/>
  <c r="N477" i="1"/>
  <c r="M477" i="1"/>
  <c r="P476" i="1"/>
  <c r="O476" i="1"/>
  <c r="N476" i="1"/>
  <c r="M476" i="1"/>
  <c r="P475" i="1"/>
  <c r="O475" i="1"/>
  <c r="N475" i="1"/>
  <c r="M475" i="1"/>
  <c r="P474" i="1"/>
  <c r="O474" i="1"/>
  <c r="N474" i="1"/>
  <c r="M474" i="1"/>
  <c r="P473" i="1"/>
  <c r="O473" i="1"/>
  <c r="N473" i="1"/>
  <c r="M473" i="1"/>
  <c r="P472" i="1"/>
  <c r="O472" i="1"/>
  <c r="N472" i="1"/>
  <c r="M472" i="1"/>
  <c r="P471" i="1"/>
  <c r="O471" i="1"/>
  <c r="N471" i="1"/>
  <c r="M471" i="1"/>
  <c r="P470" i="1"/>
  <c r="O470" i="1"/>
  <c r="N470" i="1"/>
  <c r="M470" i="1"/>
  <c r="P469" i="1"/>
  <c r="O469" i="1"/>
  <c r="N469" i="1"/>
  <c r="M469" i="1"/>
  <c r="P468" i="1"/>
  <c r="O468" i="1"/>
  <c r="N468" i="1"/>
  <c r="M468" i="1"/>
  <c r="P467" i="1"/>
  <c r="O467" i="1"/>
  <c r="N467" i="1"/>
  <c r="M467" i="1"/>
  <c r="P466" i="1"/>
  <c r="O466" i="1"/>
  <c r="N466" i="1"/>
  <c r="M466" i="1"/>
  <c r="P465" i="1"/>
  <c r="O465" i="1"/>
  <c r="N465" i="1"/>
  <c r="M465" i="1"/>
  <c r="P464" i="1"/>
  <c r="O464" i="1"/>
  <c r="N464" i="1"/>
  <c r="M464" i="1"/>
  <c r="P463" i="1"/>
  <c r="O463" i="1"/>
  <c r="N463" i="1"/>
  <c r="M463" i="1"/>
  <c r="P462" i="1"/>
  <c r="O462" i="1"/>
  <c r="N462" i="1"/>
  <c r="M462" i="1"/>
  <c r="P461" i="1"/>
  <c r="O461" i="1"/>
  <c r="N461" i="1"/>
  <c r="M461" i="1"/>
  <c r="P460" i="1"/>
  <c r="O460" i="1"/>
  <c r="N460" i="1"/>
  <c r="M460" i="1"/>
  <c r="P459" i="1"/>
  <c r="O459" i="1"/>
  <c r="N459" i="1"/>
  <c r="M459" i="1"/>
  <c r="P458" i="1"/>
  <c r="O458" i="1"/>
  <c r="N458" i="1"/>
  <c r="M458" i="1"/>
  <c r="P457" i="1"/>
  <c r="O457" i="1"/>
  <c r="N457" i="1"/>
  <c r="M457" i="1"/>
  <c r="P456" i="1"/>
  <c r="O456" i="1"/>
  <c r="N456" i="1"/>
  <c r="M456" i="1"/>
  <c r="P455" i="1"/>
  <c r="O455" i="1"/>
  <c r="N455" i="1"/>
  <c r="M455" i="1"/>
  <c r="P454" i="1"/>
  <c r="O454" i="1"/>
  <c r="N454" i="1"/>
  <c r="M454" i="1"/>
  <c r="P453" i="1"/>
  <c r="O453" i="1"/>
  <c r="N453" i="1"/>
  <c r="M453" i="1"/>
  <c r="P452" i="1"/>
  <c r="O452" i="1"/>
  <c r="N452" i="1"/>
  <c r="M452" i="1"/>
  <c r="P451" i="1"/>
  <c r="O451" i="1"/>
  <c r="N451" i="1"/>
  <c r="M451" i="1"/>
  <c r="P450" i="1"/>
  <c r="O450" i="1"/>
  <c r="N450" i="1"/>
  <c r="M450" i="1"/>
  <c r="P449" i="1"/>
  <c r="O449" i="1"/>
  <c r="N449" i="1"/>
  <c r="M449" i="1"/>
  <c r="P448" i="1"/>
  <c r="O448" i="1"/>
  <c r="N448" i="1"/>
  <c r="M448" i="1"/>
  <c r="P447" i="1"/>
  <c r="O447" i="1"/>
  <c r="N447" i="1"/>
  <c r="M447" i="1"/>
  <c r="P446" i="1"/>
  <c r="O446" i="1"/>
  <c r="N446" i="1"/>
  <c r="M446" i="1"/>
  <c r="P445" i="1"/>
  <c r="O445" i="1"/>
  <c r="N445" i="1"/>
  <c r="M445" i="1"/>
  <c r="P444" i="1"/>
  <c r="O444" i="1"/>
  <c r="N444" i="1"/>
  <c r="M444" i="1"/>
  <c r="P443" i="1"/>
  <c r="O443" i="1"/>
  <c r="N443" i="1"/>
  <c r="M443" i="1"/>
  <c r="P442" i="1"/>
  <c r="O442" i="1"/>
  <c r="N442" i="1"/>
  <c r="M442" i="1"/>
  <c r="P441" i="1"/>
  <c r="O441" i="1"/>
  <c r="N441" i="1"/>
  <c r="M441" i="1"/>
  <c r="P440" i="1"/>
  <c r="O440" i="1"/>
  <c r="N440" i="1"/>
  <c r="M440" i="1"/>
  <c r="P439" i="1"/>
  <c r="O439" i="1"/>
  <c r="N439" i="1"/>
  <c r="M439" i="1"/>
  <c r="P438" i="1"/>
  <c r="O438" i="1"/>
  <c r="N438" i="1"/>
  <c r="M438" i="1"/>
  <c r="P437" i="1"/>
  <c r="O437" i="1"/>
  <c r="N437" i="1"/>
  <c r="M437" i="1"/>
  <c r="P436" i="1"/>
  <c r="O436" i="1"/>
  <c r="N436" i="1"/>
  <c r="M436" i="1"/>
  <c r="P435" i="1"/>
  <c r="O435" i="1"/>
  <c r="N435" i="1"/>
  <c r="M435" i="1"/>
  <c r="P434" i="1"/>
  <c r="O434" i="1"/>
  <c r="N434" i="1"/>
  <c r="M434" i="1"/>
  <c r="P433" i="1"/>
  <c r="O433" i="1"/>
  <c r="N433" i="1"/>
  <c r="M433" i="1"/>
  <c r="P432" i="1"/>
  <c r="O432" i="1"/>
  <c r="N432" i="1"/>
  <c r="M432" i="1"/>
  <c r="P431" i="1"/>
  <c r="O431" i="1"/>
  <c r="N431" i="1"/>
  <c r="M431" i="1"/>
  <c r="P430" i="1"/>
  <c r="O430" i="1"/>
  <c r="N430" i="1"/>
  <c r="M430" i="1"/>
  <c r="P429" i="1"/>
  <c r="O429" i="1"/>
  <c r="N429" i="1"/>
  <c r="M429" i="1"/>
  <c r="P428" i="1"/>
  <c r="O428" i="1"/>
  <c r="N428" i="1"/>
  <c r="M428" i="1"/>
  <c r="P427" i="1"/>
  <c r="O427" i="1"/>
  <c r="N427" i="1"/>
  <c r="M427" i="1"/>
  <c r="P426" i="1"/>
  <c r="O426" i="1"/>
  <c r="N426" i="1"/>
  <c r="M426" i="1"/>
  <c r="P425" i="1"/>
  <c r="O425" i="1"/>
  <c r="N425" i="1"/>
  <c r="M425" i="1"/>
  <c r="P424" i="1"/>
  <c r="O424" i="1"/>
  <c r="N424" i="1"/>
  <c r="M424" i="1"/>
  <c r="P423" i="1"/>
  <c r="O423" i="1"/>
  <c r="N423" i="1"/>
  <c r="M423" i="1"/>
  <c r="P422" i="1"/>
  <c r="O422" i="1"/>
  <c r="N422" i="1"/>
  <c r="M422" i="1"/>
  <c r="P421" i="1"/>
  <c r="O421" i="1"/>
  <c r="N421" i="1"/>
  <c r="M421" i="1"/>
  <c r="P420" i="1"/>
  <c r="O420" i="1"/>
  <c r="N420" i="1"/>
  <c r="M420" i="1"/>
  <c r="P419" i="1"/>
  <c r="O419" i="1"/>
  <c r="N419" i="1"/>
  <c r="M419" i="1"/>
  <c r="P418" i="1"/>
  <c r="O418" i="1"/>
  <c r="N418" i="1"/>
  <c r="M418" i="1"/>
  <c r="P417" i="1"/>
  <c r="O417" i="1"/>
  <c r="N417" i="1"/>
  <c r="M417" i="1"/>
  <c r="P416" i="1"/>
  <c r="O416" i="1"/>
  <c r="N416" i="1"/>
  <c r="M416" i="1"/>
  <c r="P415" i="1"/>
  <c r="O415" i="1"/>
  <c r="N415" i="1"/>
  <c r="M415" i="1"/>
  <c r="P414" i="1"/>
  <c r="O414" i="1"/>
  <c r="N414" i="1"/>
  <c r="M414" i="1"/>
  <c r="P413" i="1"/>
  <c r="O413" i="1"/>
  <c r="N413" i="1"/>
  <c r="M413" i="1"/>
  <c r="P412" i="1"/>
  <c r="O412" i="1"/>
  <c r="N412" i="1"/>
  <c r="M412" i="1"/>
  <c r="P411" i="1"/>
  <c r="O411" i="1"/>
  <c r="N411" i="1"/>
  <c r="M411" i="1"/>
  <c r="P410" i="1"/>
  <c r="O410" i="1"/>
  <c r="N410" i="1"/>
  <c r="M410" i="1"/>
  <c r="P409" i="1"/>
  <c r="O409" i="1"/>
  <c r="N409" i="1"/>
  <c r="M409" i="1"/>
  <c r="P408" i="1"/>
  <c r="O408" i="1"/>
  <c r="N408" i="1"/>
  <c r="M408" i="1"/>
  <c r="P407" i="1"/>
  <c r="O407" i="1"/>
  <c r="N407" i="1"/>
  <c r="M407" i="1"/>
  <c r="P406" i="1"/>
  <c r="O406" i="1"/>
  <c r="N406" i="1"/>
  <c r="M406" i="1"/>
  <c r="P405" i="1"/>
  <c r="O405" i="1"/>
  <c r="N405" i="1"/>
  <c r="M405" i="1"/>
  <c r="P404" i="1"/>
  <c r="O404" i="1"/>
  <c r="N404" i="1"/>
  <c r="M404" i="1"/>
  <c r="P403" i="1"/>
  <c r="O403" i="1"/>
  <c r="N403" i="1"/>
  <c r="M403" i="1"/>
  <c r="P402" i="1"/>
  <c r="O402" i="1"/>
  <c r="N402" i="1"/>
  <c r="M402" i="1"/>
  <c r="P401" i="1"/>
  <c r="O401" i="1"/>
  <c r="N401" i="1"/>
  <c r="M401" i="1"/>
  <c r="P400" i="1"/>
  <c r="O400" i="1"/>
  <c r="N400" i="1"/>
  <c r="M400" i="1"/>
  <c r="P399" i="1"/>
  <c r="O399" i="1"/>
  <c r="N399" i="1"/>
  <c r="M399" i="1"/>
  <c r="P398" i="1"/>
  <c r="O398" i="1"/>
  <c r="N398" i="1"/>
  <c r="M398" i="1"/>
  <c r="P397" i="1"/>
  <c r="O397" i="1"/>
  <c r="N397" i="1"/>
  <c r="M397" i="1"/>
  <c r="P396" i="1"/>
  <c r="O396" i="1"/>
  <c r="N396" i="1"/>
  <c r="M396" i="1"/>
  <c r="P395" i="1"/>
  <c r="O395" i="1"/>
  <c r="N395" i="1"/>
  <c r="M395" i="1"/>
  <c r="P394" i="1"/>
  <c r="O394" i="1"/>
  <c r="N394" i="1"/>
  <c r="M394" i="1"/>
  <c r="P393" i="1"/>
  <c r="O393" i="1"/>
  <c r="N393" i="1"/>
  <c r="M393" i="1"/>
  <c r="P392" i="1"/>
  <c r="O392" i="1"/>
  <c r="N392" i="1"/>
  <c r="M392" i="1"/>
  <c r="P391" i="1"/>
  <c r="O391" i="1"/>
  <c r="N391" i="1"/>
  <c r="M391" i="1"/>
  <c r="P390" i="1"/>
  <c r="O390" i="1"/>
  <c r="N390" i="1"/>
  <c r="M390" i="1"/>
  <c r="P389" i="1"/>
  <c r="O389" i="1"/>
  <c r="N389" i="1"/>
  <c r="M389" i="1"/>
  <c r="P388" i="1"/>
  <c r="O388" i="1"/>
  <c r="N388" i="1"/>
  <c r="M388" i="1"/>
  <c r="P387" i="1"/>
  <c r="O387" i="1"/>
  <c r="N387" i="1"/>
  <c r="M387" i="1"/>
  <c r="P386" i="1"/>
  <c r="O386" i="1"/>
  <c r="N386" i="1"/>
  <c r="M386" i="1"/>
  <c r="P385" i="1"/>
  <c r="O385" i="1"/>
  <c r="N385" i="1"/>
  <c r="M385" i="1"/>
  <c r="P384" i="1"/>
  <c r="O384" i="1"/>
  <c r="N384" i="1"/>
  <c r="M384" i="1"/>
  <c r="P383" i="1"/>
  <c r="O383" i="1"/>
  <c r="N383" i="1"/>
  <c r="M383" i="1"/>
  <c r="P382" i="1"/>
  <c r="O382" i="1"/>
  <c r="N382" i="1"/>
  <c r="M382" i="1"/>
  <c r="P381" i="1"/>
  <c r="O381" i="1"/>
  <c r="N381" i="1"/>
  <c r="M381" i="1"/>
  <c r="P380" i="1"/>
  <c r="O380" i="1"/>
  <c r="N380" i="1"/>
  <c r="M380" i="1"/>
  <c r="P379" i="1"/>
  <c r="O379" i="1"/>
  <c r="N379" i="1"/>
  <c r="M379" i="1"/>
  <c r="P378" i="1"/>
  <c r="O378" i="1"/>
  <c r="N378" i="1"/>
  <c r="M378" i="1"/>
  <c r="P377" i="1"/>
  <c r="O377" i="1"/>
  <c r="N377" i="1"/>
  <c r="M377" i="1"/>
  <c r="P376" i="1"/>
  <c r="O376" i="1"/>
  <c r="N376" i="1"/>
  <c r="M376" i="1"/>
  <c r="P375" i="1"/>
  <c r="O375" i="1"/>
  <c r="N375" i="1"/>
  <c r="M375" i="1"/>
  <c r="P374" i="1"/>
  <c r="O374" i="1"/>
  <c r="N374" i="1"/>
  <c r="M374" i="1"/>
  <c r="P373" i="1"/>
  <c r="O373" i="1"/>
  <c r="N373" i="1"/>
  <c r="M373" i="1"/>
  <c r="P372" i="1"/>
  <c r="O372" i="1"/>
  <c r="N372" i="1"/>
  <c r="M372" i="1"/>
  <c r="P371" i="1"/>
  <c r="O371" i="1"/>
  <c r="N371" i="1"/>
  <c r="M371" i="1"/>
  <c r="P370" i="1"/>
  <c r="O370" i="1"/>
  <c r="N370" i="1"/>
  <c r="M370" i="1"/>
  <c r="P369" i="1"/>
  <c r="O369" i="1"/>
  <c r="N369" i="1"/>
  <c r="M369" i="1"/>
  <c r="P368" i="1"/>
  <c r="O368" i="1"/>
  <c r="N368" i="1"/>
  <c r="M368" i="1"/>
  <c r="P367" i="1"/>
  <c r="O367" i="1"/>
  <c r="N367" i="1"/>
  <c r="M367" i="1"/>
  <c r="P366" i="1"/>
  <c r="O366" i="1"/>
  <c r="N366" i="1"/>
  <c r="M366" i="1"/>
  <c r="P365" i="1"/>
  <c r="O365" i="1"/>
  <c r="N365" i="1"/>
  <c r="M365" i="1"/>
  <c r="P364" i="1"/>
  <c r="O364" i="1"/>
  <c r="N364" i="1"/>
  <c r="M364" i="1"/>
  <c r="P363" i="1"/>
  <c r="O363" i="1"/>
  <c r="N363" i="1"/>
  <c r="M363" i="1"/>
  <c r="P362" i="1"/>
  <c r="O362" i="1"/>
  <c r="N362" i="1"/>
  <c r="M362" i="1"/>
  <c r="P361" i="1"/>
  <c r="O361" i="1"/>
  <c r="N361" i="1"/>
  <c r="M361" i="1"/>
  <c r="P360" i="1"/>
  <c r="O360" i="1"/>
  <c r="N360" i="1"/>
  <c r="M360" i="1"/>
  <c r="P359" i="1"/>
  <c r="O359" i="1"/>
  <c r="N359" i="1"/>
  <c r="M359" i="1"/>
  <c r="P358" i="1"/>
  <c r="O358" i="1"/>
  <c r="N358" i="1"/>
  <c r="M358" i="1"/>
  <c r="P357" i="1"/>
  <c r="O357" i="1"/>
  <c r="N357" i="1"/>
  <c r="M357" i="1"/>
  <c r="P356" i="1"/>
  <c r="O356" i="1"/>
  <c r="N356" i="1"/>
  <c r="M356" i="1"/>
  <c r="P355" i="1"/>
  <c r="O355" i="1"/>
  <c r="N355" i="1"/>
  <c r="M355" i="1"/>
  <c r="P354" i="1"/>
  <c r="O354" i="1"/>
  <c r="N354" i="1"/>
  <c r="M354" i="1"/>
  <c r="P353" i="1"/>
  <c r="O353" i="1"/>
  <c r="N353" i="1"/>
  <c r="M353" i="1"/>
  <c r="P352" i="1"/>
  <c r="O352" i="1"/>
  <c r="N352" i="1"/>
  <c r="M352" i="1"/>
  <c r="P351" i="1"/>
  <c r="O351" i="1"/>
  <c r="N351" i="1"/>
  <c r="M351" i="1"/>
  <c r="P350" i="1"/>
  <c r="O350" i="1"/>
  <c r="N350" i="1"/>
  <c r="M350" i="1"/>
  <c r="P349" i="1"/>
  <c r="O349" i="1"/>
  <c r="N349" i="1"/>
  <c r="M349" i="1"/>
  <c r="P348" i="1"/>
  <c r="O348" i="1"/>
  <c r="N348" i="1"/>
  <c r="M348" i="1"/>
  <c r="P347" i="1"/>
  <c r="O347" i="1"/>
  <c r="N347" i="1"/>
  <c r="M347" i="1"/>
  <c r="P346" i="1"/>
  <c r="O346" i="1"/>
  <c r="N346" i="1"/>
  <c r="M346" i="1"/>
  <c r="P345" i="1"/>
  <c r="O345" i="1"/>
  <c r="N345" i="1"/>
  <c r="M345" i="1"/>
  <c r="P344" i="1"/>
  <c r="O344" i="1"/>
  <c r="N344" i="1"/>
  <c r="M344" i="1"/>
  <c r="P343" i="1"/>
  <c r="O343" i="1"/>
  <c r="N343" i="1"/>
  <c r="M343" i="1"/>
  <c r="P342" i="1"/>
  <c r="O342" i="1"/>
  <c r="N342" i="1"/>
  <c r="M342" i="1"/>
  <c r="P341" i="1"/>
  <c r="O341" i="1"/>
  <c r="N341" i="1"/>
  <c r="M341" i="1"/>
  <c r="P340" i="1"/>
  <c r="O340" i="1"/>
  <c r="N340" i="1"/>
  <c r="M340" i="1"/>
  <c r="P339" i="1"/>
  <c r="O339" i="1"/>
  <c r="N339" i="1"/>
  <c r="M339" i="1"/>
  <c r="P338" i="1"/>
  <c r="O338" i="1"/>
  <c r="N338" i="1"/>
  <c r="M338" i="1"/>
  <c r="P337" i="1"/>
  <c r="O337" i="1"/>
  <c r="N337" i="1"/>
  <c r="M337" i="1"/>
  <c r="P336" i="1"/>
  <c r="O336" i="1"/>
  <c r="N336" i="1"/>
  <c r="M336" i="1"/>
  <c r="P335" i="1"/>
  <c r="O335" i="1"/>
  <c r="N335" i="1"/>
  <c r="M335" i="1"/>
  <c r="P334" i="1"/>
  <c r="O334" i="1"/>
  <c r="N334" i="1"/>
  <c r="M334" i="1"/>
  <c r="P333" i="1"/>
  <c r="O333" i="1"/>
  <c r="N333" i="1"/>
  <c r="M333" i="1"/>
  <c r="P332" i="1"/>
  <c r="O332" i="1"/>
  <c r="N332" i="1"/>
  <c r="M332" i="1"/>
  <c r="P331" i="1"/>
  <c r="O331" i="1"/>
  <c r="N331" i="1"/>
  <c r="M331" i="1"/>
  <c r="P330" i="1"/>
  <c r="O330" i="1"/>
  <c r="N330" i="1"/>
  <c r="M330" i="1"/>
  <c r="P329" i="1"/>
  <c r="O329" i="1"/>
  <c r="N329" i="1"/>
  <c r="M329" i="1"/>
  <c r="P328" i="1"/>
  <c r="O328" i="1"/>
  <c r="N328" i="1"/>
  <c r="M328" i="1"/>
  <c r="P327" i="1"/>
  <c r="O327" i="1"/>
  <c r="N327" i="1"/>
  <c r="M327" i="1"/>
  <c r="P326" i="1"/>
  <c r="O326" i="1"/>
  <c r="N326" i="1"/>
  <c r="M326" i="1"/>
  <c r="P325" i="1"/>
  <c r="O325" i="1"/>
  <c r="N325" i="1"/>
  <c r="M325" i="1"/>
  <c r="P324" i="1"/>
  <c r="O324" i="1"/>
  <c r="N324" i="1"/>
  <c r="M324" i="1"/>
  <c r="P323" i="1"/>
  <c r="O323" i="1"/>
  <c r="N323" i="1"/>
  <c r="M323" i="1"/>
  <c r="P322" i="1"/>
  <c r="O322" i="1"/>
  <c r="N322" i="1"/>
  <c r="M322" i="1"/>
  <c r="P321" i="1"/>
  <c r="O321" i="1"/>
  <c r="N321" i="1"/>
  <c r="M321" i="1"/>
  <c r="P320" i="1"/>
  <c r="O320" i="1"/>
  <c r="N320" i="1"/>
  <c r="M320" i="1"/>
  <c r="P319" i="1"/>
  <c r="O319" i="1"/>
  <c r="N319" i="1"/>
  <c r="M319" i="1"/>
  <c r="P318" i="1"/>
  <c r="O318" i="1"/>
  <c r="N318" i="1"/>
  <c r="M318" i="1"/>
  <c r="P317" i="1"/>
  <c r="O317" i="1"/>
  <c r="N317" i="1"/>
  <c r="M317" i="1"/>
  <c r="P316" i="1"/>
  <c r="O316" i="1"/>
  <c r="N316" i="1"/>
  <c r="M316" i="1"/>
  <c r="P315" i="1"/>
  <c r="O315" i="1"/>
  <c r="N315" i="1"/>
  <c r="M315" i="1"/>
  <c r="P314" i="1"/>
  <c r="O314" i="1"/>
  <c r="N314" i="1"/>
  <c r="M314" i="1"/>
  <c r="P313" i="1"/>
  <c r="O313" i="1"/>
  <c r="N313" i="1"/>
  <c r="M313" i="1"/>
  <c r="P312" i="1"/>
  <c r="O312" i="1"/>
  <c r="N312" i="1"/>
  <c r="M312" i="1"/>
  <c r="P311" i="1"/>
  <c r="O311" i="1"/>
  <c r="N311" i="1"/>
  <c r="M311" i="1"/>
  <c r="P310" i="1"/>
  <c r="O310" i="1"/>
  <c r="N310" i="1"/>
  <c r="M310" i="1"/>
  <c r="P309" i="1"/>
  <c r="O309" i="1"/>
  <c r="N309" i="1"/>
  <c r="M309" i="1"/>
  <c r="P308" i="1"/>
  <c r="O308" i="1"/>
  <c r="N308" i="1"/>
  <c r="M308" i="1"/>
  <c r="P307" i="1"/>
  <c r="O307" i="1"/>
  <c r="N307" i="1"/>
  <c r="M307" i="1"/>
  <c r="P306" i="1"/>
  <c r="O306" i="1"/>
  <c r="N306" i="1"/>
  <c r="M306" i="1"/>
  <c r="P305" i="1"/>
  <c r="O305" i="1"/>
  <c r="N305" i="1"/>
  <c r="M305" i="1"/>
  <c r="P304" i="1"/>
  <c r="O304" i="1"/>
  <c r="N304" i="1"/>
  <c r="M304" i="1"/>
  <c r="P303" i="1"/>
  <c r="O303" i="1"/>
  <c r="N303" i="1"/>
  <c r="M303" i="1"/>
  <c r="P302" i="1"/>
  <c r="O302" i="1"/>
  <c r="N302" i="1"/>
  <c r="M302" i="1"/>
  <c r="P301" i="1"/>
  <c r="O301" i="1"/>
  <c r="N301" i="1"/>
  <c r="M301" i="1"/>
  <c r="P300" i="1"/>
  <c r="O300" i="1"/>
  <c r="N300" i="1"/>
  <c r="M300" i="1"/>
  <c r="P299" i="1"/>
  <c r="O299" i="1"/>
  <c r="N299" i="1"/>
  <c r="M299" i="1"/>
  <c r="P298" i="1"/>
  <c r="O298" i="1"/>
  <c r="N298" i="1"/>
  <c r="M298" i="1"/>
  <c r="P297" i="1"/>
  <c r="O297" i="1"/>
  <c r="N297" i="1"/>
  <c r="M297" i="1"/>
  <c r="P296" i="1"/>
  <c r="O296" i="1"/>
  <c r="N296" i="1"/>
  <c r="M296" i="1"/>
  <c r="P295" i="1"/>
  <c r="O295" i="1"/>
  <c r="N295" i="1"/>
  <c r="M295" i="1"/>
  <c r="P294" i="1"/>
  <c r="O294" i="1"/>
  <c r="N294" i="1"/>
  <c r="M294" i="1"/>
  <c r="P293" i="1"/>
  <c r="O293" i="1"/>
  <c r="N293" i="1"/>
  <c r="M293" i="1"/>
  <c r="P292" i="1"/>
  <c r="O292" i="1"/>
  <c r="N292" i="1"/>
  <c r="M292" i="1"/>
  <c r="P291" i="1"/>
  <c r="O291" i="1"/>
  <c r="N291" i="1"/>
  <c r="M291" i="1"/>
  <c r="P290" i="1"/>
  <c r="O290" i="1"/>
  <c r="N290" i="1"/>
  <c r="M290" i="1"/>
  <c r="P289" i="1"/>
  <c r="O289" i="1"/>
  <c r="N289" i="1"/>
  <c r="M289" i="1"/>
  <c r="P288" i="1"/>
  <c r="O288" i="1"/>
  <c r="N288" i="1"/>
  <c r="M288" i="1"/>
  <c r="P287" i="1"/>
  <c r="O287" i="1"/>
  <c r="N287" i="1"/>
  <c r="M287" i="1"/>
  <c r="P286" i="1"/>
  <c r="O286" i="1"/>
  <c r="N286" i="1"/>
  <c r="M286" i="1"/>
  <c r="P285" i="1"/>
  <c r="O285" i="1"/>
  <c r="N285" i="1"/>
  <c r="M285" i="1"/>
  <c r="P284" i="1"/>
  <c r="O284" i="1"/>
  <c r="N284" i="1"/>
  <c r="M284" i="1"/>
  <c r="P283" i="1"/>
  <c r="O283" i="1"/>
  <c r="N283" i="1"/>
  <c r="M283" i="1"/>
  <c r="P282" i="1"/>
  <c r="O282" i="1"/>
  <c r="N282" i="1"/>
  <c r="M282" i="1"/>
  <c r="P281" i="1"/>
  <c r="O281" i="1"/>
  <c r="N281" i="1"/>
  <c r="M281" i="1"/>
  <c r="P280" i="1"/>
  <c r="O280" i="1"/>
  <c r="N280" i="1"/>
  <c r="M280" i="1"/>
  <c r="P279" i="1"/>
  <c r="O279" i="1"/>
  <c r="N279" i="1"/>
  <c r="M279" i="1"/>
  <c r="P278" i="1"/>
  <c r="O278" i="1"/>
  <c r="N278" i="1"/>
  <c r="M278" i="1"/>
  <c r="P277" i="1"/>
  <c r="O277" i="1"/>
  <c r="N277" i="1"/>
  <c r="M277" i="1"/>
  <c r="P276" i="1"/>
  <c r="O276" i="1"/>
  <c r="N276" i="1"/>
  <c r="M276" i="1"/>
  <c r="P275" i="1"/>
  <c r="O275" i="1"/>
  <c r="N275" i="1"/>
  <c r="M275" i="1"/>
  <c r="P274" i="1"/>
  <c r="O274" i="1"/>
  <c r="N274" i="1"/>
  <c r="M274" i="1"/>
  <c r="P273" i="1"/>
  <c r="O273" i="1"/>
  <c r="N273" i="1"/>
  <c r="M273" i="1"/>
  <c r="P272" i="1"/>
  <c r="O272" i="1"/>
  <c r="N272" i="1"/>
  <c r="M272" i="1"/>
  <c r="P271" i="1"/>
  <c r="O271" i="1"/>
  <c r="N271" i="1"/>
  <c r="M271" i="1"/>
  <c r="P270" i="1"/>
  <c r="O270" i="1"/>
  <c r="N270" i="1"/>
  <c r="M270" i="1"/>
  <c r="P269" i="1"/>
  <c r="O269" i="1"/>
  <c r="N269" i="1"/>
  <c r="M269" i="1"/>
  <c r="P268" i="1"/>
  <c r="O268" i="1"/>
  <c r="N268" i="1"/>
  <c r="M268" i="1"/>
  <c r="P267" i="1"/>
  <c r="O267" i="1"/>
  <c r="N267" i="1"/>
  <c r="M267" i="1"/>
  <c r="P266" i="1"/>
  <c r="O266" i="1"/>
  <c r="N266" i="1"/>
  <c r="M266" i="1"/>
  <c r="P265" i="1"/>
  <c r="O265" i="1"/>
  <c r="N265" i="1"/>
  <c r="M265" i="1"/>
  <c r="P264" i="1"/>
  <c r="O264" i="1"/>
  <c r="N264" i="1"/>
  <c r="M264" i="1"/>
  <c r="P263" i="1"/>
  <c r="O263" i="1"/>
  <c r="N263" i="1"/>
  <c r="M263" i="1"/>
  <c r="P262" i="1"/>
  <c r="O262" i="1"/>
  <c r="N262" i="1"/>
  <c r="M262" i="1"/>
  <c r="P261" i="1"/>
  <c r="O261" i="1"/>
  <c r="N261" i="1"/>
  <c r="M261" i="1"/>
  <c r="P260" i="1"/>
  <c r="O260" i="1"/>
  <c r="N260" i="1"/>
  <c r="M260" i="1"/>
  <c r="P259" i="1"/>
  <c r="O259" i="1"/>
  <c r="N259" i="1"/>
  <c r="M259" i="1"/>
  <c r="P258" i="1"/>
  <c r="O258" i="1"/>
  <c r="N258" i="1"/>
  <c r="M258" i="1"/>
  <c r="P257" i="1"/>
  <c r="O257" i="1"/>
  <c r="N257" i="1"/>
  <c r="M257" i="1"/>
  <c r="P256" i="1"/>
  <c r="O256" i="1"/>
  <c r="N256" i="1"/>
  <c r="M256" i="1"/>
  <c r="P255" i="1"/>
  <c r="O255" i="1"/>
  <c r="N255" i="1"/>
  <c r="M255" i="1"/>
  <c r="P254" i="1"/>
  <c r="O254" i="1"/>
  <c r="N254" i="1"/>
  <c r="M254" i="1"/>
  <c r="P253" i="1"/>
  <c r="O253" i="1"/>
  <c r="N253" i="1"/>
  <c r="M253" i="1"/>
  <c r="P252" i="1"/>
  <c r="O252" i="1"/>
  <c r="N252" i="1"/>
  <c r="M252" i="1"/>
  <c r="P251" i="1"/>
  <c r="O251" i="1"/>
  <c r="N251" i="1"/>
  <c r="M251" i="1"/>
  <c r="P250" i="1"/>
  <c r="O250" i="1"/>
  <c r="N250" i="1"/>
  <c r="M250" i="1"/>
  <c r="P249" i="1"/>
  <c r="O249" i="1"/>
  <c r="N249" i="1"/>
  <c r="M249" i="1"/>
  <c r="P248" i="1"/>
  <c r="O248" i="1"/>
  <c r="N248" i="1"/>
  <c r="M248" i="1"/>
  <c r="P247" i="1"/>
  <c r="O247" i="1"/>
  <c r="N247" i="1"/>
  <c r="M247" i="1"/>
  <c r="P246" i="1"/>
  <c r="O246" i="1"/>
  <c r="N246" i="1"/>
  <c r="M246" i="1"/>
  <c r="P245" i="1"/>
  <c r="O245" i="1"/>
  <c r="N245" i="1"/>
  <c r="M245" i="1"/>
  <c r="P244" i="1"/>
  <c r="O244" i="1"/>
  <c r="N244" i="1"/>
  <c r="M244" i="1"/>
  <c r="P243" i="1"/>
  <c r="O243" i="1"/>
  <c r="N243" i="1"/>
  <c r="M243" i="1"/>
  <c r="P242" i="1"/>
  <c r="O242" i="1"/>
  <c r="N242" i="1"/>
  <c r="M242" i="1"/>
  <c r="P241" i="1"/>
  <c r="O241" i="1"/>
  <c r="N241" i="1"/>
  <c r="M241" i="1"/>
  <c r="P240" i="1"/>
  <c r="O240" i="1"/>
  <c r="N240" i="1"/>
  <c r="M240" i="1"/>
  <c r="P239" i="1"/>
  <c r="O239" i="1"/>
  <c r="N239" i="1"/>
  <c r="M239" i="1"/>
  <c r="P238" i="1"/>
  <c r="O238" i="1"/>
  <c r="N238" i="1"/>
  <c r="M238" i="1"/>
  <c r="P237" i="1"/>
  <c r="O237" i="1"/>
  <c r="N237" i="1"/>
  <c r="M237" i="1"/>
  <c r="P236" i="1"/>
  <c r="O236" i="1"/>
  <c r="N236" i="1"/>
  <c r="M236" i="1"/>
  <c r="P235" i="1"/>
  <c r="O235" i="1"/>
  <c r="N235" i="1"/>
  <c r="M235" i="1"/>
  <c r="P234" i="1"/>
  <c r="O234" i="1"/>
  <c r="N234" i="1"/>
  <c r="M234" i="1"/>
  <c r="P233" i="1"/>
  <c r="O233" i="1"/>
  <c r="N233" i="1"/>
  <c r="M233" i="1"/>
  <c r="P232" i="1"/>
  <c r="O232" i="1"/>
  <c r="N232" i="1"/>
  <c r="M232" i="1"/>
  <c r="P231" i="1"/>
  <c r="O231" i="1"/>
  <c r="N231" i="1"/>
  <c r="M231" i="1"/>
  <c r="P230" i="1"/>
  <c r="O230" i="1"/>
  <c r="N230" i="1"/>
  <c r="M230" i="1"/>
  <c r="P229" i="1"/>
  <c r="O229" i="1"/>
  <c r="N229" i="1"/>
  <c r="M229" i="1"/>
  <c r="P228" i="1"/>
  <c r="O228" i="1"/>
  <c r="N228" i="1"/>
  <c r="M228" i="1"/>
  <c r="P227" i="1"/>
  <c r="O227" i="1"/>
  <c r="N227" i="1"/>
  <c r="M227" i="1"/>
  <c r="P226" i="1"/>
  <c r="O226" i="1"/>
  <c r="N226" i="1"/>
  <c r="M226" i="1"/>
  <c r="P225" i="1"/>
  <c r="O225" i="1"/>
  <c r="N225" i="1"/>
  <c r="M225" i="1"/>
  <c r="P224" i="1"/>
  <c r="O224" i="1"/>
  <c r="N224" i="1"/>
  <c r="M224" i="1"/>
  <c r="P223" i="1"/>
  <c r="O223" i="1"/>
  <c r="N223" i="1"/>
  <c r="M223" i="1"/>
  <c r="P222" i="1"/>
  <c r="O222" i="1"/>
  <c r="N222" i="1"/>
  <c r="M222" i="1"/>
  <c r="P221" i="1"/>
  <c r="O221" i="1"/>
  <c r="N221" i="1"/>
  <c r="M221" i="1"/>
  <c r="P220" i="1"/>
  <c r="O220" i="1"/>
  <c r="N220" i="1"/>
  <c r="M220" i="1"/>
  <c r="P219" i="1"/>
  <c r="O219" i="1"/>
  <c r="N219" i="1"/>
  <c r="M219" i="1"/>
  <c r="P218" i="1"/>
  <c r="O218" i="1"/>
  <c r="N218" i="1"/>
  <c r="M218" i="1"/>
  <c r="P217" i="1"/>
  <c r="O217" i="1"/>
  <c r="N217" i="1"/>
  <c r="M217" i="1"/>
  <c r="P216" i="1"/>
  <c r="O216" i="1"/>
  <c r="N216" i="1"/>
  <c r="M216" i="1"/>
  <c r="P215" i="1"/>
  <c r="O215" i="1"/>
  <c r="N215" i="1"/>
  <c r="M215" i="1"/>
  <c r="P214" i="1"/>
  <c r="O214" i="1"/>
  <c r="N214" i="1"/>
  <c r="M214" i="1"/>
  <c r="P213" i="1"/>
  <c r="O213" i="1"/>
  <c r="N213" i="1"/>
  <c r="M213" i="1"/>
  <c r="P212" i="1"/>
  <c r="O212" i="1"/>
  <c r="N212" i="1"/>
  <c r="M212" i="1"/>
  <c r="P211" i="1"/>
  <c r="O211" i="1"/>
  <c r="N211" i="1"/>
  <c r="M211" i="1"/>
  <c r="P210" i="1"/>
  <c r="O210" i="1"/>
  <c r="N210" i="1"/>
  <c r="M210" i="1"/>
  <c r="P209" i="1"/>
  <c r="O209" i="1"/>
  <c r="N209" i="1"/>
  <c r="M209" i="1"/>
  <c r="P208" i="1"/>
  <c r="O208" i="1"/>
  <c r="N208" i="1"/>
  <c r="M208" i="1"/>
  <c r="P207" i="1"/>
  <c r="O207" i="1"/>
  <c r="N207" i="1"/>
  <c r="M207" i="1"/>
  <c r="P206" i="1"/>
  <c r="O206" i="1"/>
  <c r="N206" i="1"/>
  <c r="M206" i="1"/>
  <c r="P205" i="1"/>
  <c r="O205" i="1"/>
  <c r="N205" i="1"/>
  <c r="M205" i="1"/>
  <c r="P204" i="1"/>
  <c r="O204" i="1"/>
  <c r="N204" i="1"/>
  <c r="M204" i="1"/>
  <c r="P203" i="1"/>
  <c r="O203" i="1"/>
  <c r="N203" i="1"/>
  <c r="M203" i="1"/>
  <c r="P202" i="1"/>
  <c r="O202" i="1"/>
  <c r="N202" i="1"/>
  <c r="M202" i="1"/>
  <c r="P201" i="1"/>
  <c r="O201" i="1"/>
  <c r="N201" i="1"/>
  <c r="M201" i="1"/>
  <c r="P200" i="1"/>
  <c r="O200" i="1"/>
  <c r="N200" i="1"/>
  <c r="M200" i="1"/>
  <c r="P199" i="1"/>
  <c r="O199" i="1"/>
  <c r="N199" i="1"/>
  <c r="M199" i="1"/>
  <c r="P198" i="1"/>
  <c r="O198" i="1"/>
  <c r="N198" i="1"/>
  <c r="M198" i="1"/>
  <c r="P197" i="1"/>
  <c r="O197" i="1"/>
  <c r="N197" i="1"/>
  <c r="M197" i="1"/>
  <c r="P196" i="1"/>
  <c r="O196" i="1"/>
  <c r="N196" i="1"/>
  <c r="M196" i="1"/>
  <c r="P195" i="1"/>
  <c r="O195" i="1"/>
  <c r="N195" i="1"/>
  <c r="M195" i="1"/>
  <c r="P194" i="1"/>
  <c r="O194" i="1"/>
  <c r="N194" i="1"/>
  <c r="M194" i="1"/>
  <c r="P193" i="1"/>
  <c r="O193" i="1"/>
  <c r="N193" i="1"/>
  <c r="M193" i="1"/>
  <c r="P192" i="1"/>
  <c r="O192" i="1"/>
  <c r="N192" i="1"/>
  <c r="M192" i="1"/>
  <c r="P191" i="1"/>
  <c r="O191" i="1"/>
  <c r="N191" i="1"/>
  <c r="M191" i="1"/>
  <c r="P190" i="1"/>
  <c r="O190" i="1"/>
  <c r="N190" i="1"/>
  <c r="M190" i="1"/>
  <c r="P189" i="1"/>
  <c r="O189" i="1"/>
  <c r="N189" i="1"/>
  <c r="M189" i="1"/>
  <c r="P188" i="1"/>
  <c r="O188" i="1"/>
  <c r="N188" i="1"/>
  <c r="M188" i="1"/>
  <c r="P187" i="1"/>
  <c r="O187" i="1"/>
  <c r="N187" i="1"/>
  <c r="M187" i="1"/>
  <c r="P186" i="1"/>
  <c r="O186" i="1"/>
  <c r="N186" i="1"/>
  <c r="M186" i="1"/>
  <c r="P185" i="1"/>
  <c r="O185" i="1"/>
  <c r="N185" i="1"/>
  <c r="M185" i="1"/>
  <c r="P184" i="1"/>
  <c r="O184" i="1"/>
  <c r="N184" i="1"/>
  <c r="M184" i="1"/>
  <c r="P183" i="1"/>
  <c r="O183" i="1"/>
  <c r="N183" i="1"/>
  <c r="M183" i="1"/>
  <c r="P182" i="1"/>
  <c r="O182" i="1"/>
  <c r="N182" i="1"/>
  <c r="M182" i="1"/>
  <c r="P181" i="1"/>
  <c r="O181" i="1"/>
  <c r="N181" i="1"/>
  <c r="M181" i="1"/>
  <c r="P180" i="1"/>
  <c r="O180" i="1"/>
  <c r="N180" i="1"/>
  <c r="M180" i="1"/>
  <c r="P179" i="1"/>
  <c r="O179" i="1"/>
  <c r="N179" i="1"/>
  <c r="M179" i="1"/>
  <c r="P178" i="1"/>
  <c r="O178" i="1"/>
  <c r="N178" i="1"/>
  <c r="M178" i="1"/>
  <c r="P177" i="1"/>
  <c r="O177" i="1"/>
  <c r="N177" i="1"/>
  <c r="M177" i="1"/>
  <c r="P176" i="1"/>
  <c r="O176" i="1"/>
  <c r="N176" i="1"/>
  <c r="M176" i="1"/>
  <c r="P175" i="1"/>
  <c r="O175" i="1"/>
  <c r="N175" i="1"/>
  <c r="M175" i="1"/>
  <c r="P174" i="1"/>
  <c r="O174" i="1"/>
  <c r="N174" i="1"/>
  <c r="M174" i="1"/>
  <c r="P173" i="1"/>
  <c r="O173" i="1"/>
  <c r="N173" i="1"/>
  <c r="M173" i="1"/>
  <c r="P172" i="1"/>
  <c r="O172" i="1"/>
  <c r="N172" i="1"/>
  <c r="M172" i="1"/>
  <c r="P171" i="1"/>
  <c r="O171" i="1"/>
  <c r="N171" i="1"/>
  <c r="M171" i="1"/>
  <c r="P170" i="1"/>
  <c r="O170" i="1"/>
  <c r="N170" i="1"/>
  <c r="M170" i="1"/>
  <c r="P169" i="1"/>
  <c r="O169" i="1"/>
  <c r="N169" i="1"/>
  <c r="M169" i="1"/>
  <c r="P168" i="1"/>
  <c r="O168" i="1"/>
  <c r="N168" i="1"/>
  <c r="M168" i="1"/>
  <c r="P167" i="1"/>
  <c r="O167" i="1"/>
  <c r="N167" i="1"/>
  <c r="M167" i="1"/>
  <c r="P166" i="1"/>
  <c r="O166" i="1"/>
  <c r="N166" i="1"/>
  <c r="M166" i="1"/>
  <c r="P165" i="1"/>
  <c r="O165" i="1"/>
  <c r="N165" i="1"/>
  <c r="M165" i="1"/>
  <c r="P164" i="1"/>
  <c r="O164" i="1"/>
  <c r="N164" i="1"/>
  <c r="M164" i="1"/>
  <c r="P163" i="1"/>
  <c r="O163" i="1"/>
  <c r="N163" i="1"/>
  <c r="M163" i="1"/>
  <c r="P162" i="1"/>
  <c r="O162" i="1"/>
  <c r="N162" i="1"/>
  <c r="M162" i="1"/>
  <c r="P161" i="1"/>
  <c r="O161" i="1"/>
  <c r="N161" i="1"/>
  <c r="M161" i="1"/>
  <c r="P160" i="1"/>
  <c r="O160" i="1"/>
  <c r="N160" i="1"/>
  <c r="M160" i="1"/>
  <c r="P159" i="1"/>
  <c r="O159" i="1"/>
  <c r="N159" i="1"/>
  <c r="M159" i="1"/>
  <c r="P158" i="1"/>
  <c r="O158" i="1"/>
  <c r="N158" i="1"/>
  <c r="M158" i="1"/>
  <c r="P157" i="1"/>
  <c r="O157" i="1"/>
  <c r="N157" i="1"/>
  <c r="M157" i="1"/>
  <c r="P156" i="1"/>
  <c r="O156" i="1"/>
  <c r="N156" i="1"/>
  <c r="M156" i="1"/>
  <c r="P155" i="1"/>
  <c r="O155" i="1"/>
  <c r="N155" i="1"/>
  <c r="M155" i="1"/>
  <c r="P154" i="1"/>
  <c r="O154" i="1"/>
  <c r="N154" i="1"/>
  <c r="M154" i="1"/>
  <c r="P153" i="1"/>
  <c r="O153" i="1"/>
  <c r="N153" i="1"/>
  <c r="M153" i="1"/>
  <c r="P152" i="1"/>
  <c r="O152" i="1"/>
  <c r="N152" i="1"/>
  <c r="M152" i="1"/>
  <c r="P151" i="1"/>
  <c r="O151" i="1"/>
  <c r="N151" i="1"/>
  <c r="M151" i="1"/>
  <c r="P150" i="1"/>
  <c r="O150" i="1"/>
  <c r="N150" i="1"/>
  <c r="M150" i="1"/>
  <c r="P149" i="1"/>
  <c r="O149" i="1"/>
  <c r="N149" i="1"/>
  <c r="M149" i="1"/>
  <c r="P148" i="1"/>
  <c r="O148" i="1"/>
  <c r="N148" i="1"/>
  <c r="M148" i="1"/>
  <c r="P147" i="1"/>
  <c r="O147" i="1"/>
  <c r="N147" i="1"/>
  <c r="M147" i="1"/>
  <c r="P146" i="1"/>
  <c r="O146" i="1"/>
  <c r="N146" i="1"/>
  <c r="M146" i="1"/>
  <c r="P145" i="1"/>
  <c r="O145" i="1"/>
  <c r="N145" i="1"/>
  <c r="M145" i="1"/>
  <c r="P144" i="1"/>
  <c r="O144" i="1"/>
  <c r="N144" i="1"/>
  <c r="M144" i="1"/>
  <c r="P143" i="1"/>
  <c r="O143" i="1"/>
  <c r="N143" i="1"/>
  <c r="M143" i="1"/>
  <c r="P142" i="1"/>
  <c r="O142" i="1"/>
  <c r="N142" i="1"/>
  <c r="M142" i="1"/>
  <c r="P141" i="1"/>
  <c r="O141" i="1"/>
  <c r="N141" i="1"/>
  <c r="M141" i="1"/>
  <c r="P140" i="1"/>
  <c r="O140" i="1"/>
  <c r="N140" i="1"/>
  <c r="M140" i="1"/>
  <c r="P139" i="1"/>
  <c r="O139" i="1"/>
  <c r="N139" i="1"/>
  <c r="M139" i="1"/>
  <c r="P138" i="1"/>
  <c r="O138" i="1"/>
  <c r="N138" i="1"/>
  <c r="M138" i="1"/>
  <c r="P137" i="1"/>
  <c r="O137" i="1"/>
  <c r="N137" i="1"/>
  <c r="M137" i="1"/>
  <c r="P136" i="1"/>
  <c r="O136" i="1"/>
  <c r="N136" i="1"/>
  <c r="M136" i="1"/>
  <c r="P135" i="1"/>
  <c r="O135" i="1"/>
  <c r="N135" i="1"/>
  <c r="M135" i="1"/>
  <c r="P134" i="1"/>
  <c r="O134" i="1"/>
  <c r="N134" i="1"/>
  <c r="M134" i="1"/>
  <c r="P133" i="1"/>
  <c r="O133" i="1"/>
  <c r="N133" i="1"/>
  <c r="M133" i="1"/>
  <c r="P132" i="1"/>
  <c r="O132" i="1"/>
  <c r="N132" i="1"/>
  <c r="M132" i="1"/>
  <c r="P131" i="1"/>
  <c r="O131" i="1"/>
  <c r="N131" i="1"/>
  <c r="M131" i="1"/>
  <c r="P130" i="1"/>
  <c r="O130" i="1"/>
  <c r="N130" i="1"/>
  <c r="M130" i="1"/>
  <c r="P129" i="1"/>
  <c r="O129" i="1"/>
  <c r="N129" i="1"/>
  <c r="M129" i="1"/>
  <c r="P128" i="1"/>
  <c r="O128" i="1"/>
  <c r="N128" i="1"/>
  <c r="M128" i="1"/>
  <c r="P127" i="1"/>
  <c r="O127" i="1"/>
  <c r="N127" i="1"/>
  <c r="M127" i="1"/>
  <c r="P126" i="1"/>
  <c r="O126" i="1"/>
  <c r="N126" i="1"/>
  <c r="M126" i="1"/>
  <c r="P125" i="1"/>
  <c r="O125" i="1"/>
  <c r="N125" i="1"/>
  <c r="M125" i="1"/>
  <c r="P124" i="1"/>
  <c r="O124" i="1"/>
  <c r="N124" i="1"/>
  <c r="M124" i="1"/>
  <c r="P123" i="1"/>
  <c r="O123" i="1"/>
  <c r="N123" i="1"/>
  <c r="M123" i="1"/>
  <c r="P122" i="1"/>
  <c r="O122" i="1"/>
  <c r="N122" i="1"/>
  <c r="M122" i="1"/>
  <c r="P121" i="1"/>
  <c r="O121" i="1"/>
  <c r="N121" i="1"/>
  <c r="M121" i="1"/>
  <c r="P120" i="1"/>
  <c r="O120" i="1"/>
  <c r="N120" i="1"/>
  <c r="M120" i="1"/>
  <c r="P119" i="1"/>
  <c r="O119" i="1"/>
  <c r="N119" i="1"/>
  <c r="M119" i="1"/>
  <c r="P118" i="1"/>
  <c r="O118" i="1"/>
  <c r="N118" i="1"/>
  <c r="M118" i="1"/>
  <c r="P117" i="1"/>
  <c r="O117" i="1"/>
  <c r="N117" i="1"/>
  <c r="M117" i="1"/>
  <c r="P116" i="1"/>
  <c r="O116" i="1"/>
  <c r="N116" i="1"/>
  <c r="M116" i="1"/>
  <c r="P115" i="1"/>
  <c r="O115" i="1"/>
  <c r="N115" i="1"/>
  <c r="M115" i="1"/>
  <c r="P114" i="1"/>
  <c r="O114" i="1"/>
  <c r="N114" i="1"/>
  <c r="M114" i="1"/>
  <c r="P113" i="1"/>
  <c r="O113" i="1"/>
  <c r="N113" i="1"/>
  <c r="M113" i="1"/>
  <c r="P112" i="1"/>
  <c r="O112" i="1"/>
  <c r="N112" i="1"/>
  <c r="M112" i="1"/>
  <c r="P111" i="1"/>
  <c r="O111" i="1"/>
  <c r="N111" i="1"/>
  <c r="M111" i="1"/>
  <c r="P110" i="1"/>
  <c r="O110" i="1"/>
  <c r="N110" i="1"/>
  <c r="M110" i="1"/>
  <c r="P109" i="1"/>
  <c r="O109" i="1"/>
  <c r="N109" i="1"/>
  <c r="M109" i="1"/>
  <c r="P108" i="1"/>
  <c r="O108" i="1"/>
  <c r="N108" i="1"/>
  <c r="M108" i="1"/>
  <c r="P107" i="1"/>
  <c r="O107" i="1"/>
  <c r="N107" i="1"/>
  <c r="M107" i="1"/>
  <c r="P106" i="1"/>
  <c r="O106" i="1"/>
  <c r="N106" i="1"/>
  <c r="M106" i="1"/>
  <c r="P105" i="1"/>
  <c r="O105" i="1"/>
  <c r="N105" i="1"/>
  <c r="M105" i="1"/>
  <c r="P104" i="1"/>
  <c r="O104" i="1"/>
  <c r="N104" i="1"/>
  <c r="M104" i="1"/>
  <c r="P103" i="1"/>
  <c r="O103" i="1"/>
  <c r="N103" i="1"/>
  <c r="M103" i="1"/>
  <c r="P102" i="1"/>
  <c r="O102" i="1"/>
  <c r="N102" i="1"/>
  <c r="M102" i="1"/>
  <c r="P101" i="1"/>
  <c r="O101" i="1"/>
  <c r="N101" i="1"/>
  <c r="M101" i="1"/>
  <c r="P100" i="1"/>
  <c r="O100" i="1"/>
  <c r="N100" i="1"/>
  <c r="M100" i="1"/>
  <c r="P99" i="1"/>
  <c r="O99" i="1"/>
  <c r="N99" i="1"/>
  <c r="M99" i="1"/>
  <c r="P98" i="1"/>
  <c r="O98" i="1"/>
  <c r="N98" i="1"/>
  <c r="M98" i="1"/>
  <c r="P97" i="1"/>
  <c r="O97" i="1"/>
  <c r="N97" i="1"/>
  <c r="M97" i="1"/>
  <c r="P96" i="1"/>
  <c r="O96" i="1"/>
  <c r="N96" i="1"/>
  <c r="M96" i="1"/>
  <c r="P95" i="1"/>
  <c r="O95" i="1"/>
  <c r="N95" i="1"/>
  <c r="M95" i="1"/>
  <c r="P94" i="1"/>
  <c r="O94" i="1"/>
  <c r="N94" i="1"/>
  <c r="M94" i="1"/>
  <c r="P93" i="1"/>
  <c r="O93" i="1"/>
  <c r="N93" i="1"/>
  <c r="M93" i="1"/>
  <c r="P92" i="1"/>
  <c r="O92" i="1"/>
  <c r="N92" i="1"/>
  <c r="M92" i="1"/>
  <c r="P91" i="1"/>
  <c r="O91" i="1"/>
  <c r="N91" i="1"/>
  <c r="M91" i="1"/>
  <c r="P90" i="1"/>
  <c r="O90" i="1"/>
  <c r="N90" i="1"/>
  <c r="M90" i="1"/>
  <c r="P89" i="1"/>
  <c r="O89" i="1"/>
  <c r="N89" i="1"/>
  <c r="M89" i="1"/>
  <c r="P88" i="1"/>
  <c r="O88" i="1"/>
  <c r="N88" i="1"/>
  <c r="M88" i="1"/>
  <c r="P87" i="1"/>
  <c r="O87" i="1"/>
  <c r="N87" i="1"/>
  <c r="M87" i="1"/>
  <c r="P86" i="1"/>
  <c r="O86" i="1"/>
  <c r="N86" i="1"/>
  <c r="M86" i="1"/>
  <c r="P85" i="1"/>
  <c r="O85" i="1"/>
  <c r="N85" i="1"/>
  <c r="M85" i="1"/>
  <c r="P84" i="1"/>
  <c r="O84" i="1"/>
  <c r="N84" i="1"/>
  <c r="M84" i="1"/>
  <c r="P83" i="1"/>
  <c r="O83" i="1"/>
  <c r="N83" i="1"/>
  <c r="M83" i="1"/>
  <c r="P82" i="1"/>
  <c r="O82" i="1"/>
  <c r="N82" i="1"/>
  <c r="M82" i="1"/>
  <c r="P81" i="1"/>
  <c r="O81" i="1"/>
  <c r="N81" i="1"/>
  <c r="M81" i="1"/>
  <c r="P80" i="1"/>
  <c r="O80" i="1"/>
  <c r="N80" i="1"/>
  <c r="M80" i="1"/>
  <c r="P79" i="1"/>
  <c r="O79" i="1"/>
  <c r="N79" i="1"/>
  <c r="M79" i="1"/>
  <c r="P78" i="1"/>
  <c r="O78" i="1"/>
  <c r="N78" i="1"/>
  <c r="M78" i="1"/>
  <c r="P77" i="1"/>
  <c r="O77" i="1"/>
  <c r="N77" i="1"/>
  <c r="M77" i="1"/>
  <c r="P76" i="1"/>
  <c r="O76" i="1"/>
  <c r="N76" i="1"/>
  <c r="M76" i="1"/>
  <c r="P75" i="1"/>
  <c r="O75" i="1"/>
  <c r="N75" i="1"/>
  <c r="M75" i="1"/>
  <c r="P74" i="1"/>
  <c r="O74" i="1"/>
  <c r="N74" i="1"/>
  <c r="M74" i="1"/>
  <c r="P73" i="1"/>
  <c r="O73" i="1"/>
  <c r="N73" i="1"/>
  <c r="M73" i="1"/>
  <c r="P72" i="1"/>
  <c r="O72" i="1"/>
  <c r="N72" i="1"/>
  <c r="M72" i="1"/>
  <c r="P71" i="1"/>
  <c r="O71" i="1"/>
  <c r="N71" i="1"/>
  <c r="M71" i="1"/>
  <c r="P70" i="1"/>
  <c r="O70" i="1"/>
  <c r="N70" i="1"/>
  <c r="M70" i="1"/>
  <c r="P69" i="1"/>
  <c r="O69" i="1"/>
  <c r="N69" i="1"/>
  <c r="M69" i="1"/>
  <c r="P68" i="1"/>
  <c r="O68" i="1"/>
  <c r="N68" i="1"/>
  <c r="M68" i="1"/>
  <c r="P67" i="1"/>
  <c r="O67" i="1"/>
  <c r="N67" i="1"/>
  <c r="M67" i="1"/>
  <c r="P66" i="1"/>
  <c r="O66" i="1"/>
  <c r="N66" i="1"/>
  <c r="M66" i="1"/>
  <c r="P65" i="1"/>
  <c r="O65" i="1"/>
  <c r="N65" i="1"/>
  <c r="M65" i="1"/>
  <c r="P64" i="1"/>
  <c r="O64" i="1"/>
  <c r="N64" i="1"/>
  <c r="M64" i="1"/>
  <c r="P63" i="1"/>
  <c r="O63" i="1"/>
  <c r="N63" i="1"/>
  <c r="M63" i="1"/>
  <c r="P62" i="1"/>
  <c r="O62" i="1"/>
  <c r="N62" i="1"/>
  <c r="M62" i="1"/>
  <c r="P61" i="1"/>
  <c r="O61" i="1"/>
  <c r="N61" i="1"/>
  <c r="M61" i="1"/>
  <c r="P60" i="1"/>
  <c r="O60" i="1"/>
  <c r="N60" i="1"/>
  <c r="M60" i="1"/>
  <c r="P59" i="1"/>
  <c r="O59" i="1"/>
  <c r="N59" i="1"/>
  <c r="M59" i="1"/>
  <c r="P58" i="1"/>
  <c r="O58" i="1"/>
  <c r="N58" i="1"/>
  <c r="M58" i="1"/>
  <c r="P57" i="1"/>
  <c r="O57" i="1"/>
  <c r="N57" i="1"/>
  <c r="M57" i="1"/>
  <c r="P56" i="1"/>
  <c r="O56" i="1"/>
  <c r="N56" i="1"/>
  <c r="M56" i="1"/>
  <c r="P55" i="1"/>
  <c r="O55" i="1"/>
  <c r="N55" i="1"/>
  <c r="M55" i="1"/>
  <c r="P54" i="1"/>
  <c r="O54" i="1"/>
  <c r="N54" i="1"/>
  <c r="M54" i="1"/>
  <c r="P53" i="1"/>
  <c r="O53" i="1"/>
  <c r="N53" i="1"/>
  <c r="M53" i="1"/>
  <c r="P52" i="1"/>
  <c r="O52" i="1"/>
  <c r="N52" i="1"/>
  <c r="M52" i="1"/>
  <c r="P51" i="1"/>
  <c r="O51" i="1"/>
  <c r="N51" i="1"/>
  <c r="M51" i="1"/>
  <c r="P50" i="1"/>
  <c r="O50" i="1"/>
  <c r="N50" i="1"/>
  <c r="M50" i="1"/>
  <c r="P49" i="1"/>
  <c r="O49" i="1"/>
  <c r="N49" i="1"/>
  <c r="M49" i="1"/>
  <c r="P48" i="1"/>
  <c r="O48" i="1"/>
  <c r="N48" i="1"/>
  <c r="M48" i="1"/>
  <c r="P47" i="1"/>
  <c r="O47" i="1"/>
  <c r="N47" i="1"/>
  <c r="M47" i="1"/>
  <c r="P46" i="1"/>
  <c r="O46" i="1"/>
  <c r="N46" i="1"/>
  <c r="M46" i="1"/>
  <c r="P45" i="1"/>
  <c r="O45" i="1"/>
  <c r="N45" i="1"/>
  <c r="M45" i="1"/>
  <c r="P44" i="1"/>
  <c r="O44" i="1"/>
  <c r="N44" i="1"/>
  <c r="M44" i="1"/>
  <c r="P43" i="1"/>
  <c r="O43" i="1"/>
  <c r="N43" i="1"/>
  <c r="M43" i="1"/>
  <c r="P42" i="1"/>
  <c r="O42" i="1"/>
  <c r="N42" i="1"/>
  <c r="M42" i="1"/>
  <c r="P41" i="1"/>
  <c r="O41" i="1"/>
  <c r="N41" i="1"/>
  <c r="M41" i="1"/>
  <c r="P40" i="1"/>
  <c r="O40" i="1"/>
  <c r="N40" i="1"/>
  <c r="M40" i="1"/>
  <c r="P39" i="1"/>
  <c r="O39" i="1"/>
  <c r="N39" i="1"/>
  <c r="M39" i="1"/>
  <c r="P38" i="1"/>
  <c r="O38" i="1"/>
  <c r="N38" i="1"/>
  <c r="M38" i="1"/>
  <c r="P37" i="1"/>
  <c r="O37" i="1"/>
  <c r="N37" i="1"/>
  <c r="M37" i="1"/>
  <c r="P36" i="1"/>
  <c r="O36" i="1"/>
  <c r="N36" i="1"/>
  <c r="M36" i="1"/>
  <c r="P35" i="1"/>
  <c r="O35" i="1"/>
  <c r="N35" i="1"/>
  <c r="M35" i="1"/>
  <c r="P34" i="1"/>
  <c r="O34" i="1"/>
  <c r="N34" i="1"/>
  <c r="M34" i="1"/>
  <c r="P33" i="1"/>
  <c r="O33" i="1"/>
  <c r="N33" i="1"/>
  <c r="M33" i="1"/>
  <c r="P32" i="1"/>
  <c r="O32" i="1"/>
  <c r="N32" i="1"/>
  <c r="M32" i="1"/>
  <c r="P31" i="1"/>
  <c r="O31" i="1"/>
  <c r="N31" i="1"/>
  <c r="M31" i="1"/>
  <c r="P30" i="1"/>
  <c r="O30" i="1"/>
  <c r="N30" i="1"/>
  <c r="M30" i="1"/>
  <c r="P29" i="1"/>
  <c r="O29" i="1"/>
  <c r="N29" i="1"/>
  <c r="M29" i="1"/>
  <c r="P28" i="1"/>
  <c r="O28" i="1"/>
  <c r="N28" i="1"/>
  <c r="M28" i="1"/>
  <c r="P27" i="1"/>
  <c r="O27" i="1"/>
  <c r="N27" i="1"/>
  <c r="M27" i="1"/>
  <c r="P26" i="1"/>
  <c r="O26" i="1"/>
  <c r="N26" i="1"/>
  <c r="M26" i="1"/>
  <c r="P25" i="1"/>
  <c r="O25" i="1"/>
  <c r="N25" i="1"/>
  <c r="M25" i="1"/>
  <c r="P24" i="1"/>
  <c r="O24" i="1"/>
  <c r="N24" i="1"/>
  <c r="M24" i="1"/>
  <c r="P23" i="1"/>
  <c r="O23" i="1"/>
  <c r="N23" i="1"/>
  <c r="M23" i="1"/>
  <c r="P22" i="1"/>
  <c r="O22" i="1"/>
  <c r="N22" i="1"/>
  <c r="M22" i="1"/>
  <c r="P21" i="1"/>
  <c r="O21" i="1"/>
  <c r="N21" i="1"/>
  <c r="M21" i="1"/>
  <c r="P20" i="1"/>
  <c r="O20" i="1"/>
  <c r="N20" i="1"/>
  <c r="M20" i="1"/>
  <c r="P19" i="1"/>
  <c r="O19" i="1"/>
  <c r="N19" i="1"/>
  <c r="M19" i="1"/>
  <c r="P18" i="1"/>
  <c r="O18" i="1"/>
  <c r="N18" i="1"/>
  <c r="M18" i="1"/>
  <c r="P17" i="1"/>
  <c r="O17" i="1"/>
  <c r="N17" i="1"/>
  <c r="M17" i="1"/>
  <c r="P16" i="1"/>
  <c r="O16" i="1"/>
  <c r="N16" i="1"/>
  <c r="M16" i="1"/>
  <c r="P15" i="1"/>
  <c r="O15" i="1"/>
  <c r="N15" i="1"/>
  <c r="M15" i="1"/>
  <c r="P14" i="1"/>
  <c r="O14" i="1"/>
  <c r="N14" i="1"/>
  <c r="M14" i="1"/>
  <c r="P13" i="1"/>
  <c r="O13" i="1"/>
  <c r="N13" i="1"/>
  <c r="M13" i="1"/>
  <c r="P12" i="1"/>
  <c r="O12" i="1"/>
  <c r="N12" i="1"/>
  <c r="M12" i="1"/>
  <c r="P11" i="1"/>
  <c r="O11" i="1"/>
  <c r="N11" i="1"/>
  <c r="M11" i="1"/>
  <c r="P10" i="1"/>
  <c r="O10" i="1"/>
  <c r="N10" i="1"/>
  <c r="M10" i="1"/>
  <c r="P9" i="1"/>
  <c r="O9" i="1"/>
  <c r="N9" i="1"/>
  <c r="M9" i="1"/>
  <c r="P8" i="1"/>
  <c r="O8" i="1"/>
  <c r="N8" i="1"/>
  <c r="M8" i="1"/>
  <c r="P7" i="1"/>
  <c r="O7" i="1"/>
  <c r="N7" i="1"/>
  <c r="M7" i="1"/>
  <c r="P6" i="1"/>
  <c r="O6" i="1"/>
  <c r="N6" i="1"/>
  <c r="M6" i="1"/>
  <c r="P5" i="1"/>
  <c r="O5" i="1"/>
  <c r="N5" i="1"/>
  <c r="M5" i="1"/>
  <c r="P4" i="1"/>
  <c r="O4" i="1"/>
  <c r="N4" i="1"/>
  <c r="M4" i="1"/>
  <c r="P3" i="1"/>
  <c r="O3" i="1"/>
  <c r="N3" i="1"/>
  <c r="M3" i="1"/>
  <c r="P2" i="1"/>
  <c r="O2" i="1"/>
  <c r="N2" i="1"/>
  <c r="M2" i="1"/>
</calcChain>
</file>

<file path=xl/sharedStrings.xml><?xml version="1.0" encoding="utf-8"?>
<sst xmlns="http://schemas.openxmlformats.org/spreadsheetml/2006/main" count="5091" uniqueCount="52">
  <si>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</si>
  <si>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</si>
  <si>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</si>
  <si>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</si>
  <si>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</si>
  <si>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</si>
  <si>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</si>
  <si>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</si>
  <si>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</si>
  <si>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</si>
  <si>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</si>
  <si>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</si>
  <si>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</si>
  <si>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</si>
  <si>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</si>
  <si>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</si>
  <si>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</si>
  <si>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</si>
  <si>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</si>
  <si>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</si>
  <si>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</si>
  <si>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</si>
  <si>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</si>
  <si>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Revenue_Calculated</t>
  </si>
  <si>
    <t>Day</t>
  </si>
  <si>
    <t>Month</t>
  </si>
  <si>
    <t>Year</t>
  </si>
  <si>
    <t>Grand Total</t>
  </si>
  <si>
    <t>Sum of Revenue_Calculated</t>
  </si>
  <si>
    <t>Average of customer_rating</t>
  </si>
  <si>
    <t>Sum of quantity</t>
  </si>
  <si>
    <t>Jan</t>
  </si>
  <si>
    <t>Feb</t>
  </si>
  <si>
    <t>Mar</t>
  </si>
  <si>
    <t>Apr</t>
  </si>
  <si>
    <t>May</t>
  </si>
  <si>
    <t>Jun</t>
  </si>
  <si>
    <t>Jul</t>
  </si>
  <si>
    <t>Aug</t>
  </si>
  <si>
    <t>Sep</t>
  </si>
  <si>
    <t>Oct</t>
  </si>
  <si>
    <t>Nov</t>
  </si>
  <si>
    <t>Dec</t>
  </si>
  <si>
    <t>Delivery Days</t>
  </si>
  <si>
    <t>Months-Year</t>
  </si>
  <si>
    <t>Product Category</t>
  </si>
  <si>
    <t>Payment Method</t>
  </si>
  <si>
    <t>Region</t>
  </si>
  <si>
    <t>Customer_ID</t>
  </si>
  <si>
    <t>Number Of Orders</t>
  </si>
  <si>
    <t>Row Labels</t>
  </si>
  <si>
    <t>E-commerce Dashboard 2022-2026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</si>
</sst>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40"/>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 fontId="0" fillId="0" borderId="0" xfId="0" applyNumberFormat="1"/>
    <xf numFmtId="0" fontId="0" fillId="0" borderId="0" xfId="0" applyAlignment="1">
      <alignment horizontal="center"/>
    </xf>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9">
    <dxf>
      <numFmt numFmtId="165" formatCode="0.000"/>
    </dxf>
    <dxf>
      <numFmt numFmtId="2" formatCode="0.00"/>
    </dxf>
    <dxf>
      <numFmt numFmtId="164" formatCode="0.0"/>
    </dxf>
    <dxf>
      <numFmt numFmtId="1" formatCode="0"/>
    </dxf>
    <dxf>
      <numFmt numFmtId="2" formatCode="0.00"/>
    </dxf>
    <dxf>
      <numFmt numFmtId="164" formatCode="0.0"/>
    </dxf>
    <dxf>
      <numFmt numFmtId="1" formatCode="0"/>
    </dxf>
    <dxf>
      <numFmt numFmtId="165" formatCode="0.000"/>
    </dxf>
    <dxf>
      <numFmt numFmtId="2" formatCode="0.00"/>
    </dxf>
    <dxf>
      <numFmt numFmtId="164" formatCode="0.0"/>
    </dxf>
    <dxf>
      <numFmt numFmtId="1" formatCode="0"/>
    </dxf>
    <dxf>
      <numFmt numFmtId="165" formatCode="0.000"/>
    </dxf>
    <dxf>
      <numFmt numFmtId="2" formatCode="0.00"/>
    </dxf>
    <dxf>
      <numFmt numFmtId="164" formatCode="0.0"/>
    </dxf>
    <dxf>
      <numFmt numFmtId="1" formatCode="0"/>
    </dxf>
    <dxf>
      <numFmt numFmtId="165" formatCode="0.000"/>
    </dxf>
    <dxf>
      <numFmt numFmtId="2" formatCode="0.00"/>
    </dxf>
    <dxf>
      <numFmt numFmtId="164" formatCode="0.0"/>
    </dxf>
    <dxf>
      <numFmt numFmtId="1" formatCode="0"/>
    </dxf>
    <dxf>
      <numFmt numFmtId="165" formatCode="0.000"/>
    </dxf>
    <dxf>
      <numFmt numFmtId="2" formatCode="0.00"/>
    </dxf>
    <dxf>
      <numFmt numFmtId="164" formatCode="0.0"/>
    </dxf>
    <dxf>
      <numFmt numFmtId="1" formatCode="0"/>
    </dxf>
    <dxf>
      <numFmt numFmtId="166" formatCode="0.00000000"/>
    </dxf>
    <dxf>
      <numFmt numFmtId="167" formatCode="0.0000000"/>
    </dxf>
    <dxf>
      <numFmt numFmtId="168" formatCode="0.000000"/>
    </dxf>
    <dxf>
      <numFmt numFmtId="169" formatCode="0.00000"/>
    </dxf>
    <dxf>
      <numFmt numFmtId="170" formatCode="0.0000"/>
    </dxf>
    <dxf>
      <numFmt numFmtId="165" formatCode="0.000"/>
    </dxf>
    <dxf>
      <numFmt numFmtId="2" formatCode="0.00"/>
    </dxf>
    <dxf>
      <numFmt numFmtId="164" formatCode="0.0"/>
    </dxf>
    <dxf>
      <numFmt numFmtId="2" formatCode="0.00"/>
    </dxf>
    <dxf>
      <numFmt numFmtId="2" formatCode="0.00"/>
    </dxf>
    <dxf>
      <numFmt numFmtId="164" formatCode="0.0"/>
    </dxf>
    <dxf>
      <numFmt numFmtId="1" formatCode="0"/>
    </dxf>
    <dxf>
      <numFmt numFmtId="165" formatCode="0.000"/>
    </dxf>
    <dxf>
      <numFmt numFmtId="2" formatCode="0.00"/>
    </dxf>
    <dxf>
      <numFmt numFmtId="164" formatCode="0.0"/>
    </dxf>
    <dxf>
      <numFmt numFmtId="1" formatCode="0"/>
    </dxf>
    <dxf>
      <numFmt numFmtId="165" formatCode="0.000"/>
    </dxf>
    <dxf>
      <numFmt numFmtId="2" formatCode="0.00"/>
    </dxf>
    <dxf>
      <numFmt numFmtId="164" formatCode="0.0"/>
    </dxf>
    <dxf>
      <numFmt numFmtId="1" formatCode="0"/>
    </dxf>
    <dxf>
      <numFmt numFmtId="165" formatCode="0.000"/>
    </dxf>
    <dxf>
      <numFmt numFmtId="2" formatCode="0.00"/>
    </dxf>
    <dxf>
      <numFmt numFmtId="164" formatCode="0.0"/>
    </dxf>
    <dxf>
      <numFmt numFmtId="1" formatCode="0"/>
    </dxf>
    <dxf>
      <numFmt numFmtId="165" formatCode="0.000"/>
    </dxf>
    <dxf>
      <numFmt numFmtId="2" formatCode="0.00"/>
    </dxf>
    <dxf>
      <numFmt numFmtId="164" formatCode="0.0"/>
    </dxf>
    <dxf>
      <numFmt numFmtId="1" formatCode="0"/>
    </dxf>
    <dxf>
      <numFmt numFmtId="166" formatCode="0.00000000"/>
    </dxf>
    <dxf>
      <numFmt numFmtId="167" formatCode="0.0000000"/>
    </dxf>
    <dxf>
      <numFmt numFmtId="168" formatCode="0.000000"/>
    </dxf>
    <dxf>
      <numFmt numFmtId="169" formatCode="0.00000"/>
    </dxf>
    <dxf>
      <numFmt numFmtId="170" formatCode="0.0000"/>
    </dxf>
    <dxf>
      <numFmt numFmtId="165" formatCode="0.000"/>
    </dxf>
    <dxf>
      <numFmt numFmtId="2" formatCode="0.00"/>
    </dxf>
    <dxf>
      <numFmt numFmtId="164" formatCode="0.0"/>
    </dxf>
    <dxf>
      <numFmt numFmtId="2" formatCode="0.00"/>
    </dxf>
    <dxf>
      <numFmt numFmtId="1" formatCode="0"/>
    </dxf>
    <dxf>
      <numFmt numFmtId="164" formatCode="0.0"/>
    </dxf>
    <dxf>
      <numFmt numFmtId="2" formatCode="0.00"/>
    </dxf>
    <dxf>
      <numFmt numFmtId="165" formatCode="0.000"/>
    </dxf>
    <dxf>
      <numFmt numFmtId="2" formatCode="0.00"/>
    </dxf>
    <dxf>
      <numFmt numFmtId="164" formatCode="0.0"/>
    </dxf>
    <dxf>
      <numFmt numFmtId="2" formatCode="0.00"/>
    </dxf>
    <dxf>
      <numFmt numFmtId="165" formatCode="0.000"/>
    </dxf>
    <dxf>
      <numFmt numFmtId="170" formatCode="0.0000"/>
    </dxf>
    <dxf>
      <numFmt numFmtId="169" formatCode="0.00000"/>
    </dxf>
    <dxf>
      <numFmt numFmtId="168" formatCode="0.000000"/>
    </dxf>
    <dxf>
      <numFmt numFmtId="167" formatCode="0.0000000"/>
    </dxf>
    <dxf>
      <numFmt numFmtId="166" formatCode="0.00000000"/>
    </dxf>
    <dxf>
      <numFmt numFmtId="1" formatCode="0"/>
    </dxf>
    <dxf>
      <numFmt numFmtId="164" formatCode="0.0"/>
    </dxf>
    <dxf>
      <numFmt numFmtId="2" formatCode="0.00"/>
    </dxf>
    <dxf>
      <numFmt numFmtId="165" formatCode="0.000"/>
    </dxf>
    <dxf>
      <numFmt numFmtId="1" formatCode="0"/>
    </dxf>
    <dxf>
      <numFmt numFmtId="164" formatCode="0.0"/>
    </dxf>
    <dxf>
      <numFmt numFmtId="2" formatCode="0.00"/>
    </dxf>
    <dxf>
      <numFmt numFmtId="1" formatCode="0"/>
    </dxf>
    <dxf>
      <numFmt numFmtId="164" formatCode="0.0"/>
    </dxf>
    <dxf>
      <numFmt numFmtId="2" formatCode="0.00"/>
    </dxf>
    <dxf>
      <numFmt numFmtId="165" formatCode="0.000"/>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colors>
    <mruColors>
      <color rgb="FFDDEFE3"/>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Cleaned.xlsx]Pivot Tables!PivotTable3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Total Revenues Per Each Month 2022-2026</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Tables'!$H$2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Tables'!$H$3:$H$15</c:f>
              <c:numCache>
                <c:formatCode>0</c:formatCode>
                <c:ptCount val="12"/>
                <c:pt idx="0">
                  <c:v>151135.52310000002</c:v>
                </c:pt>
                <c:pt idx="1">
                  <c:v>152071.29300000006</c:v>
                </c:pt>
                <c:pt idx="2">
                  <c:v>149096.538</c:v>
                </c:pt>
                <c:pt idx="3">
                  <c:v>133768.82270000008</c:v>
                </c:pt>
                <c:pt idx="4">
                  <c:v>169685.53579999998</c:v>
                </c:pt>
                <c:pt idx="5">
                  <c:v>152936.74269999994</c:v>
                </c:pt>
                <c:pt idx="6">
                  <c:v>147224.47750000012</c:v>
                </c:pt>
                <c:pt idx="7">
                  <c:v>135613.16829999996</c:v>
                </c:pt>
                <c:pt idx="8">
                  <c:v>125337.66970000001</c:v>
                </c:pt>
                <c:pt idx="9">
                  <c:v>101827.50109999999</c:v>
                </c:pt>
                <c:pt idx="10">
                  <c:v>119111.12169999997</c:v>
                </c:pt>
                <c:pt idx="11">
                  <c:v>123285.47760000004</c:v>
                </c:pt>
              </c:numCache>
            </c:numRef>
          </c:val>
          <c:smooth val="0"/>
          <c:extLst>
            <c:ext xmlns:c16="http://schemas.microsoft.com/office/drawing/2014/chart" uri="{C3380CC4-5D6E-409C-BE32-E72D297353CC}">
              <c16:uniqueId val="{00000000-D475-4749-91FD-0C4FCA9A0911}"/>
            </c:ext>
          </c:extLst>
        </c:ser>
        <c:dLbls>
          <c:dLblPos val="t"/>
          <c:showLegendKey val="0"/>
          <c:showVal val="1"/>
          <c:showCatName val="0"/>
          <c:showSerName val="0"/>
          <c:showPercent val="0"/>
          <c:showBubbleSize val="0"/>
        </c:dLbls>
        <c:smooth val="0"/>
        <c:axId val="1902733103"/>
        <c:axId val="1902742255"/>
      </c:lineChart>
      <c:catAx>
        <c:axId val="1902733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02742255"/>
        <c:crosses val="autoZero"/>
        <c:auto val="1"/>
        <c:lblAlgn val="ctr"/>
        <c:lblOffset val="100"/>
        <c:noMultiLvlLbl val="0"/>
      </c:catAx>
      <c:valAx>
        <c:axId val="19027422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3310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DDEFE3"/>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Cleaned.xlsx]Pivot Tables!PivotTable2</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Number Of Orders Per Payment Method</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pieChart>
        <c:varyColors val="1"/>
        <c:ser>
          <c:idx val="0"/>
          <c:order val="0"/>
          <c:tx>
            <c:strRef>
              <c:f>'Pivot Tables'!$B$12</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B667-41F5-84D9-9D39ED67EB0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B667-41F5-84D9-9D39ED67EB00}"/>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B667-41F5-84D9-9D39ED67EB00}"/>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Tables'!$A$13:$A$16</c:f>
              <c:strCache>
                <c:ptCount val="3"/>
                <c:pt idx="0">
                  <c:v>Card</c:v>
                </c:pt>
                <c:pt idx="1">
                  <c:v>COD</c:v>
                </c:pt>
                <c:pt idx="2">
                  <c:v>Wallet</c:v>
                </c:pt>
              </c:strCache>
            </c:strRef>
          </c:cat>
          <c:val>
            <c:numRef>
              <c:f>'Pivot Tables'!$B$13:$B$16</c:f>
              <c:numCache>
                <c:formatCode>General</c:formatCode>
                <c:ptCount val="3"/>
                <c:pt idx="0">
                  <c:v>3125</c:v>
                </c:pt>
                <c:pt idx="1">
                  <c:v>2344</c:v>
                </c:pt>
                <c:pt idx="2">
                  <c:v>1236</c:v>
                </c:pt>
              </c:numCache>
            </c:numRef>
          </c:val>
          <c:extLst>
            <c:ext xmlns:c16="http://schemas.microsoft.com/office/drawing/2014/chart" uri="{C3380CC4-5D6E-409C-BE32-E72D297353CC}">
              <c16:uniqueId val="{00000006-B667-41F5-84D9-9D39ED67EB0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423980232273426"/>
          <c:y val="0.43016039661708955"/>
          <c:w val="0.20909353650309892"/>
          <c:h val="0.3520377661125692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DDEFE3"/>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Cleaned.xlsx]Pivot Tables!PivotTable8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a:t>
            </a:r>
            <a:r>
              <a:rPr lang="en-US" b="1" baseline="0"/>
              <a:t>l Revenue Per Payment Method</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pieChart>
        <c:varyColors val="1"/>
        <c:ser>
          <c:idx val="0"/>
          <c:order val="0"/>
          <c:tx>
            <c:strRef>
              <c:f>'Pivot Tables'!$J$21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CD29-44F8-9518-DB9EDA92636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CD29-44F8-9518-DB9EDA926361}"/>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CD29-44F8-9518-DB9EDA92636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Tables'!$I$22:$I$25</c:f>
              <c:strCache>
                <c:ptCount val="3"/>
                <c:pt idx="0">
                  <c:v>Card</c:v>
                </c:pt>
                <c:pt idx="1">
                  <c:v>COD</c:v>
                </c:pt>
                <c:pt idx="2">
                  <c:v>Wallet</c:v>
                </c:pt>
              </c:strCache>
            </c:strRef>
          </c:cat>
          <c:val>
            <c:numRef>
              <c:f>'Pivot Tables'!$J$22:$J$25</c:f>
              <c:numCache>
                <c:formatCode>0</c:formatCode>
                <c:ptCount val="3"/>
                <c:pt idx="0">
                  <c:v>785139.20699999901</c:v>
                </c:pt>
                <c:pt idx="1">
                  <c:v>575723.1745000002</c:v>
                </c:pt>
                <c:pt idx="2">
                  <c:v>300231.48970000009</c:v>
                </c:pt>
              </c:numCache>
            </c:numRef>
          </c:val>
          <c:extLst>
            <c:ext xmlns:c16="http://schemas.microsoft.com/office/drawing/2014/chart" uri="{C3380CC4-5D6E-409C-BE32-E72D297353CC}">
              <c16:uniqueId val="{00000006-CD29-44F8-9518-DB9EDA92636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DDEFE3"/>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Cleaned.xlsx]Pivot Tables!PivotTable5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Rating Per Delivery Days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Tables'!$G$17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Tables'!$F$18:$F$29</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Tables'!$G$18:$G$29</c:f>
              <c:numCache>
                <c:formatCode>0.00</c:formatCode>
                <c:ptCount val="11"/>
                <c:pt idx="0">
                  <c:v>2.9316901408450695</c:v>
                </c:pt>
                <c:pt idx="1">
                  <c:v>2.9888888888888885</c:v>
                </c:pt>
                <c:pt idx="2">
                  <c:v>2.7685714285714278</c:v>
                </c:pt>
                <c:pt idx="3">
                  <c:v>3.2000000000000024</c:v>
                </c:pt>
                <c:pt idx="4">
                  <c:v>2.9985294117647063</c:v>
                </c:pt>
                <c:pt idx="5">
                  <c:v>2.8950310559006218</c:v>
                </c:pt>
                <c:pt idx="6">
                  <c:v>3.1144654088050303</c:v>
                </c:pt>
                <c:pt idx="7">
                  <c:v>3.0192546583850932</c:v>
                </c:pt>
                <c:pt idx="8">
                  <c:v>2.9328767123287665</c:v>
                </c:pt>
                <c:pt idx="9">
                  <c:v>2.9140350877192986</c:v>
                </c:pt>
                <c:pt idx="10">
                  <c:v>2.9849315068493141</c:v>
                </c:pt>
              </c:numCache>
            </c:numRef>
          </c:val>
          <c:extLst>
            <c:ext xmlns:c16="http://schemas.microsoft.com/office/drawing/2014/chart" uri="{C3380CC4-5D6E-409C-BE32-E72D297353CC}">
              <c16:uniqueId val="{00000000-9BDE-4442-B7F0-BE3CD959C62F}"/>
            </c:ext>
          </c:extLst>
        </c:ser>
        <c:dLbls>
          <c:dLblPos val="outEnd"/>
          <c:showLegendKey val="0"/>
          <c:showVal val="1"/>
          <c:showCatName val="0"/>
          <c:showSerName val="0"/>
          <c:showPercent val="0"/>
          <c:showBubbleSize val="0"/>
        </c:dLbls>
        <c:gapWidth val="219"/>
        <c:axId val="2067485087"/>
        <c:axId val="2067483839"/>
      </c:barChart>
      <c:catAx>
        <c:axId val="2067485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67483839"/>
        <c:crosses val="autoZero"/>
        <c:auto val="1"/>
        <c:lblAlgn val="ctr"/>
        <c:lblOffset val="100"/>
        <c:noMultiLvlLbl val="0"/>
      </c:catAx>
      <c:valAx>
        <c:axId val="206748383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850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DDEFE3"/>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Cleaned.xlsx]Pivot Tables!PivotTable4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Revenue Per</a:t>
            </a:r>
            <a:r>
              <a:rPr lang="en-US" b="1" baseline="0"/>
              <a:t> Region </a:t>
            </a:r>
          </a:p>
          <a:p>
            <a:pPr>
              <a:defRPr b="1"/>
            </a:pP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Tables'!$B$19</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FA2F-43C4-89FF-B0A1DCE258AD}"/>
              </c:ext>
            </c:extLst>
          </c:dPt>
          <c:dPt>
            <c:idx val="1"/>
            <c:invertIfNegative val="0"/>
            <c:bubble3D val="0"/>
            <c:extLst>
              <c:ext xmlns:c16="http://schemas.microsoft.com/office/drawing/2014/chart" uri="{C3380CC4-5D6E-409C-BE32-E72D297353CC}">
                <c16:uniqueId val="{00000003-FA2F-43C4-89FF-B0A1DCE258AD}"/>
              </c:ext>
            </c:extLst>
          </c:dPt>
          <c:dPt>
            <c:idx val="2"/>
            <c:invertIfNegative val="0"/>
            <c:bubble3D val="0"/>
            <c:extLst>
              <c:ext xmlns:c16="http://schemas.microsoft.com/office/drawing/2014/chart" uri="{C3380CC4-5D6E-409C-BE32-E72D297353CC}">
                <c16:uniqueId val="{00000005-FA2F-43C4-89FF-B0A1DCE258AD}"/>
              </c:ext>
            </c:extLst>
          </c:dPt>
          <c:dPt>
            <c:idx val="3"/>
            <c:invertIfNegative val="0"/>
            <c:bubble3D val="0"/>
            <c:extLst>
              <c:ext xmlns:c16="http://schemas.microsoft.com/office/drawing/2014/chart" uri="{C3380CC4-5D6E-409C-BE32-E72D297353CC}">
                <c16:uniqueId val="{00000007-FA2F-43C4-89FF-B0A1DCE258A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Tables'!$A$20:$A$24</c:f>
              <c:strCache>
                <c:ptCount val="4"/>
                <c:pt idx="0">
                  <c:v>East</c:v>
                </c:pt>
                <c:pt idx="1">
                  <c:v>North</c:v>
                </c:pt>
                <c:pt idx="2">
                  <c:v>South</c:v>
                </c:pt>
                <c:pt idx="3">
                  <c:v>West</c:v>
                </c:pt>
              </c:strCache>
            </c:strRef>
          </c:cat>
          <c:val>
            <c:numRef>
              <c:f>'Pivot Tables'!$B$20:$B$24</c:f>
              <c:numCache>
                <c:formatCode>0</c:formatCode>
                <c:ptCount val="4"/>
                <c:pt idx="0">
                  <c:v>409078.76360000041</c:v>
                </c:pt>
                <c:pt idx="1">
                  <c:v>428203.69299999985</c:v>
                </c:pt>
                <c:pt idx="2">
                  <c:v>396428.06660000014</c:v>
                </c:pt>
                <c:pt idx="3">
                  <c:v>427383.34799999988</c:v>
                </c:pt>
              </c:numCache>
            </c:numRef>
          </c:val>
          <c:extLst>
            <c:ext xmlns:c16="http://schemas.microsoft.com/office/drawing/2014/chart" uri="{C3380CC4-5D6E-409C-BE32-E72D297353CC}">
              <c16:uniqueId val="{00000008-FA2F-43C4-89FF-B0A1DCE258AD}"/>
            </c:ext>
          </c:extLst>
        </c:ser>
        <c:dLbls>
          <c:dLblPos val="outEnd"/>
          <c:showLegendKey val="0"/>
          <c:showVal val="1"/>
          <c:showCatName val="0"/>
          <c:showSerName val="0"/>
          <c:showPercent val="0"/>
          <c:showBubbleSize val="0"/>
        </c:dLbls>
        <c:gapWidth val="100"/>
        <c:axId val="1042408735"/>
        <c:axId val="1042409567"/>
      </c:barChart>
      <c:catAx>
        <c:axId val="1042408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42409567"/>
        <c:auto val="1"/>
        <c:lblAlgn val="ctr"/>
        <c:lblOffset val="100"/>
        <c:noMultiLvlLbl val="0"/>
      </c:catAx>
      <c:valAx>
        <c:axId val="10424095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408735"/>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DDEFE3"/>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Cleaned.xlsx]Pivot Tables!PivotTable9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Number Of</a:t>
            </a:r>
            <a:r>
              <a:rPr lang="en-US" b="1" baseline="0"/>
              <a:t> Orders Per Region</a:t>
            </a:r>
          </a:p>
          <a:p>
            <a:pPr>
              <a:defRPr b="1"/>
            </a:pP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Tables'!$J$30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Tables'!$I$31:$I$35</c:f>
              <c:strCache>
                <c:ptCount val="4"/>
                <c:pt idx="0">
                  <c:v>South</c:v>
                </c:pt>
                <c:pt idx="1">
                  <c:v>East</c:v>
                </c:pt>
                <c:pt idx="2">
                  <c:v>West</c:v>
                </c:pt>
                <c:pt idx="3">
                  <c:v>North</c:v>
                </c:pt>
              </c:strCache>
            </c:strRef>
          </c:cat>
          <c:val>
            <c:numRef>
              <c:f>'Pivot Tables'!$J$31:$J$35</c:f>
              <c:numCache>
                <c:formatCode>General</c:formatCode>
                <c:ptCount val="4"/>
                <c:pt idx="0">
                  <c:v>1598</c:v>
                </c:pt>
                <c:pt idx="1">
                  <c:v>1661</c:v>
                </c:pt>
                <c:pt idx="2">
                  <c:v>1676</c:v>
                </c:pt>
                <c:pt idx="3">
                  <c:v>1770</c:v>
                </c:pt>
              </c:numCache>
            </c:numRef>
          </c:val>
          <c:extLst>
            <c:ext xmlns:c16="http://schemas.microsoft.com/office/drawing/2014/chart" uri="{C3380CC4-5D6E-409C-BE32-E72D297353CC}">
              <c16:uniqueId val="{00000000-F8CF-4CF8-814A-E79387D6E508}"/>
            </c:ext>
          </c:extLst>
        </c:ser>
        <c:dLbls>
          <c:dLblPos val="outEnd"/>
          <c:showLegendKey val="0"/>
          <c:showVal val="1"/>
          <c:showCatName val="0"/>
          <c:showSerName val="0"/>
          <c:showPercent val="0"/>
          <c:showBubbleSize val="0"/>
        </c:dLbls>
        <c:gapWidth val="182"/>
        <c:axId val="2067495487"/>
        <c:axId val="2067478015"/>
      </c:barChart>
      <c:catAx>
        <c:axId val="2067495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67478015"/>
        <c:crosses val="autoZero"/>
        <c:auto val="1"/>
        <c:lblAlgn val="ctr"/>
        <c:lblOffset val="100"/>
        <c:noMultiLvlLbl val="0"/>
      </c:catAx>
      <c:valAx>
        <c:axId val="2067478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954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DDEFE3"/>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Cleaned.xlsx]Pivot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Revenues Per Each Product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Beauty</c:v>
                </c:pt>
                <c:pt idx="1">
                  <c:v>Clothing</c:v>
                </c:pt>
                <c:pt idx="2">
                  <c:v>Electronics</c:v>
                </c:pt>
                <c:pt idx="3">
                  <c:v>Home</c:v>
                </c:pt>
              </c:strCache>
            </c:strRef>
          </c:cat>
          <c:val>
            <c:numRef>
              <c:f>'Pivot Tables'!$B$4:$B$8</c:f>
              <c:numCache>
                <c:formatCode>0</c:formatCode>
                <c:ptCount val="4"/>
                <c:pt idx="0">
                  <c:v>228151.3422999999</c:v>
                </c:pt>
                <c:pt idx="1">
                  <c:v>469471.81900000008</c:v>
                </c:pt>
                <c:pt idx="2">
                  <c:v>596136.78679999942</c:v>
                </c:pt>
                <c:pt idx="3">
                  <c:v>367333.92310000001</c:v>
                </c:pt>
              </c:numCache>
            </c:numRef>
          </c:val>
          <c:extLst>
            <c:ext xmlns:c16="http://schemas.microsoft.com/office/drawing/2014/chart" uri="{C3380CC4-5D6E-409C-BE32-E72D297353CC}">
              <c16:uniqueId val="{00000000-6869-4BE6-A371-C4102CC02148}"/>
            </c:ext>
          </c:extLst>
        </c:ser>
        <c:dLbls>
          <c:dLblPos val="outEnd"/>
          <c:showLegendKey val="0"/>
          <c:showVal val="1"/>
          <c:showCatName val="0"/>
          <c:showSerName val="0"/>
          <c:showPercent val="0"/>
          <c:showBubbleSize val="0"/>
        </c:dLbls>
        <c:gapWidth val="182"/>
        <c:axId val="916560095"/>
        <c:axId val="916561343"/>
      </c:barChart>
      <c:catAx>
        <c:axId val="9165600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561343"/>
        <c:crosses val="autoZero"/>
        <c:auto val="1"/>
        <c:lblAlgn val="ctr"/>
        <c:lblOffset val="100"/>
        <c:noMultiLvlLbl val="0"/>
      </c:catAx>
      <c:valAx>
        <c:axId val="916561343"/>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560095"/>
        <c:crosses val="autoZero"/>
        <c:crossBetween val="between"/>
      </c:valAx>
      <c:spPr>
        <a:noFill/>
        <a:ln>
          <a:noFill/>
        </a:ln>
        <a:effectLst/>
      </c:spPr>
    </c:plotArea>
    <c:plotVisOnly val="1"/>
    <c:dispBlanksAs val="gap"/>
    <c:showDLblsOverMax val="0"/>
  </c:chart>
  <c:spPr>
    <a:solidFill>
      <a:srgbClr val="DDEFE3"/>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173620</xdr:rowOff>
    </xdr:from>
    <xdr:to>
      <xdr:col>11</xdr:col>
      <xdr:colOff>180474</xdr:colOff>
      <xdr:row>30</xdr:row>
      <xdr:rowOff>176783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598024</xdr:colOff>
      <xdr:row>4</xdr:row>
      <xdr:rowOff>0</xdr:rowOff>
    </xdr:from>
    <xdr:to>
      <xdr:col>23</xdr:col>
      <xdr:colOff>594111</xdr:colOff>
      <xdr:row>18</xdr:row>
      <xdr:rowOff>177478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598024</xdr:colOff>
      <xdr:row>18</xdr:row>
      <xdr:rowOff>178651</xdr:rowOff>
    </xdr:from>
    <xdr:to>
      <xdr:col>23</xdr:col>
      <xdr:colOff>598025</xdr:colOff>
      <xdr:row>31</xdr:row>
      <xdr:rowOff>6096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530507</xdr:colOff>
      <xdr:row>4</xdr:row>
      <xdr:rowOff>0</xdr:rowOff>
    </xdr:from>
    <xdr:to>
      <xdr:col>11</xdr:col>
      <xdr:colOff>183267</xdr:colOff>
      <xdr:row>16</xdr:row>
      <xdr:rowOff>173620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192910</xdr:colOff>
      <xdr:row>3</xdr:row>
      <xdr:rowOff>173621</xdr:rowOff>
    </xdr:from>
    <xdr:to>
      <xdr:col>18</xdr:col>
      <xdr:colOff>588379</xdr:colOff>
      <xdr:row>18</xdr:row>
      <xdr:rowOff>167833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190500</xdr:colOff>
      <xdr:row>18</xdr:row>
      <xdr:rowOff>173620</xdr:rowOff>
    </xdr:from>
    <xdr:to>
      <xdr:col>18</xdr:col>
      <xdr:colOff>598025</xdr:colOff>
      <xdr:row>31</xdr:row>
      <xdr:rowOff>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593558</xdr:colOff>
      <xdr:row>4</xdr:row>
      <xdr:rowOff>8021</xdr:rowOff>
    </xdr:from>
    <xdr:to>
      <xdr:col>28</xdr:col>
      <xdr:colOff>11043</xdr:colOff>
      <xdr:row>11</xdr:row>
      <xdr:rowOff>99393</xdr:rowOff>
    </xdr:to>
    <mc:AlternateContent xmlns:mc="http://schemas.openxmlformats.org/markup-compatibility/2006" xmlns:a14="http://schemas.microsoft.com/office/drawing/2010/main">
      <mc:Choice Requires="a14">
        <xdr:graphicFrame macro="">
          <xdr:nvGraphicFramePr>
            <xdr:cNvPr id="9"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4614358" y="748250"/>
              <a:ext cx="2465485" cy="1386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11</xdr:row>
      <xdr:rowOff>96253</xdr:rowOff>
    </xdr:from>
    <xdr:to>
      <xdr:col>28</xdr:col>
      <xdr:colOff>22085</xdr:colOff>
      <xdr:row>18</xdr:row>
      <xdr:rowOff>149087</xdr:rowOff>
    </xdr:to>
    <mc:AlternateContent xmlns:mc="http://schemas.openxmlformats.org/markup-compatibility/2006" xmlns:a14="http://schemas.microsoft.com/office/drawing/2010/main">
      <mc:Choice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630400" y="2131882"/>
              <a:ext cx="2460485" cy="13482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601537</xdr:colOff>
      <xdr:row>18</xdr:row>
      <xdr:rowOff>140369</xdr:rowOff>
    </xdr:from>
    <xdr:to>
      <xdr:col>28</xdr:col>
      <xdr:colOff>20053</xdr:colOff>
      <xdr:row>24</xdr:row>
      <xdr:rowOff>10886</xdr:rowOff>
    </xdr:to>
    <mc:AlternateContent xmlns:mc="http://schemas.openxmlformats.org/markup-compatibility/2006" xmlns:a14="http://schemas.microsoft.com/office/drawing/2010/main">
      <mc:Choice Requires="a14">
        <xdr:graphicFrame macro="">
          <xdr:nvGraphicFramePr>
            <xdr:cNvPr id="11"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622337" y="3471398"/>
              <a:ext cx="2466516" cy="980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0</xdr:rowOff>
    </xdr:from>
    <xdr:to>
      <xdr:col>5</xdr:col>
      <xdr:colOff>566057</xdr:colOff>
      <xdr:row>16</xdr:row>
      <xdr:rowOff>175260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587829</xdr:colOff>
      <xdr:row>24</xdr:row>
      <xdr:rowOff>10887</xdr:rowOff>
    </xdr:from>
    <xdr:to>
      <xdr:col>27</xdr:col>
      <xdr:colOff>598714</xdr:colOff>
      <xdr:row>31</xdr:row>
      <xdr:rowOff>10887</xdr:rowOff>
    </xdr:to>
    <mc:AlternateContent xmlns:mc="http://schemas.openxmlformats.org/markup-compatibility/2006" xmlns:a14="http://schemas.microsoft.com/office/drawing/2010/main">
      <mc:Choice Requires="a14">
        <xdr:graphicFrame macro="">
          <xdr:nvGraphicFramePr>
            <xdr:cNvPr id="1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608629" y="4452258"/>
              <a:ext cx="2449285"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42.677154166668" createdVersion="6" refreshedVersion="6" minRefreshableVersion="3" recordCount="1673">
  <cacheSource type="worksheet">
    <worksheetSource name="Table1"/>
  </cacheSource>
  <cacheFields count="16">
    <cacheField name="order_id" numFmtId="0">
      <sharedItems containsSemiMixedTypes="0" containsString="0" containsNumber="1" containsInteger="1" minValue="10001" maxValue="11673"/>
    </cacheField>
    <cacheField name="order_date" numFmtId="14">
      <sharedItems containsSemiMixedTypes="0" containsNonDate="0" containsDate="1" containsString="0" minDate="2022-01-01T00:00:00" maxDate="2026-08-01T00:00:00"/>
    </cacheField>
    <cacheField name="customer_id" numFmtId="0">
      <sharedItems containsSemiMixedTypes="0" containsString="0" containsNumber="1" containsInteger="1" minValue="1000" maxValue="1998" count="795">
        <n v="1102"/>
        <n v="1435"/>
        <n v="1860"/>
        <n v="1270"/>
        <n v="1106"/>
        <n v="1071"/>
        <n v="1700"/>
        <n v="1020"/>
        <n v="1614"/>
        <n v="1121"/>
        <n v="1466"/>
        <n v="1214"/>
        <n v="1330"/>
        <n v="1458"/>
        <n v="1087"/>
        <n v="1372"/>
        <n v="1099"/>
        <n v="1871"/>
        <n v="1663"/>
        <n v="1130"/>
        <n v="1661"/>
        <n v="1308"/>
        <n v="1769"/>
        <n v="1343"/>
        <n v="1491"/>
        <n v="1413"/>
        <n v="1805"/>
        <n v="1385"/>
        <n v="1191"/>
        <n v="1955"/>
        <n v="1276"/>
        <n v="1160"/>
        <n v="1459"/>
        <n v="1313"/>
        <n v="1021"/>
        <n v="1252"/>
        <n v="1747"/>
        <n v="1856"/>
        <n v="1560"/>
        <n v="1474"/>
        <n v="1058"/>
        <n v="1510"/>
        <n v="1681"/>
        <n v="1475"/>
        <n v="1699"/>
        <n v="1975"/>
        <n v="1782"/>
        <n v="1189"/>
        <n v="1957"/>
        <n v="1686"/>
        <n v="1562"/>
        <n v="1875"/>
        <n v="1566"/>
        <n v="1243"/>
        <n v="1831"/>
        <n v="1504"/>
        <n v="1484"/>
        <n v="1818"/>
        <n v="1646"/>
        <n v="1840"/>
        <n v="1166"/>
        <n v="1273"/>
        <n v="1387"/>
        <n v="1600"/>
        <n v="1315"/>
        <n v="1013"/>
        <n v="1241"/>
        <n v="1776"/>
        <n v="1345"/>
        <n v="1564"/>
        <n v="1897"/>
        <n v="1339"/>
        <n v="1091"/>
        <n v="1366"/>
        <n v="1454"/>
        <n v="1427"/>
        <n v="1508"/>
        <n v="1775"/>
        <n v="1942"/>
        <n v="1034"/>
        <n v="1205"/>
        <n v="1080"/>
        <n v="1931"/>
        <n v="1561"/>
        <n v="1001"/>
        <n v="1389"/>
        <n v="1565"/>
        <n v="1105"/>
        <n v="1771"/>
        <n v="1821"/>
        <n v="1476"/>
        <n v="1702"/>
        <n v="1401"/>
        <n v="1729"/>
        <n v="1555"/>
        <n v="1161"/>
        <n v="1201"/>
        <n v="1995"/>
        <n v="1269"/>
        <n v="1862"/>
        <n v="1815"/>
        <n v="1455"/>
        <n v="1461"/>
        <n v="1726"/>
        <n v="1251"/>
        <n v="1701"/>
        <n v="1295"/>
        <n v="1724"/>
        <n v="1719"/>
        <n v="1748"/>
        <n v="1337"/>
        <n v="1878"/>
        <n v="1052"/>
        <n v="1791"/>
        <n v="1921"/>
        <n v="1216"/>
        <n v="1763"/>
        <n v="1187"/>
        <n v="1379"/>
        <n v="1492"/>
        <n v="1040"/>
        <n v="1156"/>
        <n v="1014"/>
        <n v="1812"/>
        <n v="1064"/>
        <n v="1838"/>
        <n v="1520"/>
        <n v="1128"/>
        <n v="1647"/>
        <n v="1471"/>
        <n v="1062"/>
        <n v="1138"/>
        <n v="1498"/>
        <n v="1592"/>
        <n v="1391"/>
        <n v="1674"/>
        <n v="1418"/>
        <n v="1288"/>
        <n v="1378"/>
        <n v="1772"/>
        <n v="1489"/>
        <n v="1230"/>
        <n v="1027"/>
        <n v="1134"/>
        <n v="1200"/>
        <n v="1839"/>
        <n v="1779"/>
        <n v="1929"/>
        <n v="1032"/>
        <n v="1047"/>
        <n v="1502"/>
        <n v="1406"/>
        <n v="1573"/>
        <n v="1727"/>
        <n v="1804"/>
        <n v="1098"/>
        <n v="1683"/>
        <n v="1725"/>
        <n v="1986"/>
        <n v="1546"/>
        <n v="1960"/>
        <n v="1738"/>
        <n v="1612"/>
        <n v="1642"/>
        <n v="1768"/>
        <n v="1004"/>
        <n v="1217"/>
        <n v="1766"/>
        <n v="1397"/>
        <n v="1870"/>
        <n v="1794"/>
        <n v="1392"/>
        <n v="1206"/>
        <n v="1857"/>
        <n v="1553"/>
        <n v="1891"/>
        <n v="1460"/>
        <n v="1690"/>
        <n v="1574"/>
        <n v="1863"/>
        <n v="1742"/>
        <n v="1240"/>
        <n v="1563"/>
        <n v="1095"/>
        <n v="1899"/>
        <n v="1733"/>
        <n v="1654"/>
        <n v="1170"/>
        <n v="1540"/>
        <n v="1035"/>
        <n v="1524"/>
        <n v="1159"/>
        <n v="1698"/>
        <n v="1242"/>
        <n v="1085"/>
        <n v="1795"/>
        <n v="1577"/>
        <n v="1556"/>
        <n v="1952"/>
        <n v="1645"/>
        <n v="1619"/>
        <n v="1797"/>
        <n v="1639"/>
        <n v="1505"/>
        <n v="1347"/>
        <n v="1472"/>
        <n v="1224"/>
        <n v="1384"/>
        <n v="1376"/>
        <n v="1282"/>
        <n v="1632"/>
        <n v="1627"/>
        <n v="1972"/>
        <n v="1744"/>
        <n v="1258"/>
        <n v="1358"/>
        <n v="1709"/>
        <n v="1410"/>
        <n v="1648"/>
        <n v="1317"/>
        <n v="1676"/>
        <n v="1233"/>
        <n v="1974"/>
        <n v="1826"/>
        <n v="1373"/>
        <n v="1671"/>
        <n v="1607"/>
        <n v="1232"/>
        <n v="1691"/>
        <n v="1112"/>
        <n v="1829"/>
        <n v="1496"/>
        <n v="1441"/>
        <n v="1267"/>
        <n v="1509"/>
        <n v="1806"/>
        <n v="1386"/>
        <n v="1624"/>
        <n v="1951"/>
        <n v="1641"/>
        <n v="1219"/>
        <n v="1854"/>
        <n v="1996"/>
        <n v="1735"/>
        <n v="1402"/>
        <n v="1637"/>
        <n v="1129"/>
        <n v="1415"/>
        <n v="1246"/>
        <n v="1835"/>
        <n v="1438"/>
        <n v="1202"/>
        <n v="1183"/>
        <n v="1122"/>
        <n v="1400"/>
        <n v="1293"/>
        <n v="1279"/>
        <n v="1836"/>
        <n v="1883"/>
        <n v="1609"/>
        <n v="1197"/>
        <n v="1981"/>
        <n v="1906"/>
        <n v="1751"/>
        <n v="1143"/>
        <n v="1608"/>
        <n v="1123"/>
        <n v="1186"/>
        <n v="1325"/>
        <n v="1463"/>
        <n v="1348"/>
        <n v="1770"/>
        <n v="1659"/>
        <n v="1954"/>
        <n v="1962"/>
        <n v="1146"/>
        <n v="1147"/>
        <n v="1710"/>
        <n v="1819"/>
        <n v="1488"/>
        <n v="1928"/>
        <n v="1935"/>
        <n v="1550"/>
        <n v="1640"/>
        <n v="1778"/>
        <n v="1987"/>
        <n v="1945"/>
        <n v="1150"/>
        <n v="1414"/>
        <n v="1989"/>
        <n v="1297"/>
        <n v="1610"/>
        <n v="1262"/>
        <n v="1623"/>
        <n v="1571"/>
        <n v="1880"/>
        <n v="1896"/>
        <n v="1303"/>
        <n v="1253"/>
        <n v="1651"/>
        <n v="1452"/>
        <n v="1036"/>
        <n v="1008"/>
        <n v="1658"/>
        <n v="1207"/>
        <n v="1403"/>
        <n v="1151"/>
        <n v="1053"/>
        <n v="1119"/>
        <n v="1672"/>
        <n v="1919"/>
        <n v="1586"/>
        <n v="1967"/>
        <n v="1419"/>
        <n v="1421"/>
        <n v="1103"/>
        <n v="1851"/>
        <n v="1226"/>
        <n v="1111"/>
        <n v="1152"/>
        <n v="1913"/>
        <n v="1895"/>
        <n v="1877"/>
        <n v="1705"/>
        <n v="1162"/>
        <n v="1956"/>
        <n v="1680"/>
        <n v="1579"/>
        <n v="1800"/>
        <n v="1915"/>
        <n v="1503"/>
        <n v="1194"/>
        <n v="1687"/>
        <n v="1882"/>
        <n v="1469"/>
        <n v="1374"/>
        <n v="1749"/>
        <n v="1669"/>
        <n v="1037"/>
        <n v="1229"/>
        <n v="1364"/>
        <n v="1437"/>
        <n v="1026"/>
        <n v="1225"/>
        <n v="1283"/>
        <n v="1959"/>
        <n v="1480"/>
        <n v="1828"/>
        <n v="1515"/>
        <n v="1048"/>
        <n v="1511"/>
        <n v="1016"/>
        <n v="1171"/>
        <n v="1157"/>
        <n v="1045"/>
        <n v="1517"/>
        <n v="1301"/>
        <n v="1180"/>
        <n v="1606"/>
        <n v="1992"/>
        <n v="1115"/>
        <n v="1190"/>
        <n v="1980"/>
        <n v="1927"/>
        <n v="1982"/>
        <n v="1255"/>
        <n v="1322"/>
        <n v="1127"/>
        <n v="1017"/>
        <n v="1792"/>
        <n v="1734"/>
        <n v="1569"/>
        <n v="1685"/>
        <n v="1625"/>
        <n v="1287"/>
        <n v="1853"/>
        <n v="1662"/>
        <n v="1961"/>
        <n v="1638"/>
        <n v="1154"/>
        <n v="1985"/>
        <n v="1784"/>
        <n v="1810"/>
        <n v="1245"/>
        <n v="1175"/>
        <n v="1038"/>
        <n v="1758"/>
        <n v="1537"/>
        <n v="1866"/>
        <n v="1817"/>
        <n v="1920"/>
        <n v="1407"/>
        <n v="1827"/>
        <n v="1902"/>
        <n v="1824"/>
        <n v="1684"/>
        <n v="1019"/>
        <n v="1320"/>
        <n v="1399"/>
        <n v="1653"/>
        <n v="1971"/>
        <n v="1470"/>
        <n v="1142"/>
        <n v="1353"/>
        <n v="1833"/>
        <n v="1799"/>
        <n v="1958"/>
        <n v="1050"/>
        <n v="1664"/>
        <n v="1697"/>
        <n v="1124"/>
        <n v="1149"/>
        <n v="1341"/>
        <n v="1304"/>
        <n v="1837"/>
        <n v="1443"/>
        <n v="1263"/>
        <n v="1195"/>
        <n v="1773"/>
        <n v="1876"/>
        <n v="1991"/>
        <n v="1349"/>
        <n v="1046"/>
        <n v="1822"/>
        <n v="1655"/>
        <n v="1268"/>
        <n v="1369"/>
        <n v="1635"/>
        <n v="1656"/>
        <n v="1830"/>
        <n v="1786"/>
        <n v="1603"/>
        <n v="1057"/>
        <n v="1950"/>
        <n v="1740"/>
        <n v="1473"/>
        <n v="1116"/>
        <n v="1790"/>
        <n v="1126"/>
        <n v="1907"/>
        <n v="1633"/>
        <n v="1512"/>
        <n v="1750"/>
        <n v="1801"/>
        <n v="1117"/>
        <n v="1559"/>
        <n v="1487"/>
        <n v="1236"/>
        <n v="1884"/>
        <n v="1271"/>
        <n v="1188"/>
        <n v="1998"/>
        <n v="1703"/>
        <n v="1446"/>
        <n v="1580"/>
        <n v="1789"/>
        <n v="1075"/>
        <n v="1153"/>
        <n v="1434"/>
        <n v="1696"/>
        <n v="1284"/>
        <n v="1973"/>
        <n v="1068"/>
        <n v="1093"/>
        <n v="1203"/>
        <n v="1911"/>
        <n v="1431"/>
        <n v="1340"/>
        <n v="1611"/>
        <n v="1356"/>
        <n v="1022"/>
        <n v="1761"/>
        <n v="1521"/>
        <n v="1757"/>
        <n v="1179"/>
        <n v="1222"/>
        <n v="1905"/>
        <n v="1324"/>
        <n v="1015"/>
        <n v="1335"/>
        <n v="1257"/>
        <n v="1689"/>
        <n v="1544"/>
        <n v="1426"/>
        <n v="1834"/>
        <n v="1576"/>
        <n v="1416"/>
        <n v="1167"/>
        <n v="1841"/>
        <n v="1042"/>
        <n v="1396"/>
        <n v="1011"/>
        <n v="1753"/>
        <n v="1848"/>
        <n v="1089"/>
        <n v="1604"/>
        <n v="1969"/>
        <n v="1601"/>
        <n v="1417"/>
        <n v="1114"/>
        <n v="1616"/>
        <n v="1825"/>
        <n v="1500"/>
        <n v="1074"/>
        <n v="1412"/>
        <n v="1375"/>
        <n v="1728"/>
        <n v="1760"/>
        <n v="1675"/>
        <n v="1393"/>
        <n v="1868"/>
        <n v="1456"/>
        <n v="1688"/>
        <n v="1547"/>
        <n v="1977"/>
        <n v="1368"/>
        <n v="1694"/>
        <n v="1278"/>
        <n v="1872"/>
        <n v="1272"/>
        <n v="1061"/>
        <n v="1595"/>
        <n v="1879"/>
        <n v="1018"/>
        <n v="1176"/>
        <n v="1395"/>
        <n v="1444"/>
        <n v="1914"/>
        <n v="1264"/>
        <n v="1717"/>
        <n v="1383"/>
        <n v="1850"/>
        <n v="1024"/>
        <n v="1947"/>
        <n v="1890"/>
        <n v="1468"/>
        <n v="1483"/>
        <n v="1568"/>
        <n v="1108"/>
        <n v="1692"/>
        <n v="1041"/>
        <n v="1185"/>
        <n v="1934"/>
        <n v="1132"/>
        <n v="1732"/>
        <n v="1234"/>
        <n v="1842"/>
        <n v="1657"/>
        <n v="1587"/>
        <n v="1073"/>
        <n v="1953"/>
        <n v="1912"/>
        <n v="1518"/>
        <n v="1173"/>
        <n v="1652"/>
        <n v="1169"/>
        <n v="1193"/>
        <n v="1516"/>
        <n v="1028"/>
        <n v="1164"/>
        <n v="1338"/>
        <n v="1495"/>
        <n v="1832"/>
        <n v="1499"/>
        <n v="1326"/>
        <n v="1300"/>
        <n v="1131"/>
        <n v="1803"/>
        <n v="1069"/>
        <n v="1181"/>
        <n v="1090"/>
        <n v="1713"/>
        <n v="1530"/>
        <n v="1125"/>
        <n v="1450"/>
        <n v="1172"/>
        <n v="1894"/>
        <n v="1360"/>
        <n v="1000"/>
        <n v="1507"/>
        <n v="1408"/>
        <n v="1823"/>
        <n v="1933"/>
        <n v="1133"/>
        <n v="1814"/>
        <n v="1148"/>
        <n v="1079"/>
        <n v="1885"/>
        <n v="1212"/>
        <n v="1228"/>
        <n v="1531"/>
        <n v="1440"/>
        <n v="1525"/>
        <n v="1970"/>
        <n v="1329"/>
        <n v="1783"/>
        <n v="1357"/>
        <n v="1667"/>
        <n v="1007"/>
        <n v="1177"/>
        <n v="1539"/>
        <n v="1731"/>
        <n v="1739"/>
        <n v="1922"/>
        <n v="1501"/>
        <n v="1144"/>
        <n v="1723"/>
        <n v="1924"/>
        <n v="1908"/>
        <n v="1557"/>
        <n v="1593"/>
        <n v="1708"/>
        <n v="1449"/>
        <n v="1009"/>
        <n v="1250"/>
        <n v="1118"/>
        <n v="1145"/>
        <n v="1223"/>
        <n v="1238"/>
        <n v="1852"/>
        <n v="1281"/>
        <n v="1104"/>
        <n v="1404"/>
        <n v="1976"/>
        <n v="1644"/>
        <n v="1869"/>
        <n v="1436"/>
        <n v="1457"/>
        <n v="1082"/>
        <n v="1084"/>
        <n v="1077"/>
        <n v="1716"/>
        <n v="1445"/>
        <n v="1448"/>
        <n v="1033"/>
        <n v="1094"/>
        <n v="1249"/>
        <n v="1673"/>
        <n v="1305"/>
        <n v="1235"/>
        <n v="1388"/>
        <n v="1762"/>
        <n v="1302"/>
        <n v="1918"/>
        <n v="1909"/>
        <n v="1737"/>
        <n v="1097"/>
        <n v="1849"/>
        <n v="1334"/>
        <n v="1858"/>
        <n v="1993"/>
        <n v="1307"/>
        <n v="1248"/>
        <n v="1165"/>
        <n v="1983"/>
        <n v="1541"/>
        <n v="1796"/>
        <n v="1137"/>
        <n v="1545"/>
        <n v="1204"/>
        <n v="1746"/>
        <n v="1110"/>
        <n v="1182"/>
        <n v="1847"/>
        <n v="1519"/>
        <n v="1359"/>
        <n v="1695"/>
        <n v="1280"/>
        <n v="1666"/>
        <n v="1092"/>
        <n v="1060"/>
        <n v="1788"/>
        <n v="1465"/>
        <n v="1533"/>
        <n v="1523"/>
        <n v="1944"/>
        <n v="1072"/>
        <n v="1793"/>
        <n v="1120"/>
        <n v="1213"/>
        <n v="1055"/>
        <n v="1572"/>
        <n v="1336"/>
        <n v="1025"/>
        <n v="1256"/>
        <n v="1718"/>
        <n v="1215"/>
        <n v="1665"/>
        <n v="1311"/>
        <n v="1006"/>
        <n v="1002"/>
        <n v="1622"/>
        <n v="1362"/>
        <n v="1984"/>
        <n v="1630"/>
        <n v="1811"/>
        <n v="1536"/>
        <n v="1211"/>
        <n v="1066"/>
        <n v="1227"/>
        <n v="1594"/>
        <n v="1424"/>
        <n v="1319"/>
        <n v="1442"/>
        <n v="1314"/>
        <n v="1965"/>
        <n v="1581"/>
        <n v="1136"/>
        <n v="1898"/>
        <n v="1542"/>
        <n v="1039"/>
        <n v="1005"/>
        <n v="1321"/>
        <n v="1467"/>
        <n v="1003"/>
        <n v="1846"/>
        <n v="1605"/>
        <n v="1997"/>
        <n v="1946"/>
        <n v="1714"/>
        <n v="1299"/>
        <n v="1409"/>
        <n v="1139"/>
        <n v="1558"/>
        <n v="1549"/>
        <n v="1893"/>
        <n v="1867"/>
        <n v="1844"/>
        <n v="1901"/>
        <n v="1260"/>
        <n v="1649"/>
        <n v="1012"/>
        <n v="1318"/>
        <n v="1328"/>
        <n v="1910"/>
        <n v="1816"/>
        <n v="1333"/>
        <n v="1994"/>
        <n v="1917"/>
        <n v="1290"/>
        <n v="1088"/>
        <n v="1294"/>
        <n v="1615"/>
        <n v="1636"/>
        <n v="1864"/>
        <n v="1820"/>
        <n v="1578"/>
        <n v="1390"/>
        <n v="1178"/>
        <n v="1447"/>
        <n v="1668"/>
        <n v="1477"/>
        <n v="1096"/>
        <n v="1597"/>
        <n v="1634"/>
        <n v="1158"/>
        <n v="1323"/>
        <n v="1843"/>
        <n v="1626"/>
        <n v="1754"/>
        <n v="1291"/>
        <n v="1010"/>
        <n v="1711"/>
        <n v="1140"/>
        <n v="1209"/>
        <n v="1682"/>
        <n v="1355"/>
        <n v="1887"/>
        <n v="1798"/>
        <n v="1377"/>
        <n v="1904"/>
        <n v="1296"/>
        <n v="1813"/>
        <n v="1621"/>
        <n v="1949"/>
        <n v="1370"/>
        <n v="1660"/>
        <n v="1430"/>
        <n v="1968"/>
        <n v="1312"/>
        <n v="1936"/>
        <n v="1802"/>
        <n v="1346"/>
        <n v="1528"/>
        <n v="1938"/>
        <n v="1966"/>
        <n v="1855"/>
        <n v="1155"/>
        <n v="1881"/>
        <n v="1083"/>
        <n v="1629"/>
        <n v="1722"/>
        <n v="1031"/>
        <n v="1428"/>
        <n v="1285"/>
      </sharedItems>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78" maxValue="599.32000000000005"/>
    </cacheField>
    <cacheField name="discount" numFmtId="0">
      <sharedItems containsSemiMixedTypes="0" containsString="0" containsNumber="1" minValue="0" maxValue="0.35"/>
    </cacheField>
    <cacheField name="payment_method" numFmtId="0">
      <sharedItems count="3">
        <s v="Wallet"/>
        <s v="Card"/>
        <s v="COD"/>
      </sharedItems>
    </cacheField>
    <cacheField name="delivery_days" numFmtId="0">
      <sharedItems containsSemiMixedTypes="0" containsString="0" containsNumber="1" containsInteger="1" minValue="1" maxValue="11" count="11">
        <n v="10"/>
        <n v="6"/>
        <n v="4"/>
        <n v="3"/>
        <n v="1"/>
        <n v="2"/>
        <n v="7"/>
        <n v="11"/>
        <n v="8"/>
        <n v="9"/>
        <n v="5"/>
      </sharedItems>
    </cacheField>
    <cacheField name="customer_rating" numFmtId="0">
      <sharedItems containsSemiMixedTypes="0" containsString="0" containsNumber="1" minValue="1" maxValue="5"/>
    </cacheField>
    <cacheField name="revenue" numFmtId="0">
      <sharedItems containsSemiMixedTypes="0" containsString="0" containsNumber="1" minValue="12.83" maxValue="4119.33"/>
    </cacheField>
    <cacheField name="Revenue_Calculated" numFmtId="0">
      <sharedItems containsSemiMixedTypes="0" containsString="0" containsNumber="1" minValue="12.831" maxValue="4119.3305999999993"/>
    </cacheField>
    <cacheField name="Day" numFmtId="0">
      <sharedItems containsSemiMixedTypes="0" containsString="0" containsNumber="1" containsInteger="1" minValue="1" maxValue="31"/>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2" maxValue="2026" count="5">
        <n v="2022"/>
        <n v="2023"/>
        <n v="2024"/>
        <n v="2025"/>
        <n v="2026"/>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673">
  <r>
    <n v="10001"/>
    <d v="2022-01-01T00:00:00"/>
    <x v="0"/>
    <x v="0"/>
    <x v="0"/>
    <n v="7"/>
    <n v="373.65"/>
    <n v="0.28000000000000003"/>
    <x v="0"/>
    <x v="0"/>
    <n v="4.7"/>
    <n v="1883.2"/>
    <n v="1883.1959999999997"/>
    <n v="1"/>
    <x v="0"/>
    <x v="0"/>
  </r>
  <r>
    <n v="10002"/>
    <d v="2022-01-02T00:00:00"/>
    <x v="1"/>
    <x v="1"/>
    <x v="0"/>
    <n v="7"/>
    <n v="47.74"/>
    <n v="0.09"/>
    <x v="1"/>
    <x v="1"/>
    <n v="3.9"/>
    <n v="304.10000000000002"/>
    <n v="304.10379999999998"/>
    <n v="2"/>
    <x v="0"/>
    <x v="0"/>
  </r>
  <r>
    <n v="10003"/>
    <d v="2022-01-03T00:00:00"/>
    <x v="2"/>
    <x v="0"/>
    <x v="1"/>
    <n v="3"/>
    <n v="311.27999999999997"/>
    <n v="0.31"/>
    <x v="2"/>
    <x v="1"/>
    <n v="2.5"/>
    <n v="644.35"/>
    <n v="644.34960000000001"/>
    <n v="3"/>
    <x v="0"/>
    <x v="0"/>
  </r>
  <r>
    <n v="10004"/>
    <d v="2022-01-04T00:00:00"/>
    <x v="3"/>
    <x v="2"/>
    <x v="2"/>
    <n v="5"/>
    <n v="524.47"/>
    <n v="0.02"/>
    <x v="0"/>
    <x v="1"/>
    <n v="1.6"/>
    <n v="2569.9"/>
    <n v="2569.9030000000002"/>
    <n v="4"/>
    <x v="0"/>
    <x v="0"/>
  </r>
  <r>
    <n v="10005"/>
    <d v="2022-01-05T00:00:00"/>
    <x v="4"/>
    <x v="1"/>
    <x v="2"/>
    <n v="5"/>
    <n v="139.87"/>
    <n v="0.33"/>
    <x v="0"/>
    <x v="2"/>
    <n v="4.9000000000000004"/>
    <n v="468.56"/>
    <n v="468.56449999999995"/>
    <n v="5"/>
    <x v="0"/>
    <x v="0"/>
  </r>
  <r>
    <n v="10006"/>
    <d v="2022-01-06T00:00:00"/>
    <x v="5"/>
    <x v="2"/>
    <x v="2"/>
    <n v="2"/>
    <n v="264.44"/>
    <n v="0.2"/>
    <x v="1"/>
    <x v="3"/>
    <n v="3.3"/>
    <n v="423.1"/>
    <n v="423.10399999999998"/>
    <n v="6"/>
    <x v="0"/>
    <x v="0"/>
  </r>
  <r>
    <n v="10007"/>
    <d v="2022-01-07T00:00:00"/>
    <x v="6"/>
    <x v="1"/>
    <x v="0"/>
    <n v="6"/>
    <n v="564.6"/>
    <n v="0.23"/>
    <x v="1"/>
    <x v="4"/>
    <n v="1.8"/>
    <n v="2608.4499999999998"/>
    <n v="2608.4520000000002"/>
    <n v="7"/>
    <x v="0"/>
    <x v="0"/>
  </r>
  <r>
    <n v="10008"/>
    <d v="2022-01-08T00:00:00"/>
    <x v="7"/>
    <x v="0"/>
    <x v="3"/>
    <n v="6"/>
    <n v="265.70999999999998"/>
    <n v="0.13"/>
    <x v="1"/>
    <x v="5"/>
    <n v="3.7"/>
    <n v="1387.01"/>
    <n v="1387.0061999999998"/>
    <n v="8"/>
    <x v="0"/>
    <x v="0"/>
  </r>
  <r>
    <n v="10009"/>
    <d v="2022-01-09T00:00:00"/>
    <x v="8"/>
    <x v="1"/>
    <x v="0"/>
    <n v="6"/>
    <n v="224.65"/>
    <n v="0.27"/>
    <x v="1"/>
    <x v="5"/>
    <n v="1.4"/>
    <n v="983.97"/>
    <n v="983.9670000000001"/>
    <n v="9"/>
    <x v="0"/>
    <x v="0"/>
  </r>
  <r>
    <n v="10010"/>
    <d v="2022-01-10T00:00:00"/>
    <x v="9"/>
    <x v="1"/>
    <x v="2"/>
    <n v="4"/>
    <n v="272.70999999999998"/>
    <n v="0.06"/>
    <x v="1"/>
    <x v="0"/>
    <n v="4.5"/>
    <n v="1025.3900000000001"/>
    <n v="1025.3896"/>
    <n v="10"/>
    <x v="0"/>
    <x v="0"/>
  </r>
  <r>
    <n v="10011"/>
    <d v="2022-01-11T00:00:00"/>
    <x v="10"/>
    <x v="1"/>
    <x v="2"/>
    <n v="6"/>
    <n v="318.88"/>
    <n v="0.02"/>
    <x v="2"/>
    <x v="6"/>
    <n v="1.4"/>
    <n v="1875.01"/>
    <n v="1875.0144"/>
    <n v="11"/>
    <x v="0"/>
    <x v="0"/>
  </r>
  <r>
    <n v="10012"/>
    <d v="2022-01-12T00:00:00"/>
    <x v="11"/>
    <x v="2"/>
    <x v="2"/>
    <n v="3"/>
    <n v="384.71"/>
    <n v="0.14000000000000001"/>
    <x v="2"/>
    <x v="7"/>
    <n v="1.9"/>
    <n v="992.55"/>
    <n v="992.55179999999984"/>
    <n v="12"/>
    <x v="0"/>
    <x v="0"/>
  </r>
  <r>
    <n v="10013"/>
    <d v="2022-01-13T00:00:00"/>
    <x v="12"/>
    <x v="0"/>
    <x v="0"/>
    <n v="7"/>
    <n v="483.41"/>
    <n v="0.3"/>
    <x v="2"/>
    <x v="1"/>
    <n v="1.4"/>
    <n v="2368.71"/>
    <n v="2368.7090000000003"/>
    <n v="13"/>
    <x v="0"/>
    <x v="0"/>
  </r>
  <r>
    <n v="10014"/>
    <d v="2022-01-14T00:00:00"/>
    <x v="13"/>
    <x v="1"/>
    <x v="2"/>
    <n v="7"/>
    <n v="279.48"/>
    <n v="0.26"/>
    <x v="2"/>
    <x v="8"/>
    <n v="1.4"/>
    <n v="1447.71"/>
    <n v="1447.7064"/>
    <n v="14"/>
    <x v="0"/>
    <x v="0"/>
  </r>
  <r>
    <n v="10015"/>
    <d v="2022-01-15T00:00:00"/>
    <x v="14"/>
    <x v="1"/>
    <x v="1"/>
    <n v="4"/>
    <n v="493.23"/>
    <n v="0.18"/>
    <x v="1"/>
    <x v="9"/>
    <n v="3.1"/>
    <n v="1617.79"/>
    <n v="1617.7944"/>
    <n v="15"/>
    <x v="0"/>
    <x v="0"/>
  </r>
  <r>
    <n v="10016"/>
    <d v="2022-01-16T00:00:00"/>
    <x v="15"/>
    <x v="1"/>
    <x v="2"/>
    <n v="2"/>
    <n v="327.23"/>
    <n v="0.2"/>
    <x v="0"/>
    <x v="10"/>
    <n v="3.7"/>
    <n v="523.57000000000005"/>
    <n v="523.56799999999998"/>
    <n v="16"/>
    <x v="0"/>
    <x v="0"/>
  </r>
  <r>
    <n v="10017"/>
    <d v="2022-01-17T00:00:00"/>
    <x v="16"/>
    <x v="1"/>
    <x v="3"/>
    <n v="3"/>
    <n v="213.01"/>
    <n v="0.05"/>
    <x v="0"/>
    <x v="7"/>
    <n v="4.2"/>
    <n v="607.08000000000004"/>
    <n v="607.07849999999996"/>
    <n v="17"/>
    <x v="0"/>
    <x v="0"/>
  </r>
  <r>
    <n v="10018"/>
    <d v="2022-01-18T00:00:00"/>
    <x v="17"/>
    <x v="2"/>
    <x v="1"/>
    <n v="7"/>
    <n v="399.9"/>
    <n v="0.28999999999999998"/>
    <x v="2"/>
    <x v="3"/>
    <n v="3.8"/>
    <n v="1987.5"/>
    <n v="1987.5029999999997"/>
    <n v="18"/>
    <x v="0"/>
    <x v="0"/>
  </r>
  <r>
    <n v="10019"/>
    <d v="2022-01-19T00:00:00"/>
    <x v="18"/>
    <x v="3"/>
    <x v="2"/>
    <n v="3"/>
    <n v="434.87"/>
    <n v="0.28000000000000003"/>
    <x v="0"/>
    <x v="2"/>
    <n v="2.5"/>
    <n v="939.32"/>
    <n v="939.31920000000014"/>
    <n v="19"/>
    <x v="0"/>
    <x v="0"/>
  </r>
  <r>
    <n v="10020"/>
    <d v="2022-01-20T00:00:00"/>
    <x v="19"/>
    <x v="2"/>
    <x v="1"/>
    <n v="7"/>
    <n v="341.46"/>
    <n v="0.23"/>
    <x v="1"/>
    <x v="7"/>
    <n v="3.2"/>
    <n v="1840.47"/>
    <n v="1840.4694"/>
    <n v="20"/>
    <x v="0"/>
    <x v="0"/>
  </r>
  <r>
    <n v="10021"/>
    <d v="2022-01-21T00:00:00"/>
    <x v="20"/>
    <x v="3"/>
    <x v="2"/>
    <n v="1"/>
    <n v="48.12"/>
    <n v="0.16"/>
    <x v="2"/>
    <x v="8"/>
    <n v="4.7"/>
    <n v="40.42"/>
    <n v="40.4208"/>
    <n v="21"/>
    <x v="0"/>
    <x v="0"/>
  </r>
  <r>
    <n v="10022"/>
    <d v="2022-01-22T00:00:00"/>
    <x v="21"/>
    <x v="3"/>
    <x v="3"/>
    <n v="2"/>
    <n v="114.38"/>
    <n v="0.34"/>
    <x v="1"/>
    <x v="3"/>
    <n v="2.6"/>
    <n v="150.97999999999999"/>
    <n v="150.98159999999999"/>
    <n v="22"/>
    <x v="0"/>
    <x v="0"/>
  </r>
  <r>
    <n v="10023"/>
    <d v="2022-01-23T00:00:00"/>
    <x v="22"/>
    <x v="3"/>
    <x v="2"/>
    <n v="2"/>
    <n v="181.9"/>
    <n v="0.31"/>
    <x v="1"/>
    <x v="5"/>
    <n v="2"/>
    <n v="251.02"/>
    <n v="251.02199999999999"/>
    <n v="23"/>
    <x v="0"/>
    <x v="0"/>
  </r>
  <r>
    <n v="10024"/>
    <d v="2022-01-24T00:00:00"/>
    <x v="23"/>
    <x v="1"/>
    <x v="1"/>
    <n v="1"/>
    <n v="180.34"/>
    <n v="0.23"/>
    <x v="1"/>
    <x v="6"/>
    <n v="3.1"/>
    <n v="138.86000000000001"/>
    <n v="138.86180000000002"/>
    <n v="24"/>
    <x v="0"/>
    <x v="0"/>
  </r>
  <r>
    <n v="10025"/>
    <d v="2022-01-25T00:00:00"/>
    <x v="24"/>
    <x v="1"/>
    <x v="3"/>
    <n v="4"/>
    <n v="408.95"/>
    <n v="0.13"/>
    <x v="2"/>
    <x v="2"/>
    <n v="2.2000000000000002"/>
    <n v="1423.15"/>
    <n v="1423.146"/>
    <n v="25"/>
    <x v="0"/>
    <x v="0"/>
  </r>
  <r>
    <n v="10026"/>
    <d v="2022-01-26T00:00:00"/>
    <x v="25"/>
    <x v="2"/>
    <x v="0"/>
    <n v="7"/>
    <n v="25.73"/>
    <n v="0.22"/>
    <x v="1"/>
    <x v="8"/>
    <n v="2"/>
    <n v="140.49"/>
    <n v="140.48580000000001"/>
    <n v="26"/>
    <x v="0"/>
    <x v="0"/>
  </r>
  <r>
    <n v="10027"/>
    <d v="2022-01-27T00:00:00"/>
    <x v="26"/>
    <x v="3"/>
    <x v="3"/>
    <n v="7"/>
    <n v="457.07"/>
    <n v="0.2"/>
    <x v="2"/>
    <x v="4"/>
    <n v="4.0999999999999996"/>
    <n v="2559.59"/>
    <n v="2559.5919999999996"/>
    <n v="27"/>
    <x v="0"/>
    <x v="0"/>
  </r>
  <r>
    <n v="10028"/>
    <d v="2022-01-28T00:00:00"/>
    <x v="27"/>
    <x v="2"/>
    <x v="3"/>
    <n v="7"/>
    <n v="170.23"/>
    <n v="0.14000000000000001"/>
    <x v="1"/>
    <x v="8"/>
    <n v="4.5999999999999996"/>
    <n v="1024.78"/>
    <n v="1024.7846"/>
    <n v="28"/>
    <x v="0"/>
    <x v="0"/>
  </r>
  <r>
    <n v="10029"/>
    <d v="2022-01-29T00:00:00"/>
    <x v="28"/>
    <x v="1"/>
    <x v="3"/>
    <n v="6"/>
    <n v="196.36"/>
    <n v="0.11"/>
    <x v="0"/>
    <x v="10"/>
    <n v="3"/>
    <n v="1048.56"/>
    <n v="1048.5624"/>
    <n v="29"/>
    <x v="0"/>
    <x v="0"/>
  </r>
  <r>
    <n v="10030"/>
    <d v="2022-01-30T00:00:00"/>
    <x v="29"/>
    <x v="2"/>
    <x v="1"/>
    <n v="6"/>
    <n v="323.83"/>
    <n v="0.14000000000000001"/>
    <x v="2"/>
    <x v="5"/>
    <n v="4.0999999999999996"/>
    <n v="1670.96"/>
    <n v="1670.9628"/>
    <n v="30"/>
    <x v="0"/>
    <x v="0"/>
  </r>
  <r>
    <n v="10031"/>
    <d v="2022-01-31T00:00:00"/>
    <x v="30"/>
    <x v="2"/>
    <x v="3"/>
    <n v="6"/>
    <n v="141.32"/>
    <n v="0.2"/>
    <x v="1"/>
    <x v="4"/>
    <n v="1.7"/>
    <n v="678.34"/>
    <n v="678.33600000000001"/>
    <n v="31"/>
    <x v="0"/>
    <x v="0"/>
  </r>
  <r>
    <n v="10032"/>
    <d v="2022-02-01T00:00:00"/>
    <x v="31"/>
    <x v="1"/>
    <x v="2"/>
    <n v="6"/>
    <n v="532.41999999999996"/>
    <n v="0.15"/>
    <x v="1"/>
    <x v="1"/>
    <n v="3.2"/>
    <n v="2715.34"/>
    <n v="2715.3419999999996"/>
    <n v="1"/>
    <x v="1"/>
    <x v="0"/>
  </r>
  <r>
    <n v="10033"/>
    <d v="2022-02-02T00:00:00"/>
    <x v="32"/>
    <x v="2"/>
    <x v="3"/>
    <n v="6"/>
    <n v="64.94"/>
    <n v="0.09"/>
    <x v="0"/>
    <x v="9"/>
    <n v="3.5"/>
    <n v="354.57"/>
    <n v="354.57240000000002"/>
    <n v="2"/>
    <x v="1"/>
    <x v="0"/>
  </r>
  <r>
    <n v="10034"/>
    <d v="2022-02-03T00:00:00"/>
    <x v="33"/>
    <x v="3"/>
    <x v="3"/>
    <n v="1"/>
    <n v="274.95999999999998"/>
    <n v="0.27"/>
    <x v="1"/>
    <x v="9"/>
    <n v="3"/>
    <n v="200.72"/>
    <n v="200.7208"/>
    <n v="3"/>
    <x v="1"/>
    <x v="0"/>
  </r>
  <r>
    <n v="10035"/>
    <d v="2022-02-04T00:00:00"/>
    <x v="34"/>
    <x v="2"/>
    <x v="2"/>
    <n v="2"/>
    <n v="511.91"/>
    <n v="0.19"/>
    <x v="2"/>
    <x v="9"/>
    <n v="1.5"/>
    <n v="829.29"/>
    <n v="829.29420000000005"/>
    <n v="4"/>
    <x v="1"/>
    <x v="0"/>
  </r>
  <r>
    <n v="10036"/>
    <d v="2022-02-05T00:00:00"/>
    <x v="35"/>
    <x v="2"/>
    <x v="2"/>
    <n v="4"/>
    <n v="375.27"/>
    <n v="0.02"/>
    <x v="2"/>
    <x v="7"/>
    <n v="3.9"/>
    <n v="1471.06"/>
    <n v="1471.0583999999999"/>
    <n v="5"/>
    <x v="1"/>
    <x v="0"/>
  </r>
  <r>
    <n v="10037"/>
    <d v="2022-02-06T00:00:00"/>
    <x v="36"/>
    <x v="1"/>
    <x v="0"/>
    <n v="3"/>
    <n v="186.01"/>
    <n v="0.13"/>
    <x v="1"/>
    <x v="2"/>
    <n v="4.4000000000000004"/>
    <n v="485.49"/>
    <n v="485.48609999999996"/>
    <n v="6"/>
    <x v="1"/>
    <x v="0"/>
  </r>
  <r>
    <n v="10038"/>
    <d v="2022-02-07T00:00:00"/>
    <x v="37"/>
    <x v="2"/>
    <x v="3"/>
    <n v="6"/>
    <n v="261.14"/>
    <n v="0.31"/>
    <x v="1"/>
    <x v="1"/>
    <n v="3.5"/>
    <n v="1081.1199999999999"/>
    <n v="1081.1196"/>
    <n v="7"/>
    <x v="1"/>
    <x v="0"/>
  </r>
  <r>
    <n v="10039"/>
    <d v="2022-02-08T00:00:00"/>
    <x v="38"/>
    <x v="2"/>
    <x v="1"/>
    <n v="1"/>
    <n v="428.42"/>
    <n v="0.26"/>
    <x v="2"/>
    <x v="0"/>
    <n v="1.7"/>
    <n v="317.02999999999997"/>
    <n v="317.0308"/>
    <n v="8"/>
    <x v="1"/>
    <x v="0"/>
  </r>
  <r>
    <n v="10040"/>
    <d v="2022-02-09T00:00:00"/>
    <x v="39"/>
    <x v="3"/>
    <x v="3"/>
    <n v="7"/>
    <n v="584.36"/>
    <n v="0.11"/>
    <x v="1"/>
    <x v="1"/>
    <n v="1.3"/>
    <n v="3640.56"/>
    <n v="3640.5628000000002"/>
    <n v="9"/>
    <x v="1"/>
    <x v="0"/>
  </r>
  <r>
    <n v="10041"/>
    <d v="2022-02-10T00:00:00"/>
    <x v="40"/>
    <x v="2"/>
    <x v="3"/>
    <n v="4"/>
    <n v="537.49"/>
    <n v="0.33"/>
    <x v="1"/>
    <x v="10"/>
    <n v="2.2000000000000002"/>
    <n v="1440.47"/>
    <n v="1440.4731999999999"/>
    <n v="10"/>
    <x v="1"/>
    <x v="0"/>
  </r>
  <r>
    <n v="10042"/>
    <d v="2022-02-11T00:00:00"/>
    <x v="41"/>
    <x v="3"/>
    <x v="2"/>
    <n v="4"/>
    <n v="215.32"/>
    <n v="0.03"/>
    <x v="1"/>
    <x v="5"/>
    <n v="1.1000000000000001"/>
    <n v="835.44"/>
    <n v="835.44159999999999"/>
    <n v="11"/>
    <x v="1"/>
    <x v="0"/>
  </r>
  <r>
    <n v="10043"/>
    <d v="2022-02-12T00:00:00"/>
    <x v="42"/>
    <x v="2"/>
    <x v="0"/>
    <n v="4"/>
    <n v="598.95000000000005"/>
    <n v="0.34"/>
    <x v="1"/>
    <x v="6"/>
    <n v="4.4000000000000004"/>
    <n v="1581.23"/>
    <n v="1581.2280000000001"/>
    <n v="12"/>
    <x v="1"/>
    <x v="0"/>
  </r>
  <r>
    <n v="10044"/>
    <d v="2022-02-13T00:00:00"/>
    <x v="43"/>
    <x v="2"/>
    <x v="3"/>
    <n v="1"/>
    <n v="17.05"/>
    <n v="0.09"/>
    <x v="1"/>
    <x v="4"/>
    <n v="3.8"/>
    <n v="15.52"/>
    <n v="15.515500000000001"/>
    <n v="13"/>
    <x v="1"/>
    <x v="0"/>
  </r>
  <r>
    <n v="10045"/>
    <d v="2022-02-14T00:00:00"/>
    <x v="44"/>
    <x v="3"/>
    <x v="1"/>
    <n v="3"/>
    <n v="31.16"/>
    <n v="0"/>
    <x v="0"/>
    <x v="1"/>
    <n v="3.3"/>
    <n v="93.48"/>
    <n v="93.48"/>
    <n v="14"/>
    <x v="1"/>
    <x v="0"/>
  </r>
  <r>
    <n v="10046"/>
    <d v="2022-02-15T00:00:00"/>
    <x v="45"/>
    <x v="2"/>
    <x v="3"/>
    <n v="6"/>
    <n v="496.95"/>
    <n v="0.15"/>
    <x v="2"/>
    <x v="10"/>
    <n v="4.5999999999999996"/>
    <n v="2534.44"/>
    <n v="2534.4449999999997"/>
    <n v="15"/>
    <x v="1"/>
    <x v="0"/>
  </r>
  <r>
    <n v="10047"/>
    <d v="2022-02-16T00:00:00"/>
    <x v="46"/>
    <x v="2"/>
    <x v="1"/>
    <n v="4"/>
    <n v="131.69"/>
    <n v="0.13"/>
    <x v="2"/>
    <x v="10"/>
    <n v="1.4"/>
    <n v="458.28"/>
    <n v="458.28120000000001"/>
    <n v="16"/>
    <x v="1"/>
    <x v="0"/>
  </r>
  <r>
    <n v="10048"/>
    <d v="2022-02-17T00:00:00"/>
    <x v="47"/>
    <x v="1"/>
    <x v="2"/>
    <n v="1"/>
    <n v="50.55"/>
    <n v="0.19"/>
    <x v="1"/>
    <x v="8"/>
    <n v="3.9"/>
    <n v="40.950000000000003"/>
    <n v="40.945499999999996"/>
    <n v="17"/>
    <x v="1"/>
    <x v="0"/>
  </r>
  <r>
    <n v="10049"/>
    <d v="2022-02-18T00:00:00"/>
    <x v="48"/>
    <x v="2"/>
    <x v="0"/>
    <n v="7"/>
    <n v="153.72999999999999"/>
    <n v="0.28000000000000003"/>
    <x v="1"/>
    <x v="9"/>
    <n v="1.6"/>
    <n v="774.8"/>
    <n v="774.79919999999993"/>
    <n v="18"/>
    <x v="1"/>
    <x v="0"/>
  </r>
  <r>
    <n v="10050"/>
    <d v="2022-02-19T00:00:00"/>
    <x v="49"/>
    <x v="3"/>
    <x v="3"/>
    <n v="2"/>
    <n v="264.27"/>
    <n v="0.28999999999999998"/>
    <x v="0"/>
    <x v="6"/>
    <n v="1.2"/>
    <n v="375.26"/>
    <n v="375.26339999999999"/>
    <n v="19"/>
    <x v="1"/>
    <x v="0"/>
  </r>
  <r>
    <n v="10051"/>
    <d v="2022-02-20T00:00:00"/>
    <x v="48"/>
    <x v="2"/>
    <x v="0"/>
    <n v="7"/>
    <n v="442.38"/>
    <n v="0.14000000000000001"/>
    <x v="2"/>
    <x v="0"/>
    <n v="1.5"/>
    <n v="2663.13"/>
    <n v="2663.1275999999998"/>
    <n v="20"/>
    <x v="1"/>
    <x v="0"/>
  </r>
  <r>
    <n v="10052"/>
    <d v="2022-02-21T00:00:00"/>
    <x v="50"/>
    <x v="3"/>
    <x v="3"/>
    <n v="1"/>
    <n v="380.24"/>
    <n v="0.15"/>
    <x v="1"/>
    <x v="8"/>
    <n v="4.8"/>
    <n v="323.2"/>
    <n v="323.20400000000001"/>
    <n v="21"/>
    <x v="1"/>
    <x v="0"/>
  </r>
  <r>
    <n v="10053"/>
    <d v="2022-02-22T00:00:00"/>
    <x v="51"/>
    <x v="0"/>
    <x v="1"/>
    <n v="1"/>
    <n v="154.01"/>
    <n v="0.05"/>
    <x v="1"/>
    <x v="5"/>
    <n v="2.8"/>
    <n v="146.31"/>
    <n v="146.30949999999999"/>
    <n v="22"/>
    <x v="1"/>
    <x v="0"/>
  </r>
  <r>
    <n v="10054"/>
    <d v="2022-02-23T00:00:00"/>
    <x v="52"/>
    <x v="1"/>
    <x v="0"/>
    <n v="1"/>
    <n v="309.41000000000003"/>
    <n v="0.02"/>
    <x v="2"/>
    <x v="5"/>
    <n v="1.2"/>
    <n v="303.22000000000003"/>
    <n v="303.22180000000003"/>
    <n v="23"/>
    <x v="1"/>
    <x v="0"/>
  </r>
  <r>
    <n v="10055"/>
    <d v="2022-02-24T00:00:00"/>
    <x v="53"/>
    <x v="0"/>
    <x v="3"/>
    <n v="4"/>
    <n v="556.84"/>
    <n v="0.22"/>
    <x v="0"/>
    <x v="8"/>
    <n v="3.3"/>
    <n v="1737.34"/>
    <n v="1737.3408000000002"/>
    <n v="24"/>
    <x v="1"/>
    <x v="0"/>
  </r>
  <r>
    <n v="10056"/>
    <d v="2022-02-25T00:00:00"/>
    <x v="54"/>
    <x v="1"/>
    <x v="2"/>
    <n v="1"/>
    <n v="491.78"/>
    <n v="0.02"/>
    <x v="1"/>
    <x v="1"/>
    <n v="1.8"/>
    <n v="481.94"/>
    <n v="481.94439999999997"/>
    <n v="25"/>
    <x v="1"/>
    <x v="0"/>
  </r>
  <r>
    <n v="10057"/>
    <d v="2022-02-26T00:00:00"/>
    <x v="55"/>
    <x v="0"/>
    <x v="1"/>
    <n v="2"/>
    <n v="204.07"/>
    <n v="0.26"/>
    <x v="2"/>
    <x v="8"/>
    <n v="1"/>
    <n v="302.02"/>
    <n v="302.02359999999999"/>
    <n v="26"/>
    <x v="1"/>
    <x v="0"/>
  </r>
  <r>
    <n v="10058"/>
    <d v="2022-02-27T00:00:00"/>
    <x v="19"/>
    <x v="2"/>
    <x v="0"/>
    <n v="4"/>
    <n v="589.62"/>
    <n v="0.19"/>
    <x v="2"/>
    <x v="9"/>
    <n v="4"/>
    <n v="1910.37"/>
    <n v="1910.3688"/>
    <n v="27"/>
    <x v="1"/>
    <x v="0"/>
  </r>
  <r>
    <n v="10059"/>
    <d v="2022-02-28T00:00:00"/>
    <x v="56"/>
    <x v="3"/>
    <x v="3"/>
    <n v="7"/>
    <n v="429.54"/>
    <n v="7.0000000000000007E-2"/>
    <x v="0"/>
    <x v="9"/>
    <n v="1.6"/>
    <n v="2796.31"/>
    <n v="2796.3054000000002"/>
    <n v="28"/>
    <x v="1"/>
    <x v="0"/>
  </r>
  <r>
    <n v="10060"/>
    <d v="2022-03-01T00:00:00"/>
    <x v="57"/>
    <x v="1"/>
    <x v="0"/>
    <n v="2"/>
    <n v="51.53"/>
    <n v="0.19"/>
    <x v="0"/>
    <x v="7"/>
    <n v="4.8"/>
    <n v="83.48"/>
    <n v="83.4786"/>
    <n v="1"/>
    <x v="2"/>
    <x v="0"/>
  </r>
  <r>
    <n v="10061"/>
    <d v="2022-03-02T00:00:00"/>
    <x v="58"/>
    <x v="1"/>
    <x v="3"/>
    <n v="5"/>
    <n v="35.57"/>
    <n v="0.06"/>
    <x v="1"/>
    <x v="1"/>
    <n v="3.4"/>
    <n v="167.18"/>
    <n v="167.179"/>
    <n v="2"/>
    <x v="2"/>
    <x v="0"/>
  </r>
  <r>
    <n v="10062"/>
    <d v="2022-03-03T00:00:00"/>
    <x v="7"/>
    <x v="1"/>
    <x v="1"/>
    <n v="7"/>
    <n v="113.52"/>
    <n v="0.15"/>
    <x v="2"/>
    <x v="8"/>
    <n v="1.3"/>
    <n v="675.44"/>
    <n v="675.44399999999996"/>
    <n v="3"/>
    <x v="2"/>
    <x v="0"/>
  </r>
  <r>
    <n v="10063"/>
    <d v="2022-03-04T00:00:00"/>
    <x v="59"/>
    <x v="3"/>
    <x v="2"/>
    <n v="1"/>
    <n v="440.8"/>
    <n v="0.28000000000000003"/>
    <x v="2"/>
    <x v="5"/>
    <n v="1.9"/>
    <n v="317.38"/>
    <n v="317.37599999999998"/>
    <n v="4"/>
    <x v="2"/>
    <x v="0"/>
  </r>
  <r>
    <n v="10064"/>
    <d v="2022-03-05T00:00:00"/>
    <x v="60"/>
    <x v="2"/>
    <x v="1"/>
    <n v="6"/>
    <n v="122.49"/>
    <n v="0.16"/>
    <x v="2"/>
    <x v="8"/>
    <n v="3.4"/>
    <n v="617.35"/>
    <n v="617.34960000000001"/>
    <n v="5"/>
    <x v="2"/>
    <x v="0"/>
  </r>
  <r>
    <n v="10065"/>
    <d v="2022-03-06T00:00:00"/>
    <x v="61"/>
    <x v="2"/>
    <x v="0"/>
    <n v="6"/>
    <n v="314.22000000000003"/>
    <n v="0.05"/>
    <x v="0"/>
    <x v="3"/>
    <n v="2.4"/>
    <n v="1791.05"/>
    <n v="1791.0540000000001"/>
    <n v="6"/>
    <x v="2"/>
    <x v="0"/>
  </r>
  <r>
    <n v="10066"/>
    <d v="2022-03-07T00:00:00"/>
    <x v="62"/>
    <x v="3"/>
    <x v="0"/>
    <n v="4"/>
    <n v="69.56"/>
    <n v="0.25"/>
    <x v="0"/>
    <x v="4"/>
    <n v="3.1"/>
    <n v="208.68"/>
    <n v="208.68"/>
    <n v="7"/>
    <x v="2"/>
    <x v="0"/>
  </r>
  <r>
    <n v="10067"/>
    <d v="2022-03-08T00:00:00"/>
    <x v="63"/>
    <x v="3"/>
    <x v="3"/>
    <n v="6"/>
    <n v="553.72"/>
    <n v="7.0000000000000007E-2"/>
    <x v="1"/>
    <x v="6"/>
    <n v="4.2"/>
    <n v="3089.76"/>
    <n v="3089.7575999999999"/>
    <n v="8"/>
    <x v="2"/>
    <x v="0"/>
  </r>
  <r>
    <n v="10068"/>
    <d v="2022-03-09T00:00:00"/>
    <x v="64"/>
    <x v="0"/>
    <x v="1"/>
    <n v="7"/>
    <n v="216.22"/>
    <n v="0.26"/>
    <x v="1"/>
    <x v="4"/>
    <n v="4.2"/>
    <n v="1120.02"/>
    <n v="1120.0196000000001"/>
    <n v="9"/>
    <x v="2"/>
    <x v="0"/>
  </r>
  <r>
    <n v="10069"/>
    <d v="2022-03-10T00:00:00"/>
    <x v="65"/>
    <x v="3"/>
    <x v="3"/>
    <n v="4"/>
    <n v="546.26"/>
    <n v="0.17"/>
    <x v="2"/>
    <x v="7"/>
    <n v="3.8"/>
    <n v="1813.58"/>
    <n v="1813.5832"/>
    <n v="10"/>
    <x v="2"/>
    <x v="0"/>
  </r>
  <r>
    <n v="10070"/>
    <d v="2022-03-11T00:00:00"/>
    <x v="66"/>
    <x v="0"/>
    <x v="1"/>
    <n v="7"/>
    <n v="567.75"/>
    <n v="0.16"/>
    <x v="1"/>
    <x v="4"/>
    <n v="4.5"/>
    <n v="3338.37"/>
    <n v="3338.37"/>
    <n v="11"/>
    <x v="2"/>
    <x v="0"/>
  </r>
  <r>
    <n v="10071"/>
    <d v="2022-03-12T00:00:00"/>
    <x v="67"/>
    <x v="3"/>
    <x v="0"/>
    <n v="1"/>
    <n v="18.59"/>
    <n v="0.3"/>
    <x v="1"/>
    <x v="4"/>
    <n v="1.8"/>
    <n v="13.01"/>
    <n v="13.013"/>
    <n v="12"/>
    <x v="2"/>
    <x v="0"/>
  </r>
  <r>
    <n v="10072"/>
    <d v="2022-03-13T00:00:00"/>
    <x v="68"/>
    <x v="2"/>
    <x v="3"/>
    <n v="3"/>
    <n v="286.52"/>
    <n v="0.25"/>
    <x v="1"/>
    <x v="2"/>
    <n v="1.7"/>
    <n v="644.66999999999996"/>
    <n v="644.66999999999996"/>
    <n v="13"/>
    <x v="2"/>
    <x v="0"/>
  </r>
  <r>
    <n v="10073"/>
    <d v="2022-03-14T00:00:00"/>
    <x v="69"/>
    <x v="2"/>
    <x v="3"/>
    <n v="3"/>
    <n v="29.42"/>
    <n v="0.01"/>
    <x v="0"/>
    <x v="2"/>
    <n v="4.2"/>
    <n v="87.38"/>
    <n v="87.377400000000009"/>
    <n v="14"/>
    <x v="2"/>
    <x v="0"/>
  </r>
  <r>
    <n v="10074"/>
    <d v="2022-03-15T00:00:00"/>
    <x v="70"/>
    <x v="3"/>
    <x v="1"/>
    <n v="2"/>
    <n v="546.59"/>
    <n v="0.1"/>
    <x v="1"/>
    <x v="0"/>
    <n v="2.2999999999999998"/>
    <n v="983.86"/>
    <n v="983.86200000000008"/>
    <n v="15"/>
    <x v="2"/>
    <x v="0"/>
  </r>
  <r>
    <n v="10075"/>
    <d v="2022-03-16T00:00:00"/>
    <x v="71"/>
    <x v="1"/>
    <x v="2"/>
    <n v="1"/>
    <n v="318.27"/>
    <n v="0.3"/>
    <x v="2"/>
    <x v="7"/>
    <n v="3"/>
    <n v="222.79"/>
    <n v="222.78899999999999"/>
    <n v="16"/>
    <x v="2"/>
    <x v="0"/>
  </r>
  <r>
    <n v="10076"/>
    <d v="2022-03-17T00:00:00"/>
    <x v="72"/>
    <x v="2"/>
    <x v="1"/>
    <n v="6"/>
    <n v="58.84"/>
    <n v="0.01"/>
    <x v="1"/>
    <x v="1"/>
    <n v="4"/>
    <n v="349.51"/>
    <n v="349.50960000000003"/>
    <n v="17"/>
    <x v="2"/>
    <x v="0"/>
  </r>
  <r>
    <n v="10077"/>
    <d v="2022-03-18T00:00:00"/>
    <x v="73"/>
    <x v="1"/>
    <x v="2"/>
    <n v="1"/>
    <n v="79.510000000000005"/>
    <n v="0.19"/>
    <x v="1"/>
    <x v="0"/>
    <n v="2.6"/>
    <n v="64.400000000000006"/>
    <n v="64.403100000000009"/>
    <n v="18"/>
    <x v="2"/>
    <x v="0"/>
  </r>
  <r>
    <n v="10078"/>
    <d v="2022-03-19T00:00:00"/>
    <x v="29"/>
    <x v="0"/>
    <x v="1"/>
    <n v="5"/>
    <n v="239.35"/>
    <n v="0.25"/>
    <x v="1"/>
    <x v="3"/>
    <n v="1.5"/>
    <n v="897.56"/>
    <n v="897.5625"/>
    <n v="19"/>
    <x v="2"/>
    <x v="0"/>
  </r>
  <r>
    <n v="10079"/>
    <d v="2022-03-20T00:00:00"/>
    <x v="74"/>
    <x v="1"/>
    <x v="0"/>
    <n v="3"/>
    <n v="565.04"/>
    <n v="0.22"/>
    <x v="1"/>
    <x v="0"/>
    <n v="3.7"/>
    <n v="1322.19"/>
    <n v="1322.1936000000001"/>
    <n v="20"/>
    <x v="2"/>
    <x v="0"/>
  </r>
  <r>
    <n v="10080"/>
    <d v="2022-03-21T00:00:00"/>
    <x v="75"/>
    <x v="1"/>
    <x v="3"/>
    <n v="6"/>
    <n v="420.35"/>
    <n v="0.27"/>
    <x v="0"/>
    <x v="1"/>
    <n v="4.3"/>
    <n v="1841.13"/>
    <n v="1841.1330000000003"/>
    <n v="21"/>
    <x v="2"/>
    <x v="0"/>
  </r>
  <r>
    <n v="10081"/>
    <d v="2022-03-22T00:00:00"/>
    <x v="76"/>
    <x v="1"/>
    <x v="1"/>
    <n v="7"/>
    <n v="522.55999999999995"/>
    <n v="0.25"/>
    <x v="0"/>
    <x v="6"/>
    <n v="1.1000000000000001"/>
    <n v="2743.44"/>
    <n v="2743.4399999999996"/>
    <n v="22"/>
    <x v="2"/>
    <x v="0"/>
  </r>
  <r>
    <n v="10082"/>
    <d v="2022-03-23T00:00:00"/>
    <x v="77"/>
    <x v="2"/>
    <x v="0"/>
    <n v="7"/>
    <n v="229.38"/>
    <n v="0.24"/>
    <x v="2"/>
    <x v="7"/>
    <n v="3.3"/>
    <n v="1220.3"/>
    <n v="1220.3015999999998"/>
    <n v="23"/>
    <x v="2"/>
    <x v="0"/>
  </r>
  <r>
    <n v="10083"/>
    <d v="2022-03-24T00:00:00"/>
    <x v="78"/>
    <x v="1"/>
    <x v="1"/>
    <n v="3"/>
    <n v="40.28"/>
    <n v="0.28999999999999998"/>
    <x v="1"/>
    <x v="4"/>
    <n v="2.9"/>
    <n v="85.8"/>
    <n v="85.796400000000006"/>
    <n v="24"/>
    <x v="2"/>
    <x v="0"/>
  </r>
  <r>
    <n v="10084"/>
    <d v="2022-03-25T00:00:00"/>
    <x v="79"/>
    <x v="1"/>
    <x v="3"/>
    <n v="1"/>
    <n v="584.98"/>
    <n v="0.23"/>
    <x v="2"/>
    <x v="1"/>
    <n v="2"/>
    <n v="450.43"/>
    <n v="450.43460000000005"/>
    <n v="25"/>
    <x v="2"/>
    <x v="0"/>
  </r>
  <r>
    <n v="10085"/>
    <d v="2022-03-26T00:00:00"/>
    <x v="80"/>
    <x v="2"/>
    <x v="1"/>
    <n v="6"/>
    <n v="25.05"/>
    <n v="0.14000000000000001"/>
    <x v="1"/>
    <x v="0"/>
    <n v="1.6"/>
    <n v="129.26"/>
    <n v="129.25800000000001"/>
    <n v="26"/>
    <x v="2"/>
    <x v="0"/>
  </r>
  <r>
    <n v="10086"/>
    <d v="2022-03-27T00:00:00"/>
    <x v="81"/>
    <x v="3"/>
    <x v="2"/>
    <n v="2"/>
    <n v="569.38"/>
    <n v="0.17"/>
    <x v="1"/>
    <x v="4"/>
    <n v="1.8"/>
    <n v="945.17"/>
    <n v="945.17079999999999"/>
    <n v="27"/>
    <x v="2"/>
    <x v="0"/>
  </r>
  <r>
    <n v="10087"/>
    <d v="2022-03-28T00:00:00"/>
    <x v="82"/>
    <x v="1"/>
    <x v="3"/>
    <n v="7"/>
    <n v="230.68"/>
    <n v="0.25"/>
    <x v="2"/>
    <x v="6"/>
    <n v="3.9"/>
    <n v="1211.07"/>
    <n v="1211.07"/>
    <n v="28"/>
    <x v="2"/>
    <x v="0"/>
  </r>
  <r>
    <n v="10088"/>
    <d v="2022-03-29T00:00:00"/>
    <x v="83"/>
    <x v="3"/>
    <x v="2"/>
    <n v="1"/>
    <n v="20.9"/>
    <n v="0.31"/>
    <x v="2"/>
    <x v="0"/>
    <n v="3.1"/>
    <n v="14.42"/>
    <n v="14.420999999999999"/>
    <n v="29"/>
    <x v="2"/>
    <x v="0"/>
  </r>
  <r>
    <n v="10089"/>
    <d v="2022-03-30T00:00:00"/>
    <x v="17"/>
    <x v="0"/>
    <x v="0"/>
    <n v="2"/>
    <n v="418.16"/>
    <n v="0.1"/>
    <x v="1"/>
    <x v="10"/>
    <n v="4.9000000000000004"/>
    <n v="752.69"/>
    <n v="752.6880000000001"/>
    <n v="30"/>
    <x v="2"/>
    <x v="0"/>
  </r>
  <r>
    <n v="10090"/>
    <d v="2022-03-31T00:00:00"/>
    <x v="62"/>
    <x v="2"/>
    <x v="0"/>
    <n v="6"/>
    <n v="588.62"/>
    <n v="0.12"/>
    <x v="1"/>
    <x v="0"/>
    <n v="2"/>
    <n v="3107.91"/>
    <n v="3107.9136000000003"/>
    <n v="31"/>
    <x v="2"/>
    <x v="0"/>
  </r>
  <r>
    <n v="10091"/>
    <d v="2022-04-01T00:00:00"/>
    <x v="84"/>
    <x v="3"/>
    <x v="1"/>
    <n v="3"/>
    <n v="579.89"/>
    <n v="0.33"/>
    <x v="0"/>
    <x v="2"/>
    <n v="4.8"/>
    <n v="1165.58"/>
    <n v="1165.5789"/>
    <n v="1"/>
    <x v="3"/>
    <x v="0"/>
  </r>
  <r>
    <n v="10092"/>
    <d v="2022-04-02T00:00:00"/>
    <x v="85"/>
    <x v="1"/>
    <x v="2"/>
    <n v="5"/>
    <n v="109.15"/>
    <n v="0.2"/>
    <x v="1"/>
    <x v="4"/>
    <n v="3.1"/>
    <n v="436.6"/>
    <n v="436.6"/>
    <n v="2"/>
    <x v="3"/>
    <x v="0"/>
  </r>
  <r>
    <n v="10093"/>
    <d v="2022-04-03T00:00:00"/>
    <x v="86"/>
    <x v="0"/>
    <x v="2"/>
    <n v="4"/>
    <n v="121.03"/>
    <n v="0.06"/>
    <x v="0"/>
    <x v="9"/>
    <n v="1.6"/>
    <n v="455.07"/>
    <n v="455.07280000000003"/>
    <n v="3"/>
    <x v="3"/>
    <x v="0"/>
  </r>
  <r>
    <n v="10094"/>
    <d v="2022-04-04T00:00:00"/>
    <x v="87"/>
    <x v="2"/>
    <x v="3"/>
    <n v="3"/>
    <n v="345.84"/>
    <n v="0.23"/>
    <x v="0"/>
    <x v="6"/>
    <n v="1.6"/>
    <n v="798.89"/>
    <n v="798.8904"/>
    <n v="4"/>
    <x v="3"/>
    <x v="0"/>
  </r>
  <r>
    <n v="10095"/>
    <d v="2022-04-05T00:00:00"/>
    <x v="88"/>
    <x v="3"/>
    <x v="2"/>
    <n v="2"/>
    <n v="387.82"/>
    <n v="0.35"/>
    <x v="2"/>
    <x v="5"/>
    <n v="3.4"/>
    <n v="504.17"/>
    <n v="504.166"/>
    <n v="5"/>
    <x v="3"/>
    <x v="0"/>
  </r>
  <r>
    <n v="10096"/>
    <d v="2022-04-06T00:00:00"/>
    <x v="89"/>
    <x v="1"/>
    <x v="2"/>
    <n v="1"/>
    <n v="447.56"/>
    <n v="0.28999999999999998"/>
    <x v="1"/>
    <x v="2"/>
    <n v="4.3"/>
    <n v="317.77"/>
    <n v="317.76760000000002"/>
    <n v="6"/>
    <x v="3"/>
    <x v="0"/>
  </r>
  <r>
    <n v="10097"/>
    <d v="2022-04-07T00:00:00"/>
    <x v="90"/>
    <x v="2"/>
    <x v="3"/>
    <n v="7"/>
    <n v="120.91"/>
    <n v="0.26"/>
    <x v="2"/>
    <x v="2"/>
    <n v="4"/>
    <n v="626.30999999999995"/>
    <n v="626.31380000000001"/>
    <n v="7"/>
    <x v="3"/>
    <x v="0"/>
  </r>
  <r>
    <n v="10098"/>
    <d v="2022-04-08T00:00:00"/>
    <x v="91"/>
    <x v="2"/>
    <x v="3"/>
    <n v="6"/>
    <n v="576.02"/>
    <n v="7.0000000000000007E-2"/>
    <x v="1"/>
    <x v="8"/>
    <n v="3.6"/>
    <n v="3214.19"/>
    <n v="3214.1916000000001"/>
    <n v="8"/>
    <x v="3"/>
    <x v="0"/>
  </r>
  <r>
    <n v="10099"/>
    <d v="2022-04-09T00:00:00"/>
    <x v="92"/>
    <x v="3"/>
    <x v="2"/>
    <n v="3"/>
    <n v="388.66"/>
    <n v="0.31"/>
    <x v="1"/>
    <x v="5"/>
    <n v="1.7"/>
    <n v="804.53"/>
    <n v="804.52620000000002"/>
    <n v="9"/>
    <x v="3"/>
    <x v="0"/>
  </r>
  <r>
    <n v="10100"/>
    <d v="2022-04-10T00:00:00"/>
    <x v="93"/>
    <x v="3"/>
    <x v="1"/>
    <n v="7"/>
    <n v="510.52"/>
    <n v="0.18"/>
    <x v="2"/>
    <x v="7"/>
    <n v="1.4"/>
    <n v="2930.38"/>
    <n v="2930.3847999999998"/>
    <n v="10"/>
    <x v="3"/>
    <x v="0"/>
  </r>
  <r>
    <n v="10101"/>
    <d v="2022-04-11T00:00:00"/>
    <x v="94"/>
    <x v="2"/>
    <x v="3"/>
    <n v="7"/>
    <n v="330.94"/>
    <n v="0.31"/>
    <x v="1"/>
    <x v="10"/>
    <n v="1"/>
    <n v="1598.44"/>
    <n v="1598.4402"/>
    <n v="11"/>
    <x v="3"/>
    <x v="0"/>
  </r>
  <r>
    <n v="10102"/>
    <d v="2022-04-12T00:00:00"/>
    <x v="95"/>
    <x v="1"/>
    <x v="3"/>
    <n v="5"/>
    <n v="257.35000000000002"/>
    <n v="0.12"/>
    <x v="1"/>
    <x v="0"/>
    <n v="1.4"/>
    <n v="1132.3399999999999"/>
    <n v="1132.3399999999999"/>
    <n v="12"/>
    <x v="3"/>
    <x v="0"/>
  </r>
  <r>
    <n v="10103"/>
    <d v="2022-04-13T00:00:00"/>
    <x v="96"/>
    <x v="1"/>
    <x v="2"/>
    <n v="6"/>
    <n v="586.65"/>
    <n v="0.02"/>
    <x v="2"/>
    <x v="8"/>
    <n v="4.0999999999999996"/>
    <n v="3449.5"/>
    <n v="3449.5019999999995"/>
    <n v="13"/>
    <x v="3"/>
    <x v="0"/>
  </r>
  <r>
    <n v="10104"/>
    <d v="2022-04-14T00:00:00"/>
    <x v="48"/>
    <x v="3"/>
    <x v="2"/>
    <n v="2"/>
    <n v="355.54"/>
    <n v="0.17"/>
    <x v="2"/>
    <x v="1"/>
    <n v="4.5999999999999996"/>
    <n v="590.20000000000005"/>
    <n v="590.19640000000004"/>
    <n v="14"/>
    <x v="3"/>
    <x v="0"/>
  </r>
  <r>
    <n v="10105"/>
    <d v="2022-04-15T00:00:00"/>
    <x v="97"/>
    <x v="2"/>
    <x v="3"/>
    <n v="6"/>
    <n v="522.12"/>
    <n v="0.09"/>
    <x v="1"/>
    <x v="2"/>
    <n v="2"/>
    <n v="2850.78"/>
    <n v="2850.7752"/>
    <n v="15"/>
    <x v="3"/>
    <x v="0"/>
  </r>
  <r>
    <n v="10106"/>
    <d v="2022-04-16T00:00:00"/>
    <x v="98"/>
    <x v="0"/>
    <x v="2"/>
    <n v="6"/>
    <n v="572.67999999999995"/>
    <n v="0.25"/>
    <x v="1"/>
    <x v="10"/>
    <n v="4.2"/>
    <n v="2577.06"/>
    <n v="2577.06"/>
    <n v="16"/>
    <x v="3"/>
    <x v="0"/>
  </r>
  <r>
    <n v="10107"/>
    <d v="2022-04-17T00:00:00"/>
    <x v="99"/>
    <x v="2"/>
    <x v="3"/>
    <n v="1"/>
    <n v="410.08"/>
    <n v="0.33"/>
    <x v="1"/>
    <x v="5"/>
    <n v="1.8"/>
    <n v="274.75"/>
    <n v="274.75360000000001"/>
    <n v="17"/>
    <x v="3"/>
    <x v="0"/>
  </r>
  <r>
    <n v="10108"/>
    <d v="2022-04-18T00:00:00"/>
    <x v="100"/>
    <x v="1"/>
    <x v="1"/>
    <n v="4"/>
    <n v="336.13"/>
    <n v="0.24"/>
    <x v="1"/>
    <x v="10"/>
    <n v="2"/>
    <n v="1021.84"/>
    <n v="1021.8352"/>
    <n v="18"/>
    <x v="3"/>
    <x v="0"/>
  </r>
  <r>
    <n v="10109"/>
    <d v="2022-04-19T00:00:00"/>
    <x v="3"/>
    <x v="2"/>
    <x v="1"/>
    <n v="7"/>
    <n v="17.05"/>
    <n v="0.31"/>
    <x v="2"/>
    <x v="3"/>
    <n v="1.9"/>
    <n v="82.35"/>
    <n v="82.351500000000016"/>
    <n v="19"/>
    <x v="3"/>
    <x v="0"/>
  </r>
  <r>
    <n v="10110"/>
    <d v="2022-04-20T00:00:00"/>
    <x v="101"/>
    <x v="2"/>
    <x v="3"/>
    <n v="2"/>
    <n v="38.409999999999997"/>
    <n v="0.16"/>
    <x v="2"/>
    <x v="3"/>
    <n v="1.2"/>
    <n v="64.53"/>
    <n v="64.52879999999999"/>
    <n v="20"/>
    <x v="3"/>
    <x v="0"/>
  </r>
  <r>
    <n v="10111"/>
    <d v="2022-04-21T00:00:00"/>
    <x v="102"/>
    <x v="1"/>
    <x v="3"/>
    <n v="1"/>
    <n v="132.5"/>
    <n v="0.27"/>
    <x v="2"/>
    <x v="6"/>
    <n v="1.8"/>
    <n v="96.72"/>
    <n v="96.724999999999994"/>
    <n v="21"/>
    <x v="3"/>
    <x v="0"/>
  </r>
  <r>
    <n v="10112"/>
    <d v="2022-04-22T00:00:00"/>
    <x v="103"/>
    <x v="2"/>
    <x v="0"/>
    <n v="7"/>
    <n v="123.81"/>
    <n v="0.3"/>
    <x v="1"/>
    <x v="3"/>
    <n v="2.5"/>
    <n v="606.66999999999996"/>
    <n v="606.6690000000001"/>
    <n v="22"/>
    <x v="3"/>
    <x v="0"/>
  </r>
  <r>
    <n v="10113"/>
    <d v="2022-04-23T00:00:00"/>
    <x v="104"/>
    <x v="3"/>
    <x v="0"/>
    <n v="4"/>
    <n v="164.03"/>
    <n v="0.25"/>
    <x v="1"/>
    <x v="2"/>
    <n v="2.6"/>
    <n v="492.09"/>
    <n v="492.09000000000003"/>
    <n v="23"/>
    <x v="3"/>
    <x v="0"/>
  </r>
  <r>
    <n v="10114"/>
    <d v="2022-04-24T00:00:00"/>
    <x v="105"/>
    <x v="2"/>
    <x v="2"/>
    <n v="1"/>
    <n v="193.39"/>
    <n v="0.18"/>
    <x v="1"/>
    <x v="6"/>
    <n v="2.2000000000000002"/>
    <n v="158.58000000000001"/>
    <n v="158.57979999999998"/>
    <n v="24"/>
    <x v="3"/>
    <x v="0"/>
  </r>
  <r>
    <n v="10115"/>
    <d v="2022-04-25T00:00:00"/>
    <x v="106"/>
    <x v="1"/>
    <x v="2"/>
    <n v="4"/>
    <n v="225.64"/>
    <n v="0.22"/>
    <x v="1"/>
    <x v="3"/>
    <n v="3.1"/>
    <n v="704"/>
    <n v="703.99679999999989"/>
    <n v="25"/>
    <x v="3"/>
    <x v="0"/>
  </r>
  <r>
    <n v="10116"/>
    <d v="2022-04-26T00:00:00"/>
    <x v="107"/>
    <x v="2"/>
    <x v="3"/>
    <n v="4"/>
    <n v="261.01"/>
    <n v="0.25"/>
    <x v="1"/>
    <x v="0"/>
    <n v="2.5"/>
    <n v="783.03"/>
    <n v="783.03"/>
    <n v="26"/>
    <x v="3"/>
    <x v="0"/>
  </r>
  <r>
    <n v="10117"/>
    <d v="2022-04-27T00:00:00"/>
    <x v="108"/>
    <x v="2"/>
    <x v="3"/>
    <n v="4"/>
    <n v="72.84"/>
    <n v="0.09"/>
    <x v="1"/>
    <x v="0"/>
    <n v="4.9000000000000004"/>
    <n v="265.14"/>
    <n v="265.13760000000002"/>
    <n v="27"/>
    <x v="3"/>
    <x v="0"/>
  </r>
  <r>
    <n v="10118"/>
    <d v="2022-04-28T00:00:00"/>
    <x v="109"/>
    <x v="2"/>
    <x v="0"/>
    <n v="1"/>
    <n v="39.78"/>
    <n v="0.28000000000000003"/>
    <x v="1"/>
    <x v="5"/>
    <n v="4.2"/>
    <n v="28.64"/>
    <n v="28.6416"/>
    <n v="28"/>
    <x v="3"/>
    <x v="0"/>
  </r>
  <r>
    <n v="10119"/>
    <d v="2022-04-29T00:00:00"/>
    <x v="110"/>
    <x v="1"/>
    <x v="0"/>
    <n v="6"/>
    <n v="409.26"/>
    <n v="0.33"/>
    <x v="2"/>
    <x v="0"/>
    <n v="4.7"/>
    <n v="1645.23"/>
    <n v="1645.2251999999999"/>
    <n v="29"/>
    <x v="3"/>
    <x v="0"/>
  </r>
  <r>
    <n v="10120"/>
    <d v="2022-04-30T00:00:00"/>
    <x v="111"/>
    <x v="1"/>
    <x v="3"/>
    <n v="4"/>
    <n v="329.34"/>
    <n v="0.16"/>
    <x v="2"/>
    <x v="6"/>
    <n v="3.2"/>
    <n v="1106.58"/>
    <n v="1106.5824"/>
    <n v="30"/>
    <x v="3"/>
    <x v="0"/>
  </r>
  <r>
    <n v="10121"/>
    <d v="2022-05-01T00:00:00"/>
    <x v="112"/>
    <x v="1"/>
    <x v="1"/>
    <n v="6"/>
    <n v="274.82"/>
    <n v="0.25"/>
    <x v="2"/>
    <x v="10"/>
    <n v="3.7"/>
    <n v="1236.69"/>
    <n v="1236.69"/>
    <n v="1"/>
    <x v="4"/>
    <x v="0"/>
  </r>
  <r>
    <n v="10122"/>
    <d v="2022-05-02T00:00:00"/>
    <x v="113"/>
    <x v="1"/>
    <x v="1"/>
    <n v="7"/>
    <n v="386.15"/>
    <n v="0.26"/>
    <x v="1"/>
    <x v="4"/>
    <n v="1.7"/>
    <n v="2000.26"/>
    <n v="2000.2569999999996"/>
    <n v="2"/>
    <x v="4"/>
    <x v="0"/>
  </r>
  <r>
    <n v="10123"/>
    <d v="2022-05-03T00:00:00"/>
    <x v="114"/>
    <x v="1"/>
    <x v="2"/>
    <n v="7"/>
    <n v="499.19"/>
    <n v="0.23"/>
    <x v="0"/>
    <x v="0"/>
    <n v="4"/>
    <n v="2690.63"/>
    <n v="2690.6340999999998"/>
    <n v="3"/>
    <x v="4"/>
    <x v="0"/>
  </r>
  <r>
    <n v="10124"/>
    <d v="2022-05-04T00:00:00"/>
    <x v="115"/>
    <x v="2"/>
    <x v="3"/>
    <n v="2"/>
    <n v="265.2"/>
    <n v="0.19"/>
    <x v="0"/>
    <x v="8"/>
    <n v="1.9"/>
    <n v="429.62"/>
    <n v="429.62399999999997"/>
    <n v="4"/>
    <x v="4"/>
    <x v="0"/>
  </r>
  <r>
    <n v="10125"/>
    <d v="2022-05-05T00:00:00"/>
    <x v="116"/>
    <x v="1"/>
    <x v="3"/>
    <n v="5"/>
    <n v="390.05"/>
    <n v="0.31"/>
    <x v="1"/>
    <x v="3"/>
    <n v="1.6"/>
    <n v="1345.67"/>
    <n v="1345.6724999999999"/>
    <n v="5"/>
    <x v="4"/>
    <x v="0"/>
  </r>
  <r>
    <n v="10126"/>
    <d v="2022-05-06T00:00:00"/>
    <x v="117"/>
    <x v="0"/>
    <x v="2"/>
    <n v="6"/>
    <n v="572.84"/>
    <n v="0.16"/>
    <x v="2"/>
    <x v="7"/>
    <n v="1.2"/>
    <n v="2887.11"/>
    <n v="2887.1135999999997"/>
    <n v="6"/>
    <x v="4"/>
    <x v="0"/>
  </r>
  <r>
    <n v="10127"/>
    <d v="2022-05-07T00:00:00"/>
    <x v="118"/>
    <x v="1"/>
    <x v="0"/>
    <n v="7"/>
    <n v="506.18"/>
    <n v="0.02"/>
    <x v="0"/>
    <x v="6"/>
    <n v="2.9"/>
    <n v="3472.39"/>
    <n v="3472.3948"/>
    <n v="7"/>
    <x v="4"/>
    <x v="0"/>
  </r>
  <r>
    <n v="10128"/>
    <d v="2022-05-08T00:00:00"/>
    <x v="119"/>
    <x v="3"/>
    <x v="0"/>
    <n v="5"/>
    <n v="264.20999999999998"/>
    <n v="0.3"/>
    <x v="2"/>
    <x v="1"/>
    <n v="2.1"/>
    <n v="924.73"/>
    <n v="924.73500000000001"/>
    <n v="8"/>
    <x v="4"/>
    <x v="0"/>
  </r>
  <r>
    <n v="10129"/>
    <d v="2022-05-09T00:00:00"/>
    <x v="120"/>
    <x v="2"/>
    <x v="1"/>
    <n v="4"/>
    <n v="392.16"/>
    <n v="0.24"/>
    <x v="1"/>
    <x v="0"/>
    <n v="4.9000000000000004"/>
    <n v="1192.17"/>
    <n v="1192.1664000000001"/>
    <n v="9"/>
    <x v="4"/>
    <x v="0"/>
  </r>
  <r>
    <n v="10130"/>
    <d v="2022-05-10T00:00:00"/>
    <x v="121"/>
    <x v="3"/>
    <x v="3"/>
    <n v="5"/>
    <n v="118.59"/>
    <n v="0.3"/>
    <x v="2"/>
    <x v="1"/>
    <n v="2"/>
    <n v="415.06"/>
    <n v="415.06500000000005"/>
    <n v="10"/>
    <x v="4"/>
    <x v="0"/>
  </r>
  <r>
    <n v="10131"/>
    <d v="2022-05-11T00:00:00"/>
    <x v="122"/>
    <x v="3"/>
    <x v="0"/>
    <n v="5"/>
    <n v="342.91"/>
    <n v="0.05"/>
    <x v="2"/>
    <x v="8"/>
    <n v="4.5"/>
    <n v="1628.82"/>
    <n v="1628.8225000000002"/>
    <n v="11"/>
    <x v="4"/>
    <x v="0"/>
  </r>
  <r>
    <n v="10132"/>
    <d v="2022-05-12T00:00:00"/>
    <x v="123"/>
    <x v="1"/>
    <x v="1"/>
    <n v="4"/>
    <n v="589.08000000000004"/>
    <n v="0.01"/>
    <x v="1"/>
    <x v="2"/>
    <n v="2.2999999999999998"/>
    <n v="2332.7600000000002"/>
    <n v="2332.7568000000001"/>
    <n v="12"/>
    <x v="4"/>
    <x v="0"/>
  </r>
  <r>
    <n v="10133"/>
    <d v="2022-05-13T00:00:00"/>
    <x v="124"/>
    <x v="0"/>
    <x v="1"/>
    <n v="6"/>
    <n v="318.20999999999998"/>
    <n v="0.33"/>
    <x v="0"/>
    <x v="2"/>
    <n v="4"/>
    <n v="1279.2"/>
    <n v="1279.2041999999997"/>
    <n v="13"/>
    <x v="4"/>
    <x v="0"/>
  </r>
  <r>
    <n v="10134"/>
    <d v="2022-05-14T00:00:00"/>
    <x v="37"/>
    <x v="2"/>
    <x v="1"/>
    <n v="4"/>
    <n v="557.66999999999996"/>
    <n v="0.05"/>
    <x v="2"/>
    <x v="3"/>
    <n v="3.6"/>
    <n v="2119.15"/>
    <n v="2119.1459999999997"/>
    <n v="14"/>
    <x v="4"/>
    <x v="0"/>
  </r>
  <r>
    <n v="10135"/>
    <d v="2022-05-15T00:00:00"/>
    <x v="125"/>
    <x v="2"/>
    <x v="0"/>
    <n v="2"/>
    <n v="253.29"/>
    <n v="0.28000000000000003"/>
    <x v="1"/>
    <x v="4"/>
    <n v="3.2"/>
    <n v="364.74"/>
    <n v="364.73759999999999"/>
    <n v="15"/>
    <x v="4"/>
    <x v="0"/>
  </r>
  <r>
    <n v="10136"/>
    <d v="2022-05-16T00:00:00"/>
    <x v="126"/>
    <x v="3"/>
    <x v="0"/>
    <n v="3"/>
    <n v="599.32000000000005"/>
    <n v="0.28999999999999998"/>
    <x v="2"/>
    <x v="0"/>
    <n v="2.7"/>
    <n v="1276.55"/>
    <n v="1276.5516"/>
    <n v="16"/>
    <x v="4"/>
    <x v="0"/>
  </r>
  <r>
    <n v="10137"/>
    <d v="2022-05-17T00:00:00"/>
    <x v="23"/>
    <x v="3"/>
    <x v="3"/>
    <n v="1"/>
    <n v="353.84"/>
    <n v="0.25"/>
    <x v="2"/>
    <x v="3"/>
    <n v="3.7"/>
    <n v="265.38"/>
    <n v="265.38"/>
    <n v="17"/>
    <x v="4"/>
    <x v="0"/>
  </r>
  <r>
    <n v="10138"/>
    <d v="2022-05-18T00:00:00"/>
    <x v="127"/>
    <x v="2"/>
    <x v="3"/>
    <n v="4"/>
    <n v="39.729999999999997"/>
    <n v="0.05"/>
    <x v="1"/>
    <x v="4"/>
    <n v="2.6"/>
    <n v="150.97"/>
    <n v="150.97399999999999"/>
    <n v="18"/>
    <x v="4"/>
    <x v="0"/>
  </r>
  <r>
    <n v="10139"/>
    <d v="2022-05-19T00:00:00"/>
    <x v="128"/>
    <x v="2"/>
    <x v="1"/>
    <n v="4"/>
    <n v="358.25"/>
    <n v="0.23"/>
    <x v="1"/>
    <x v="1"/>
    <n v="3.2"/>
    <n v="1103.4100000000001"/>
    <n v="1103.4099999999999"/>
    <n v="19"/>
    <x v="4"/>
    <x v="0"/>
  </r>
  <r>
    <n v="10140"/>
    <d v="2022-05-20T00:00:00"/>
    <x v="129"/>
    <x v="2"/>
    <x v="1"/>
    <n v="5"/>
    <n v="175.63"/>
    <n v="0.31"/>
    <x v="0"/>
    <x v="8"/>
    <n v="3.4"/>
    <n v="605.91999999999996"/>
    <n v="605.92349999999999"/>
    <n v="20"/>
    <x v="4"/>
    <x v="0"/>
  </r>
  <r>
    <n v="10141"/>
    <d v="2022-05-21T00:00:00"/>
    <x v="130"/>
    <x v="2"/>
    <x v="0"/>
    <n v="2"/>
    <n v="34"/>
    <n v="0.15"/>
    <x v="2"/>
    <x v="3"/>
    <n v="2.1"/>
    <n v="57.8"/>
    <n v="57.8"/>
    <n v="21"/>
    <x v="4"/>
    <x v="0"/>
  </r>
  <r>
    <n v="10142"/>
    <d v="2022-05-22T00:00:00"/>
    <x v="131"/>
    <x v="3"/>
    <x v="0"/>
    <n v="7"/>
    <n v="495.2"/>
    <n v="0.14000000000000001"/>
    <x v="1"/>
    <x v="2"/>
    <n v="2.4"/>
    <n v="2981.1"/>
    <n v="2981.1040000000003"/>
    <n v="22"/>
    <x v="4"/>
    <x v="0"/>
  </r>
  <r>
    <n v="10143"/>
    <d v="2022-05-23T00:00:00"/>
    <x v="132"/>
    <x v="1"/>
    <x v="3"/>
    <n v="7"/>
    <n v="176.3"/>
    <n v="0.16"/>
    <x v="1"/>
    <x v="10"/>
    <n v="1.1000000000000001"/>
    <n v="1036.6400000000001"/>
    <n v="1036.6440000000002"/>
    <n v="23"/>
    <x v="4"/>
    <x v="0"/>
  </r>
  <r>
    <n v="10144"/>
    <d v="2022-05-24T00:00:00"/>
    <x v="133"/>
    <x v="2"/>
    <x v="3"/>
    <n v="5"/>
    <n v="480.98"/>
    <n v="0.03"/>
    <x v="2"/>
    <x v="6"/>
    <n v="4.4000000000000004"/>
    <n v="2332.75"/>
    <n v="2332.7530000000002"/>
    <n v="24"/>
    <x v="4"/>
    <x v="0"/>
  </r>
  <r>
    <n v="10145"/>
    <d v="2022-05-25T00:00:00"/>
    <x v="134"/>
    <x v="1"/>
    <x v="2"/>
    <n v="6"/>
    <n v="183.61"/>
    <n v="0.31"/>
    <x v="2"/>
    <x v="7"/>
    <n v="4"/>
    <n v="760.15"/>
    <n v="760.14540000000011"/>
    <n v="25"/>
    <x v="4"/>
    <x v="0"/>
  </r>
  <r>
    <n v="10146"/>
    <d v="2022-05-26T00:00:00"/>
    <x v="135"/>
    <x v="2"/>
    <x v="3"/>
    <n v="4"/>
    <n v="128.68"/>
    <n v="0.3"/>
    <x v="1"/>
    <x v="1"/>
    <n v="1.7"/>
    <n v="360.3"/>
    <n v="360.30400000000003"/>
    <n v="26"/>
    <x v="4"/>
    <x v="0"/>
  </r>
  <r>
    <n v="10147"/>
    <d v="2022-05-27T00:00:00"/>
    <x v="136"/>
    <x v="2"/>
    <x v="0"/>
    <n v="4"/>
    <n v="584.75"/>
    <n v="0.35"/>
    <x v="2"/>
    <x v="5"/>
    <n v="2.4"/>
    <n v="1520.35"/>
    <n v="1520.35"/>
    <n v="27"/>
    <x v="4"/>
    <x v="0"/>
  </r>
  <r>
    <n v="10148"/>
    <d v="2022-05-28T00:00:00"/>
    <x v="137"/>
    <x v="1"/>
    <x v="1"/>
    <n v="5"/>
    <n v="226.56"/>
    <n v="0.2"/>
    <x v="1"/>
    <x v="6"/>
    <n v="2.7"/>
    <n v="906.24"/>
    <n v="906.2399999999999"/>
    <n v="28"/>
    <x v="4"/>
    <x v="0"/>
  </r>
  <r>
    <n v="10149"/>
    <d v="2022-05-29T00:00:00"/>
    <x v="138"/>
    <x v="0"/>
    <x v="2"/>
    <n v="4"/>
    <n v="366.81"/>
    <n v="0.26"/>
    <x v="1"/>
    <x v="8"/>
    <n v="2.2999999999999998"/>
    <n v="1085.76"/>
    <n v="1085.7575999999999"/>
    <n v="29"/>
    <x v="4"/>
    <x v="0"/>
  </r>
  <r>
    <n v="10150"/>
    <d v="2022-05-30T00:00:00"/>
    <x v="139"/>
    <x v="3"/>
    <x v="3"/>
    <n v="6"/>
    <n v="371.84"/>
    <n v="7.0000000000000007E-2"/>
    <x v="2"/>
    <x v="4"/>
    <n v="4.2"/>
    <n v="2074.87"/>
    <n v="2074.8672000000001"/>
    <n v="30"/>
    <x v="4"/>
    <x v="0"/>
  </r>
  <r>
    <n v="10151"/>
    <d v="2022-05-31T00:00:00"/>
    <x v="140"/>
    <x v="2"/>
    <x v="3"/>
    <n v="3"/>
    <n v="342.88"/>
    <n v="0.23"/>
    <x v="1"/>
    <x v="1"/>
    <n v="3.9"/>
    <n v="792.05"/>
    <n v="792.05279999999982"/>
    <n v="31"/>
    <x v="4"/>
    <x v="0"/>
  </r>
  <r>
    <n v="10152"/>
    <d v="2022-06-01T00:00:00"/>
    <x v="141"/>
    <x v="0"/>
    <x v="0"/>
    <n v="1"/>
    <n v="550.1"/>
    <n v="0.23"/>
    <x v="0"/>
    <x v="7"/>
    <n v="4.0999999999999996"/>
    <n v="423.58"/>
    <n v="423.577"/>
    <n v="1"/>
    <x v="5"/>
    <x v="0"/>
  </r>
  <r>
    <n v="10153"/>
    <d v="2022-06-02T00:00:00"/>
    <x v="120"/>
    <x v="3"/>
    <x v="2"/>
    <n v="1"/>
    <n v="409.55"/>
    <n v="0.32"/>
    <x v="1"/>
    <x v="9"/>
    <n v="4.5999999999999996"/>
    <n v="278.49"/>
    <n v="278.49400000000003"/>
    <n v="2"/>
    <x v="5"/>
    <x v="0"/>
  </r>
  <r>
    <n v="10154"/>
    <d v="2022-06-03T00:00:00"/>
    <x v="142"/>
    <x v="3"/>
    <x v="3"/>
    <n v="1"/>
    <n v="251.18"/>
    <n v="0.28999999999999998"/>
    <x v="2"/>
    <x v="6"/>
    <n v="3.4"/>
    <n v="178.34"/>
    <n v="178.33780000000002"/>
    <n v="3"/>
    <x v="5"/>
    <x v="0"/>
  </r>
  <r>
    <n v="10155"/>
    <d v="2022-06-04T00:00:00"/>
    <x v="143"/>
    <x v="1"/>
    <x v="1"/>
    <n v="3"/>
    <n v="519.49"/>
    <n v="0.33"/>
    <x v="1"/>
    <x v="10"/>
    <n v="3.5"/>
    <n v="1044.17"/>
    <n v="1044.1749"/>
    <n v="4"/>
    <x v="5"/>
    <x v="0"/>
  </r>
  <r>
    <n v="10156"/>
    <d v="2022-06-05T00:00:00"/>
    <x v="144"/>
    <x v="1"/>
    <x v="0"/>
    <n v="4"/>
    <n v="120.92"/>
    <n v="0.3"/>
    <x v="1"/>
    <x v="0"/>
    <n v="3.9"/>
    <n v="338.58"/>
    <n v="338.57600000000002"/>
    <n v="5"/>
    <x v="5"/>
    <x v="0"/>
  </r>
  <r>
    <n v="10157"/>
    <d v="2022-06-06T00:00:00"/>
    <x v="145"/>
    <x v="2"/>
    <x v="2"/>
    <n v="5"/>
    <n v="333.38"/>
    <n v="0.3"/>
    <x v="2"/>
    <x v="7"/>
    <n v="3.7"/>
    <n v="1166.83"/>
    <n v="1166.8300000000002"/>
    <n v="6"/>
    <x v="5"/>
    <x v="0"/>
  </r>
  <r>
    <n v="10158"/>
    <d v="2022-06-07T00:00:00"/>
    <x v="146"/>
    <x v="2"/>
    <x v="3"/>
    <n v="7"/>
    <n v="571.07000000000005"/>
    <n v="0.02"/>
    <x v="2"/>
    <x v="0"/>
    <n v="4.5"/>
    <n v="3917.54"/>
    <n v="3917.5402000000004"/>
    <n v="7"/>
    <x v="5"/>
    <x v="0"/>
  </r>
  <r>
    <n v="10159"/>
    <d v="2022-06-08T00:00:00"/>
    <x v="147"/>
    <x v="2"/>
    <x v="3"/>
    <n v="2"/>
    <n v="380.86"/>
    <n v="0.3"/>
    <x v="2"/>
    <x v="9"/>
    <n v="4.0999999999999996"/>
    <n v="533.20000000000005"/>
    <n v="533.20400000000006"/>
    <n v="8"/>
    <x v="5"/>
    <x v="0"/>
  </r>
  <r>
    <n v="10160"/>
    <d v="2022-06-09T00:00:00"/>
    <x v="148"/>
    <x v="2"/>
    <x v="2"/>
    <n v="4"/>
    <n v="492.93"/>
    <n v="0.21"/>
    <x v="2"/>
    <x v="5"/>
    <n v="1.5"/>
    <n v="1557.66"/>
    <n v="1557.6588000000002"/>
    <n v="9"/>
    <x v="5"/>
    <x v="0"/>
  </r>
  <r>
    <n v="10161"/>
    <d v="2022-06-10T00:00:00"/>
    <x v="149"/>
    <x v="1"/>
    <x v="0"/>
    <n v="3"/>
    <n v="397.33"/>
    <n v="0.13"/>
    <x v="2"/>
    <x v="6"/>
    <n v="4.7"/>
    <n v="1037.03"/>
    <n v="1037.0313000000001"/>
    <n v="10"/>
    <x v="5"/>
    <x v="0"/>
  </r>
  <r>
    <n v="10162"/>
    <d v="2022-06-11T00:00:00"/>
    <x v="150"/>
    <x v="3"/>
    <x v="2"/>
    <n v="6"/>
    <n v="506.03"/>
    <n v="0.02"/>
    <x v="2"/>
    <x v="9"/>
    <n v="3.7"/>
    <n v="2975.46"/>
    <n v="2975.4564"/>
    <n v="11"/>
    <x v="5"/>
    <x v="0"/>
  </r>
  <r>
    <n v="10163"/>
    <d v="2022-06-12T00:00:00"/>
    <x v="151"/>
    <x v="1"/>
    <x v="2"/>
    <n v="3"/>
    <n v="567.53"/>
    <n v="0.24"/>
    <x v="2"/>
    <x v="5"/>
    <n v="1.5"/>
    <n v="1293.97"/>
    <n v="1293.9684"/>
    <n v="12"/>
    <x v="5"/>
    <x v="0"/>
  </r>
  <r>
    <n v="10164"/>
    <d v="2022-06-13T00:00:00"/>
    <x v="152"/>
    <x v="2"/>
    <x v="0"/>
    <n v="7"/>
    <n v="174.66"/>
    <n v="0.11"/>
    <x v="2"/>
    <x v="7"/>
    <n v="4.0999999999999996"/>
    <n v="1088.1300000000001"/>
    <n v="1088.1317999999999"/>
    <n v="13"/>
    <x v="5"/>
    <x v="0"/>
  </r>
  <r>
    <n v="10165"/>
    <d v="2022-06-14T00:00:00"/>
    <x v="153"/>
    <x v="0"/>
    <x v="3"/>
    <n v="1"/>
    <n v="114.25"/>
    <n v="0.16"/>
    <x v="2"/>
    <x v="0"/>
    <n v="2.4"/>
    <n v="95.97"/>
    <n v="95.97"/>
    <n v="14"/>
    <x v="5"/>
    <x v="0"/>
  </r>
  <r>
    <n v="10166"/>
    <d v="2022-06-15T00:00:00"/>
    <x v="154"/>
    <x v="0"/>
    <x v="1"/>
    <n v="4"/>
    <n v="298.13"/>
    <n v="0.24"/>
    <x v="0"/>
    <x v="1"/>
    <n v="4.2"/>
    <n v="906.32"/>
    <n v="906.3152"/>
    <n v="15"/>
    <x v="5"/>
    <x v="0"/>
  </r>
  <r>
    <n v="10167"/>
    <d v="2022-06-16T00:00:00"/>
    <x v="155"/>
    <x v="3"/>
    <x v="0"/>
    <n v="7"/>
    <n v="425.59"/>
    <n v="0.32"/>
    <x v="1"/>
    <x v="9"/>
    <n v="4.8"/>
    <n v="2025.81"/>
    <n v="2025.8083999999999"/>
    <n v="16"/>
    <x v="5"/>
    <x v="0"/>
  </r>
  <r>
    <n v="10168"/>
    <d v="2022-06-17T00:00:00"/>
    <x v="156"/>
    <x v="0"/>
    <x v="1"/>
    <n v="1"/>
    <n v="147.91"/>
    <n v="0.28999999999999998"/>
    <x v="2"/>
    <x v="3"/>
    <n v="2"/>
    <n v="105.02"/>
    <n v="105.01609999999999"/>
    <n v="17"/>
    <x v="5"/>
    <x v="0"/>
  </r>
  <r>
    <n v="10169"/>
    <d v="2022-06-18T00:00:00"/>
    <x v="17"/>
    <x v="1"/>
    <x v="3"/>
    <n v="2"/>
    <n v="17.399999999999999"/>
    <n v="0.16"/>
    <x v="1"/>
    <x v="8"/>
    <n v="4.4000000000000004"/>
    <n v="29.23"/>
    <n v="29.231999999999999"/>
    <n v="18"/>
    <x v="5"/>
    <x v="0"/>
  </r>
  <r>
    <n v="10170"/>
    <d v="2022-06-19T00:00:00"/>
    <x v="157"/>
    <x v="0"/>
    <x v="2"/>
    <n v="6"/>
    <n v="215.62"/>
    <n v="0.14000000000000001"/>
    <x v="1"/>
    <x v="10"/>
    <n v="4.0999999999999996"/>
    <n v="1112.5999999999999"/>
    <n v="1112.5992000000001"/>
    <n v="19"/>
    <x v="5"/>
    <x v="0"/>
  </r>
  <r>
    <n v="10171"/>
    <d v="2022-06-20T00:00:00"/>
    <x v="158"/>
    <x v="2"/>
    <x v="1"/>
    <n v="1"/>
    <n v="581.78"/>
    <n v="0.08"/>
    <x v="1"/>
    <x v="6"/>
    <n v="3.7"/>
    <n v="535.24"/>
    <n v="535.23759999999993"/>
    <n v="20"/>
    <x v="5"/>
    <x v="0"/>
  </r>
  <r>
    <n v="10172"/>
    <d v="2022-06-21T00:00:00"/>
    <x v="159"/>
    <x v="1"/>
    <x v="3"/>
    <n v="2"/>
    <n v="421.56"/>
    <n v="0.13"/>
    <x v="0"/>
    <x v="3"/>
    <n v="2.5"/>
    <n v="733.51"/>
    <n v="733.51440000000002"/>
    <n v="21"/>
    <x v="5"/>
    <x v="0"/>
  </r>
  <r>
    <n v="10173"/>
    <d v="2022-06-22T00:00:00"/>
    <x v="160"/>
    <x v="2"/>
    <x v="3"/>
    <n v="3"/>
    <n v="249.78"/>
    <n v="0.04"/>
    <x v="2"/>
    <x v="8"/>
    <n v="1.4"/>
    <n v="719.37"/>
    <n v="719.3664"/>
    <n v="22"/>
    <x v="5"/>
    <x v="0"/>
  </r>
  <r>
    <n v="10174"/>
    <d v="2022-06-23T00:00:00"/>
    <x v="161"/>
    <x v="2"/>
    <x v="2"/>
    <n v="1"/>
    <n v="127.66"/>
    <n v="0.34"/>
    <x v="2"/>
    <x v="5"/>
    <n v="2.9"/>
    <n v="84.26"/>
    <n v="84.255599999999987"/>
    <n v="23"/>
    <x v="5"/>
    <x v="0"/>
  </r>
  <r>
    <n v="10175"/>
    <d v="2022-06-24T00:00:00"/>
    <x v="162"/>
    <x v="2"/>
    <x v="2"/>
    <n v="1"/>
    <n v="223.31"/>
    <n v="0.2"/>
    <x v="1"/>
    <x v="8"/>
    <n v="1.4"/>
    <n v="178.65"/>
    <n v="178.648"/>
    <n v="24"/>
    <x v="5"/>
    <x v="0"/>
  </r>
  <r>
    <n v="10176"/>
    <d v="2022-06-25T00:00:00"/>
    <x v="78"/>
    <x v="1"/>
    <x v="3"/>
    <n v="5"/>
    <n v="114.36"/>
    <n v="0.04"/>
    <x v="2"/>
    <x v="5"/>
    <n v="3"/>
    <n v="548.92999999999995"/>
    <n v="548.928"/>
    <n v="25"/>
    <x v="5"/>
    <x v="0"/>
  </r>
  <r>
    <n v="10177"/>
    <d v="2022-06-26T00:00:00"/>
    <x v="102"/>
    <x v="3"/>
    <x v="3"/>
    <n v="6"/>
    <n v="77.19"/>
    <n v="0.12"/>
    <x v="0"/>
    <x v="6"/>
    <n v="4.3"/>
    <n v="407.56"/>
    <n v="407.56319999999999"/>
    <n v="26"/>
    <x v="5"/>
    <x v="0"/>
  </r>
  <r>
    <n v="10178"/>
    <d v="2022-06-27T00:00:00"/>
    <x v="163"/>
    <x v="1"/>
    <x v="1"/>
    <n v="6"/>
    <n v="545.44000000000005"/>
    <n v="0.19"/>
    <x v="1"/>
    <x v="5"/>
    <n v="5"/>
    <n v="2650.84"/>
    <n v="2650.8384000000001"/>
    <n v="27"/>
    <x v="5"/>
    <x v="0"/>
  </r>
  <r>
    <n v="10179"/>
    <d v="2022-06-28T00:00:00"/>
    <x v="164"/>
    <x v="2"/>
    <x v="3"/>
    <n v="7"/>
    <n v="598.63"/>
    <n v="0.19"/>
    <x v="1"/>
    <x v="6"/>
    <n v="1.8"/>
    <n v="3394.23"/>
    <n v="3394.2320999999997"/>
    <n v="28"/>
    <x v="5"/>
    <x v="0"/>
  </r>
  <r>
    <n v="10180"/>
    <d v="2022-06-29T00:00:00"/>
    <x v="165"/>
    <x v="3"/>
    <x v="3"/>
    <n v="3"/>
    <n v="111.01"/>
    <n v="0.01"/>
    <x v="1"/>
    <x v="4"/>
    <n v="1.8"/>
    <n v="329.7"/>
    <n v="329.69970000000001"/>
    <n v="29"/>
    <x v="5"/>
    <x v="0"/>
  </r>
  <r>
    <n v="10181"/>
    <d v="2022-06-30T00:00:00"/>
    <x v="166"/>
    <x v="1"/>
    <x v="1"/>
    <n v="5"/>
    <n v="46.9"/>
    <n v="0.33"/>
    <x v="2"/>
    <x v="1"/>
    <n v="4.2"/>
    <n v="157.11000000000001"/>
    <n v="157.11500000000001"/>
    <n v="30"/>
    <x v="5"/>
    <x v="0"/>
  </r>
  <r>
    <n v="10182"/>
    <d v="2022-07-01T00:00:00"/>
    <x v="150"/>
    <x v="1"/>
    <x v="0"/>
    <n v="7"/>
    <n v="207.89"/>
    <n v="0.1"/>
    <x v="2"/>
    <x v="0"/>
    <n v="2.9"/>
    <n v="1309.71"/>
    <n v="1309.7069999999999"/>
    <n v="1"/>
    <x v="6"/>
    <x v="0"/>
  </r>
  <r>
    <n v="10183"/>
    <d v="2022-07-02T00:00:00"/>
    <x v="167"/>
    <x v="3"/>
    <x v="1"/>
    <n v="2"/>
    <n v="285.07"/>
    <n v="0.01"/>
    <x v="2"/>
    <x v="6"/>
    <n v="4.7"/>
    <n v="564.44000000000005"/>
    <n v="564.43859999999995"/>
    <n v="2"/>
    <x v="6"/>
    <x v="0"/>
  </r>
  <r>
    <n v="10184"/>
    <d v="2022-07-03T00:00:00"/>
    <x v="168"/>
    <x v="2"/>
    <x v="1"/>
    <n v="7"/>
    <n v="134.82"/>
    <n v="0.03"/>
    <x v="2"/>
    <x v="2"/>
    <n v="4.0999999999999996"/>
    <n v="915.43"/>
    <n v="915.42780000000005"/>
    <n v="3"/>
    <x v="6"/>
    <x v="0"/>
  </r>
  <r>
    <n v="10185"/>
    <d v="2022-07-04T00:00:00"/>
    <x v="169"/>
    <x v="2"/>
    <x v="2"/>
    <n v="2"/>
    <n v="191.33"/>
    <n v="0.2"/>
    <x v="1"/>
    <x v="7"/>
    <n v="3.9"/>
    <n v="306.13"/>
    <n v="306.12800000000004"/>
    <n v="4"/>
    <x v="6"/>
    <x v="0"/>
  </r>
  <r>
    <n v="10186"/>
    <d v="2022-07-05T00:00:00"/>
    <x v="170"/>
    <x v="0"/>
    <x v="1"/>
    <n v="3"/>
    <n v="132.51"/>
    <n v="0.05"/>
    <x v="2"/>
    <x v="7"/>
    <n v="1.4"/>
    <n v="377.65"/>
    <n v="377.65349999999995"/>
    <n v="5"/>
    <x v="6"/>
    <x v="0"/>
  </r>
  <r>
    <n v="10187"/>
    <d v="2022-07-06T00:00:00"/>
    <x v="171"/>
    <x v="2"/>
    <x v="3"/>
    <n v="6"/>
    <n v="467.94"/>
    <n v="0.01"/>
    <x v="1"/>
    <x v="4"/>
    <n v="1.1000000000000001"/>
    <n v="2779.56"/>
    <n v="2779.5636"/>
    <n v="6"/>
    <x v="6"/>
    <x v="0"/>
  </r>
  <r>
    <n v="10188"/>
    <d v="2022-07-07T00:00:00"/>
    <x v="172"/>
    <x v="1"/>
    <x v="3"/>
    <n v="2"/>
    <n v="431.86"/>
    <n v="0.13"/>
    <x v="1"/>
    <x v="1"/>
    <n v="2.2999999999999998"/>
    <n v="751.44"/>
    <n v="751.43640000000005"/>
    <n v="7"/>
    <x v="6"/>
    <x v="0"/>
  </r>
  <r>
    <n v="10189"/>
    <d v="2022-07-08T00:00:00"/>
    <x v="122"/>
    <x v="0"/>
    <x v="3"/>
    <n v="3"/>
    <n v="386.45"/>
    <n v="0.22"/>
    <x v="2"/>
    <x v="2"/>
    <n v="1.9"/>
    <n v="904.29"/>
    <n v="904.29299999999989"/>
    <n v="8"/>
    <x v="6"/>
    <x v="0"/>
  </r>
  <r>
    <n v="10190"/>
    <d v="2022-07-09T00:00:00"/>
    <x v="173"/>
    <x v="3"/>
    <x v="0"/>
    <n v="7"/>
    <n v="241.52"/>
    <n v="0.04"/>
    <x v="0"/>
    <x v="3"/>
    <n v="3.8"/>
    <n v="1623.01"/>
    <n v="1623.0144"/>
    <n v="9"/>
    <x v="6"/>
    <x v="0"/>
  </r>
  <r>
    <n v="10191"/>
    <d v="2022-07-10T00:00:00"/>
    <x v="174"/>
    <x v="2"/>
    <x v="3"/>
    <n v="2"/>
    <n v="546.79"/>
    <n v="0.11"/>
    <x v="2"/>
    <x v="2"/>
    <n v="2.8"/>
    <n v="973.29"/>
    <n v="973.28619999999989"/>
    <n v="10"/>
    <x v="6"/>
    <x v="0"/>
  </r>
  <r>
    <n v="10192"/>
    <d v="2022-07-11T00:00:00"/>
    <x v="175"/>
    <x v="2"/>
    <x v="0"/>
    <n v="4"/>
    <n v="582.17999999999995"/>
    <n v="0.15"/>
    <x v="2"/>
    <x v="1"/>
    <n v="3.1"/>
    <n v="1979.41"/>
    <n v="1979.4119999999998"/>
    <n v="11"/>
    <x v="6"/>
    <x v="0"/>
  </r>
  <r>
    <n v="10193"/>
    <d v="2022-07-12T00:00:00"/>
    <x v="176"/>
    <x v="2"/>
    <x v="3"/>
    <n v="1"/>
    <n v="116.58"/>
    <n v="0.06"/>
    <x v="1"/>
    <x v="10"/>
    <n v="4.3"/>
    <n v="109.59"/>
    <n v="109.5852"/>
    <n v="12"/>
    <x v="6"/>
    <x v="0"/>
  </r>
  <r>
    <n v="10194"/>
    <d v="2022-07-13T00:00:00"/>
    <x v="177"/>
    <x v="1"/>
    <x v="1"/>
    <n v="7"/>
    <n v="145.46"/>
    <n v="0.18"/>
    <x v="1"/>
    <x v="5"/>
    <n v="2.9"/>
    <n v="834.94"/>
    <n v="834.94039999999995"/>
    <n v="13"/>
    <x v="6"/>
    <x v="0"/>
  </r>
  <r>
    <n v="10195"/>
    <d v="2022-07-14T00:00:00"/>
    <x v="178"/>
    <x v="1"/>
    <x v="2"/>
    <n v="6"/>
    <n v="322.49"/>
    <n v="0.03"/>
    <x v="1"/>
    <x v="5"/>
    <n v="3.2"/>
    <n v="1876.89"/>
    <n v="1876.8918000000001"/>
    <n v="14"/>
    <x v="6"/>
    <x v="0"/>
  </r>
  <r>
    <n v="10196"/>
    <d v="2022-07-15T00:00:00"/>
    <x v="179"/>
    <x v="2"/>
    <x v="3"/>
    <n v="7"/>
    <n v="68.38"/>
    <n v="0.02"/>
    <x v="0"/>
    <x v="3"/>
    <n v="4.4000000000000004"/>
    <n v="469.09"/>
    <n v="469.08679999999998"/>
    <n v="15"/>
    <x v="6"/>
    <x v="0"/>
  </r>
  <r>
    <n v="10197"/>
    <d v="2022-07-16T00:00:00"/>
    <x v="180"/>
    <x v="0"/>
    <x v="0"/>
    <n v="4"/>
    <n v="270.32"/>
    <n v="0.18"/>
    <x v="0"/>
    <x v="7"/>
    <n v="2.7"/>
    <n v="886.65"/>
    <n v="886.64959999999996"/>
    <n v="16"/>
    <x v="6"/>
    <x v="0"/>
  </r>
  <r>
    <n v="10198"/>
    <d v="2022-07-17T00:00:00"/>
    <x v="181"/>
    <x v="1"/>
    <x v="0"/>
    <n v="3"/>
    <n v="355.35"/>
    <n v="0.09"/>
    <x v="0"/>
    <x v="1"/>
    <n v="1.3"/>
    <n v="970.11"/>
    <n v="970.10550000000012"/>
    <n v="17"/>
    <x v="6"/>
    <x v="0"/>
  </r>
  <r>
    <n v="10199"/>
    <d v="2022-07-18T00:00:00"/>
    <x v="182"/>
    <x v="2"/>
    <x v="2"/>
    <n v="3"/>
    <n v="320.41000000000003"/>
    <n v="0.03"/>
    <x v="1"/>
    <x v="4"/>
    <n v="3.1"/>
    <n v="932.39"/>
    <n v="932.3931"/>
    <n v="18"/>
    <x v="6"/>
    <x v="0"/>
  </r>
  <r>
    <n v="10200"/>
    <d v="2022-07-19T00:00:00"/>
    <x v="183"/>
    <x v="1"/>
    <x v="3"/>
    <n v="7"/>
    <n v="208.58"/>
    <n v="0.15"/>
    <x v="2"/>
    <x v="7"/>
    <n v="3.3"/>
    <n v="1241.05"/>
    <n v="1241.0510000000002"/>
    <n v="19"/>
    <x v="6"/>
    <x v="0"/>
  </r>
  <r>
    <n v="10201"/>
    <d v="2022-07-20T00:00:00"/>
    <x v="184"/>
    <x v="3"/>
    <x v="1"/>
    <n v="4"/>
    <n v="332.33"/>
    <n v="0.32"/>
    <x v="2"/>
    <x v="6"/>
    <n v="3"/>
    <n v="903.94"/>
    <n v="903.93759999999997"/>
    <n v="20"/>
    <x v="6"/>
    <x v="0"/>
  </r>
  <r>
    <n v="10202"/>
    <d v="2022-07-21T00:00:00"/>
    <x v="185"/>
    <x v="2"/>
    <x v="3"/>
    <n v="7"/>
    <n v="575.9"/>
    <n v="0.25"/>
    <x v="2"/>
    <x v="8"/>
    <n v="2"/>
    <n v="3023.48"/>
    <n v="3023.4749999999999"/>
    <n v="21"/>
    <x v="6"/>
    <x v="0"/>
  </r>
  <r>
    <n v="10203"/>
    <d v="2022-07-22T00:00:00"/>
    <x v="56"/>
    <x v="2"/>
    <x v="3"/>
    <n v="1"/>
    <n v="135.52000000000001"/>
    <n v="0.28999999999999998"/>
    <x v="2"/>
    <x v="6"/>
    <n v="1.9"/>
    <n v="96.22"/>
    <n v="96.219200000000001"/>
    <n v="22"/>
    <x v="6"/>
    <x v="0"/>
  </r>
  <r>
    <n v="10204"/>
    <d v="2022-07-23T00:00:00"/>
    <x v="151"/>
    <x v="3"/>
    <x v="2"/>
    <n v="1"/>
    <n v="398.08"/>
    <n v="0.31"/>
    <x v="2"/>
    <x v="7"/>
    <n v="2.5"/>
    <n v="274.68"/>
    <n v="274.67520000000002"/>
    <n v="23"/>
    <x v="6"/>
    <x v="0"/>
  </r>
  <r>
    <n v="10205"/>
    <d v="2022-07-24T00:00:00"/>
    <x v="141"/>
    <x v="1"/>
    <x v="3"/>
    <n v="5"/>
    <n v="40.39"/>
    <n v="0.34"/>
    <x v="1"/>
    <x v="3"/>
    <n v="1.7"/>
    <n v="133.29"/>
    <n v="133.28699999999998"/>
    <n v="24"/>
    <x v="6"/>
    <x v="0"/>
  </r>
  <r>
    <n v="10206"/>
    <d v="2022-07-25T00:00:00"/>
    <x v="109"/>
    <x v="1"/>
    <x v="1"/>
    <n v="2"/>
    <n v="53.85"/>
    <n v="0.27"/>
    <x v="1"/>
    <x v="1"/>
    <n v="3.7"/>
    <n v="78.62"/>
    <n v="78.620999999999995"/>
    <n v="25"/>
    <x v="6"/>
    <x v="0"/>
  </r>
  <r>
    <n v="10207"/>
    <d v="2022-07-26T00:00:00"/>
    <x v="186"/>
    <x v="1"/>
    <x v="0"/>
    <n v="5"/>
    <n v="337.82"/>
    <n v="0.21"/>
    <x v="1"/>
    <x v="2"/>
    <n v="3.5"/>
    <n v="1334.39"/>
    <n v="1334.3889999999999"/>
    <n v="26"/>
    <x v="6"/>
    <x v="0"/>
  </r>
  <r>
    <n v="10208"/>
    <d v="2022-07-27T00:00:00"/>
    <x v="187"/>
    <x v="2"/>
    <x v="2"/>
    <n v="1"/>
    <n v="76.39"/>
    <n v="0.13"/>
    <x v="1"/>
    <x v="10"/>
    <n v="3.5"/>
    <n v="66.459999999999994"/>
    <n v="66.459299999999999"/>
    <n v="27"/>
    <x v="6"/>
    <x v="0"/>
  </r>
  <r>
    <n v="10209"/>
    <d v="2022-07-28T00:00:00"/>
    <x v="188"/>
    <x v="2"/>
    <x v="1"/>
    <n v="4"/>
    <n v="28.07"/>
    <n v="0.06"/>
    <x v="1"/>
    <x v="3"/>
    <n v="1.9"/>
    <n v="105.54"/>
    <n v="105.5432"/>
    <n v="28"/>
    <x v="6"/>
    <x v="0"/>
  </r>
  <r>
    <n v="10210"/>
    <d v="2022-07-29T00:00:00"/>
    <x v="189"/>
    <x v="1"/>
    <x v="0"/>
    <n v="2"/>
    <n v="115.34"/>
    <n v="0.24"/>
    <x v="1"/>
    <x v="10"/>
    <n v="2"/>
    <n v="175.32"/>
    <n v="175.3168"/>
    <n v="29"/>
    <x v="6"/>
    <x v="0"/>
  </r>
  <r>
    <n v="10211"/>
    <d v="2022-07-30T00:00:00"/>
    <x v="190"/>
    <x v="2"/>
    <x v="2"/>
    <n v="4"/>
    <n v="345.44"/>
    <n v="0.35"/>
    <x v="1"/>
    <x v="1"/>
    <n v="4.0999999999999996"/>
    <n v="898.14"/>
    <n v="898.14400000000001"/>
    <n v="30"/>
    <x v="6"/>
    <x v="0"/>
  </r>
  <r>
    <n v="10212"/>
    <d v="2022-07-31T00:00:00"/>
    <x v="191"/>
    <x v="2"/>
    <x v="2"/>
    <n v="5"/>
    <n v="426.45"/>
    <n v="0.16"/>
    <x v="2"/>
    <x v="8"/>
    <n v="3.8"/>
    <n v="1791.09"/>
    <n v="1791.0900000000001"/>
    <n v="31"/>
    <x v="6"/>
    <x v="0"/>
  </r>
  <r>
    <n v="10213"/>
    <d v="2022-08-01T00:00:00"/>
    <x v="125"/>
    <x v="3"/>
    <x v="0"/>
    <n v="3"/>
    <n v="133.44999999999999"/>
    <n v="0.25"/>
    <x v="0"/>
    <x v="1"/>
    <n v="4.5"/>
    <n v="300.26"/>
    <n v="300.26249999999999"/>
    <n v="1"/>
    <x v="7"/>
    <x v="0"/>
  </r>
  <r>
    <n v="10214"/>
    <d v="2022-08-02T00:00:00"/>
    <x v="192"/>
    <x v="0"/>
    <x v="0"/>
    <n v="4"/>
    <n v="405.93"/>
    <n v="0.17"/>
    <x v="0"/>
    <x v="9"/>
    <n v="2.6"/>
    <n v="1347.69"/>
    <n v="1347.6876"/>
    <n v="2"/>
    <x v="7"/>
    <x v="0"/>
  </r>
  <r>
    <n v="10215"/>
    <d v="2022-08-03T00:00:00"/>
    <x v="193"/>
    <x v="3"/>
    <x v="1"/>
    <n v="5"/>
    <n v="121.75"/>
    <n v="0.15"/>
    <x v="1"/>
    <x v="0"/>
    <n v="3.2"/>
    <n v="517.44000000000005"/>
    <n v="517.4375"/>
    <n v="3"/>
    <x v="7"/>
    <x v="0"/>
  </r>
  <r>
    <n v="10216"/>
    <d v="2022-08-04T00:00:00"/>
    <x v="194"/>
    <x v="0"/>
    <x v="3"/>
    <n v="5"/>
    <n v="373.87"/>
    <n v="0.14000000000000001"/>
    <x v="1"/>
    <x v="0"/>
    <n v="4"/>
    <n v="1607.64"/>
    <n v="1607.6409999999998"/>
    <n v="4"/>
    <x v="7"/>
    <x v="0"/>
  </r>
  <r>
    <n v="10217"/>
    <d v="2022-08-05T00:00:00"/>
    <x v="195"/>
    <x v="2"/>
    <x v="3"/>
    <n v="5"/>
    <n v="256"/>
    <n v="0.18"/>
    <x v="1"/>
    <x v="0"/>
    <n v="4.9000000000000004"/>
    <n v="1049.5999999999999"/>
    <n v="1049.5999999999999"/>
    <n v="5"/>
    <x v="7"/>
    <x v="0"/>
  </r>
  <r>
    <n v="10218"/>
    <d v="2022-08-06T00:00:00"/>
    <x v="196"/>
    <x v="0"/>
    <x v="3"/>
    <n v="3"/>
    <n v="397.47"/>
    <n v="0.13"/>
    <x v="0"/>
    <x v="0"/>
    <n v="5"/>
    <n v="1037.4000000000001"/>
    <n v="1037.3967"/>
    <n v="6"/>
    <x v="7"/>
    <x v="0"/>
  </r>
  <r>
    <n v="10219"/>
    <d v="2022-08-07T00:00:00"/>
    <x v="42"/>
    <x v="2"/>
    <x v="3"/>
    <n v="3"/>
    <n v="597.11"/>
    <n v="0.26"/>
    <x v="2"/>
    <x v="2"/>
    <n v="5"/>
    <n v="1325.58"/>
    <n v="1325.5841999999998"/>
    <n v="7"/>
    <x v="7"/>
    <x v="0"/>
  </r>
  <r>
    <n v="10220"/>
    <d v="2022-08-08T00:00:00"/>
    <x v="197"/>
    <x v="0"/>
    <x v="3"/>
    <n v="7"/>
    <n v="563.62"/>
    <n v="0.31"/>
    <x v="1"/>
    <x v="5"/>
    <n v="4.5999999999999996"/>
    <n v="2722.28"/>
    <n v="2722.2846"/>
    <n v="8"/>
    <x v="7"/>
    <x v="0"/>
  </r>
  <r>
    <n v="10221"/>
    <d v="2022-08-09T00:00:00"/>
    <x v="152"/>
    <x v="0"/>
    <x v="1"/>
    <n v="3"/>
    <n v="17.5"/>
    <n v="0.31"/>
    <x v="0"/>
    <x v="9"/>
    <n v="3.6"/>
    <n v="36.22"/>
    <n v="36.225000000000001"/>
    <n v="9"/>
    <x v="7"/>
    <x v="0"/>
  </r>
  <r>
    <n v="10222"/>
    <d v="2022-08-10T00:00:00"/>
    <x v="198"/>
    <x v="3"/>
    <x v="2"/>
    <n v="2"/>
    <n v="532.98"/>
    <n v="0.08"/>
    <x v="1"/>
    <x v="7"/>
    <n v="1"/>
    <n v="980.68"/>
    <n v="980.68320000000006"/>
    <n v="10"/>
    <x v="7"/>
    <x v="0"/>
  </r>
  <r>
    <n v="10223"/>
    <d v="2022-08-11T00:00:00"/>
    <x v="199"/>
    <x v="0"/>
    <x v="1"/>
    <n v="3"/>
    <n v="53.9"/>
    <n v="0.31"/>
    <x v="0"/>
    <x v="3"/>
    <n v="3.8"/>
    <n v="111.57"/>
    <n v="111.57299999999999"/>
    <n v="11"/>
    <x v="7"/>
    <x v="0"/>
  </r>
  <r>
    <n v="10224"/>
    <d v="2022-08-12T00:00:00"/>
    <x v="195"/>
    <x v="1"/>
    <x v="1"/>
    <n v="3"/>
    <n v="572.53"/>
    <n v="0.12"/>
    <x v="1"/>
    <x v="7"/>
    <n v="2"/>
    <n v="1511.48"/>
    <n v="1511.4792"/>
    <n v="12"/>
    <x v="7"/>
    <x v="0"/>
  </r>
  <r>
    <n v="10225"/>
    <d v="2022-08-13T00:00:00"/>
    <x v="142"/>
    <x v="2"/>
    <x v="1"/>
    <n v="3"/>
    <n v="179.87"/>
    <n v="0.11"/>
    <x v="1"/>
    <x v="6"/>
    <n v="1.2"/>
    <n v="480.25"/>
    <n v="480.25290000000001"/>
    <n v="13"/>
    <x v="7"/>
    <x v="0"/>
  </r>
  <r>
    <n v="10226"/>
    <d v="2022-08-14T00:00:00"/>
    <x v="200"/>
    <x v="1"/>
    <x v="2"/>
    <n v="4"/>
    <n v="238.49"/>
    <n v="0.25"/>
    <x v="2"/>
    <x v="2"/>
    <n v="3.8"/>
    <n v="715.47"/>
    <n v="715.47"/>
    <n v="14"/>
    <x v="7"/>
    <x v="0"/>
  </r>
  <r>
    <n v="10227"/>
    <d v="2022-08-15T00:00:00"/>
    <x v="94"/>
    <x v="1"/>
    <x v="1"/>
    <n v="3"/>
    <n v="68.61"/>
    <n v="0.11"/>
    <x v="0"/>
    <x v="4"/>
    <n v="4"/>
    <n v="183.19"/>
    <n v="183.18869999999998"/>
    <n v="15"/>
    <x v="7"/>
    <x v="0"/>
  </r>
  <r>
    <n v="10228"/>
    <d v="2022-08-16T00:00:00"/>
    <x v="71"/>
    <x v="2"/>
    <x v="1"/>
    <n v="2"/>
    <n v="80.680000000000007"/>
    <n v="0.02"/>
    <x v="0"/>
    <x v="8"/>
    <n v="3.6"/>
    <n v="158.13"/>
    <n v="158.1328"/>
    <n v="16"/>
    <x v="7"/>
    <x v="0"/>
  </r>
  <r>
    <n v="10229"/>
    <d v="2022-08-17T00:00:00"/>
    <x v="201"/>
    <x v="1"/>
    <x v="2"/>
    <n v="5"/>
    <n v="440.14"/>
    <n v="0.13"/>
    <x v="2"/>
    <x v="2"/>
    <n v="2.5"/>
    <n v="1914.61"/>
    <n v="1914.6089999999999"/>
    <n v="17"/>
    <x v="7"/>
    <x v="0"/>
  </r>
  <r>
    <n v="10230"/>
    <d v="2022-08-18T00:00:00"/>
    <x v="48"/>
    <x v="0"/>
    <x v="1"/>
    <n v="4"/>
    <n v="567.42999999999995"/>
    <n v="0.25"/>
    <x v="1"/>
    <x v="7"/>
    <n v="3"/>
    <n v="1702.29"/>
    <n v="1702.29"/>
    <n v="18"/>
    <x v="7"/>
    <x v="0"/>
  </r>
  <r>
    <n v="10231"/>
    <d v="2022-08-19T00:00:00"/>
    <x v="12"/>
    <x v="2"/>
    <x v="3"/>
    <n v="1"/>
    <n v="372.29"/>
    <n v="0.11"/>
    <x v="1"/>
    <x v="1"/>
    <n v="4.7"/>
    <n v="331.34"/>
    <n v="331.3381"/>
    <n v="19"/>
    <x v="7"/>
    <x v="0"/>
  </r>
  <r>
    <n v="10232"/>
    <d v="2022-08-20T00:00:00"/>
    <x v="202"/>
    <x v="3"/>
    <x v="0"/>
    <n v="3"/>
    <n v="433.77"/>
    <n v="0.22"/>
    <x v="0"/>
    <x v="6"/>
    <n v="3.9"/>
    <n v="1015.02"/>
    <n v="1015.0218"/>
    <n v="20"/>
    <x v="7"/>
    <x v="0"/>
  </r>
  <r>
    <n v="10233"/>
    <d v="2022-08-21T00:00:00"/>
    <x v="203"/>
    <x v="0"/>
    <x v="1"/>
    <n v="7"/>
    <n v="460.75"/>
    <n v="0.23"/>
    <x v="2"/>
    <x v="8"/>
    <n v="3"/>
    <n v="2483.44"/>
    <n v="2483.4425000000001"/>
    <n v="21"/>
    <x v="7"/>
    <x v="0"/>
  </r>
  <r>
    <n v="10234"/>
    <d v="2022-08-22T00:00:00"/>
    <x v="204"/>
    <x v="0"/>
    <x v="0"/>
    <n v="7"/>
    <n v="168.75"/>
    <n v="0.26"/>
    <x v="2"/>
    <x v="0"/>
    <n v="3.4"/>
    <n v="874.12"/>
    <n v="874.125"/>
    <n v="22"/>
    <x v="7"/>
    <x v="0"/>
  </r>
  <r>
    <n v="10235"/>
    <d v="2022-08-23T00:00:00"/>
    <x v="205"/>
    <x v="0"/>
    <x v="1"/>
    <n v="5"/>
    <n v="41.46"/>
    <n v="0.31"/>
    <x v="1"/>
    <x v="5"/>
    <n v="4.7"/>
    <n v="143.04"/>
    <n v="143.03700000000001"/>
    <n v="23"/>
    <x v="7"/>
    <x v="0"/>
  </r>
  <r>
    <n v="10236"/>
    <d v="2022-08-24T00:00:00"/>
    <x v="141"/>
    <x v="1"/>
    <x v="1"/>
    <n v="5"/>
    <n v="16.100000000000001"/>
    <n v="0.15"/>
    <x v="2"/>
    <x v="9"/>
    <n v="2.6"/>
    <n v="68.42"/>
    <n v="68.424999999999997"/>
    <n v="24"/>
    <x v="7"/>
    <x v="0"/>
  </r>
  <r>
    <n v="10237"/>
    <d v="2022-08-25T00:00:00"/>
    <x v="47"/>
    <x v="0"/>
    <x v="3"/>
    <n v="4"/>
    <n v="220.13"/>
    <n v="0.06"/>
    <x v="1"/>
    <x v="0"/>
    <n v="1.4"/>
    <n v="827.69"/>
    <n v="827.68880000000001"/>
    <n v="25"/>
    <x v="7"/>
    <x v="0"/>
  </r>
  <r>
    <n v="10238"/>
    <d v="2022-08-26T00:00:00"/>
    <x v="206"/>
    <x v="3"/>
    <x v="2"/>
    <n v="7"/>
    <n v="156.26"/>
    <n v="0.11"/>
    <x v="2"/>
    <x v="3"/>
    <n v="2.2999999999999998"/>
    <n v="973.5"/>
    <n v="973.49979999999994"/>
    <n v="26"/>
    <x v="7"/>
    <x v="0"/>
  </r>
  <r>
    <n v="10239"/>
    <d v="2022-08-27T00:00:00"/>
    <x v="207"/>
    <x v="2"/>
    <x v="0"/>
    <n v="1"/>
    <n v="51.46"/>
    <n v="0.15"/>
    <x v="0"/>
    <x v="4"/>
    <n v="2.7"/>
    <n v="43.74"/>
    <n v="43.741"/>
    <n v="27"/>
    <x v="7"/>
    <x v="0"/>
  </r>
  <r>
    <n v="10240"/>
    <d v="2022-08-28T00:00:00"/>
    <x v="208"/>
    <x v="1"/>
    <x v="2"/>
    <n v="6"/>
    <n v="120.02"/>
    <n v="0.25"/>
    <x v="2"/>
    <x v="5"/>
    <n v="2.1"/>
    <n v="540.09"/>
    <n v="540.09"/>
    <n v="28"/>
    <x v="7"/>
    <x v="0"/>
  </r>
  <r>
    <n v="10241"/>
    <d v="2022-08-29T00:00:00"/>
    <x v="209"/>
    <x v="3"/>
    <x v="3"/>
    <n v="7"/>
    <n v="87.83"/>
    <n v="0"/>
    <x v="2"/>
    <x v="8"/>
    <n v="3.1"/>
    <n v="614.80999999999995"/>
    <n v="614.80999999999995"/>
    <n v="29"/>
    <x v="7"/>
    <x v="0"/>
  </r>
  <r>
    <n v="10242"/>
    <d v="2022-08-30T00:00:00"/>
    <x v="48"/>
    <x v="2"/>
    <x v="3"/>
    <n v="7"/>
    <n v="550.20000000000005"/>
    <n v="0.11"/>
    <x v="1"/>
    <x v="0"/>
    <n v="2.2000000000000002"/>
    <n v="3427.75"/>
    <n v="3427.7460000000005"/>
    <n v="30"/>
    <x v="7"/>
    <x v="0"/>
  </r>
  <r>
    <n v="10243"/>
    <d v="2022-08-31T00:00:00"/>
    <x v="210"/>
    <x v="1"/>
    <x v="0"/>
    <n v="2"/>
    <n v="97.06"/>
    <n v="0.27"/>
    <x v="1"/>
    <x v="1"/>
    <n v="1.4"/>
    <n v="141.71"/>
    <n v="141.70760000000001"/>
    <n v="31"/>
    <x v="7"/>
    <x v="0"/>
  </r>
  <r>
    <n v="10244"/>
    <d v="2022-09-01T00:00:00"/>
    <x v="211"/>
    <x v="3"/>
    <x v="2"/>
    <n v="6"/>
    <n v="329.52"/>
    <n v="0.23"/>
    <x v="0"/>
    <x v="7"/>
    <n v="1.8"/>
    <n v="1522.38"/>
    <n v="1522.3824"/>
    <n v="1"/>
    <x v="8"/>
    <x v="0"/>
  </r>
  <r>
    <n v="10245"/>
    <d v="2022-09-02T00:00:00"/>
    <x v="212"/>
    <x v="2"/>
    <x v="3"/>
    <n v="5"/>
    <n v="361.97"/>
    <n v="0.26"/>
    <x v="1"/>
    <x v="4"/>
    <n v="4.7"/>
    <n v="1339.29"/>
    <n v="1339.289"/>
    <n v="2"/>
    <x v="8"/>
    <x v="0"/>
  </r>
  <r>
    <n v="10246"/>
    <d v="2022-09-03T00:00:00"/>
    <x v="213"/>
    <x v="1"/>
    <x v="1"/>
    <n v="6"/>
    <n v="332.94"/>
    <n v="0.28000000000000003"/>
    <x v="0"/>
    <x v="7"/>
    <n v="3.5"/>
    <n v="1438.3"/>
    <n v="1438.3008"/>
    <n v="3"/>
    <x v="8"/>
    <x v="0"/>
  </r>
  <r>
    <n v="10247"/>
    <d v="2022-09-04T00:00:00"/>
    <x v="214"/>
    <x v="3"/>
    <x v="1"/>
    <n v="7"/>
    <n v="72.95"/>
    <n v="0.27"/>
    <x v="2"/>
    <x v="9"/>
    <n v="2.2999999999999998"/>
    <n v="372.77"/>
    <n v="372.77450000000005"/>
    <n v="4"/>
    <x v="8"/>
    <x v="0"/>
  </r>
  <r>
    <n v="10248"/>
    <d v="2022-09-05T00:00:00"/>
    <x v="215"/>
    <x v="1"/>
    <x v="1"/>
    <n v="5"/>
    <n v="201.5"/>
    <n v="0.24"/>
    <x v="2"/>
    <x v="6"/>
    <n v="2.5"/>
    <n v="765.7"/>
    <n v="765.7"/>
    <n v="5"/>
    <x v="8"/>
    <x v="0"/>
  </r>
  <r>
    <n v="10249"/>
    <d v="2022-09-06T00:00:00"/>
    <x v="216"/>
    <x v="2"/>
    <x v="2"/>
    <n v="6"/>
    <n v="44.99"/>
    <n v="0.15"/>
    <x v="0"/>
    <x v="0"/>
    <n v="3"/>
    <n v="229.45"/>
    <n v="229.44900000000001"/>
    <n v="6"/>
    <x v="8"/>
    <x v="0"/>
  </r>
  <r>
    <n v="10250"/>
    <d v="2022-09-07T00:00:00"/>
    <x v="101"/>
    <x v="2"/>
    <x v="1"/>
    <n v="5"/>
    <n v="246.47"/>
    <n v="0.34"/>
    <x v="2"/>
    <x v="7"/>
    <n v="3.7"/>
    <n v="813.35"/>
    <n v="813.35099999999989"/>
    <n v="7"/>
    <x v="8"/>
    <x v="0"/>
  </r>
  <r>
    <n v="10251"/>
    <d v="2022-09-08T00:00:00"/>
    <x v="217"/>
    <x v="1"/>
    <x v="1"/>
    <n v="5"/>
    <n v="125.33"/>
    <n v="0.2"/>
    <x v="0"/>
    <x v="3"/>
    <n v="3.3"/>
    <n v="501.32"/>
    <n v="501.31999999999994"/>
    <n v="8"/>
    <x v="8"/>
    <x v="0"/>
  </r>
  <r>
    <n v="10252"/>
    <d v="2022-09-09T00:00:00"/>
    <x v="218"/>
    <x v="0"/>
    <x v="3"/>
    <n v="4"/>
    <n v="343.56"/>
    <n v="7.0000000000000007E-2"/>
    <x v="1"/>
    <x v="6"/>
    <n v="4.7"/>
    <n v="1278.04"/>
    <n v="1278.0432000000001"/>
    <n v="9"/>
    <x v="8"/>
    <x v="0"/>
  </r>
  <r>
    <n v="10253"/>
    <d v="2022-09-10T00:00:00"/>
    <x v="219"/>
    <x v="2"/>
    <x v="3"/>
    <n v="1"/>
    <n v="420.29"/>
    <n v="0.1"/>
    <x v="2"/>
    <x v="1"/>
    <n v="3.5"/>
    <n v="378.26"/>
    <n v="378.26100000000002"/>
    <n v="10"/>
    <x v="8"/>
    <x v="0"/>
  </r>
  <r>
    <n v="10254"/>
    <d v="2022-09-11T00:00:00"/>
    <x v="220"/>
    <x v="1"/>
    <x v="1"/>
    <n v="5"/>
    <n v="326.29000000000002"/>
    <n v="0.24"/>
    <x v="2"/>
    <x v="3"/>
    <n v="4.5999999999999996"/>
    <n v="1239.9000000000001"/>
    <n v="1239.902"/>
    <n v="11"/>
    <x v="8"/>
    <x v="0"/>
  </r>
  <r>
    <n v="10255"/>
    <d v="2022-09-12T00:00:00"/>
    <x v="206"/>
    <x v="2"/>
    <x v="1"/>
    <n v="2"/>
    <n v="269.02999999999997"/>
    <n v="0.32"/>
    <x v="1"/>
    <x v="8"/>
    <n v="1"/>
    <n v="365.88"/>
    <n v="365.88079999999997"/>
    <n v="12"/>
    <x v="8"/>
    <x v="0"/>
  </r>
  <r>
    <n v="10256"/>
    <d v="2022-09-13T00:00:00"/>
    <x v="57"/>
    <x v="2"/>
    <x v="3"/>
    <n v="7"/>
    <n v="241.59"/>
    <n v="0.06"/>
    <x v="2"/>
    <x v="4"/>
    <n v="4.5999999999999996"/>
    <n v="1589.66"/>
    <n v="1589.6622000000002"/>
    <n v="13"/>
    <x v="8"/>
    <x v="0"/>
  </r>
  <r>
    <n v="10257"/>
    <d v="2022-09-14T00:00:00"/>
    <x v="221"/>
    <x v="3"/>
    <x v="0"/>
    <n v="7"/>
    <n v="507.39"/>
    <n v="0.03"/>
    <x v="2"/>
    <x v="10"/>
    <n v="3.9"/>
    <n v="3445.18"/>
    <n v="3445.1781000000001"/>
    <n v="14"/>
    <x v="8"/>
    <x v="0"/>
  </r>
  <r>
    <n v="10258"/>
    <d v="2022-09-15T00:00:00"/>
    <x v="156"/>
    <x v="3"/>
    <x v="2"/>
    <n v="2"/>
    <n v="143.33000000000001"/>
    <n v="0.31"/>
    <x v="0"/>
    <x v="8"/>
    <n v="1.7"/>
    <n v="197.8"/>
    <n v="197.79540000000003"/>
    <n v="15"/>
    <x v="8"/>
    <x v="0"/>
  </r>
  <r>
    <n v="10259"/>
    <d v="2022-09-16T00:00:00"/>
    <x v="18"/>
    <x v="2"/>
    <x v="2"/>
    <n v="3"/>
    <n v="444.52"/>
    <n v="0.32"/>
    <x v="1"/>
    <x v="3"/>
    <n v="2.1"/>
    <n v="906.82"/>
    <n v="906.82079999999996"/>
    <n v="16"/>
    <x v="8"/>
    <x v="0"/>
  </r>
  <r>
    <n v="10260"/>
    <d v="2022-09-17T00:00:00"/>
    <x v="222"/>
    <x v="1"/>
    <x v="3"/>
    <n v="5"/>
    <n v="458.13"/>
    <n v="0.1"/>
    <x v="2"/>
    <x v="7"/>
    <n v="3.2"/>
    <n v="2061.58"/>
    <n v="2061.585"/>
    <n v="17"/>
    <x v="8"/>
    <x v="0"/>
  </r>
  <r>
    <n v="10261"/>
    <d v="2022-09-18T00:00:00"/>
    <x v="223"/>
    <x v="2"/>
    <x v="2"/>
    <n v="5"/>
    <n v="260.23"/>
    <n v="0.13"/>
    <x v="1"/>
    <x v="0"/>
    <n v="1.5"/>
    <n v="1132"/>
    <n v="1132.0005000000001"/>
    <n v="18"/>
    <x v="8"/>
    <x v="0"/>
  </r>
  <r>
    <n v="10262"/>
    <d v="2022-09-19T00:00:00"/>
    <x v="224"/>
    <x v="1"/>
    <x v="3"/>
    <n v="5"/>
    <n v="188.92"/>
    <n v="0.23"/>
    <x v="2"/>
    <x v="7"/>
    <n v="4.0999999999999996"/>
    <n v="727.34"/>
    <n v="727.34199999999987"/>
    <n v="19"/>
    <x v="8"/>
    <x v="0"/>
  </r>
  <r>
    <n v="10263"/>
    <d v="2022-09-20T00:00:00"/>
    <x v="225"/>
    <x v="3"/>
    <x v="3"/>
    <n v="6"/>
    <n v="290.27"/>
    <n v="0.12"/>
    <x v="2"/>
    <x v="1"/>
    <n v="4.2"/>
    <n v="1532.63"/>
    <n v="1532.6255999999998"/>
    <n v="20"/>
    <x v="8"/>
    <x v="0"/>
  </r>
  <r>
    <n v="10264"/>
    <d v="2022-09-21T00:00:00"/>
    <x v="226"/>
    <x v="2"/>
    <x v="3"/>
    <n v="5"/>
    <n v="69.53"/>
    <n v="0.31"/>
    <x v="2"/>
    <x v="0"/>
    <n v="2.2000000000000002"/>
    <n v="239.88"/>
    <n v="239.87849999999997"/>
    <n v="21"/>
    <x v="8"/>
    <x v="0"/>
  </r>
  <r>
    <n v="10265"/>
    <d v="2022-09-22T00:00:00"/>
    <x v="129"/>
    <x v="2"/>
    <x v="3"/>
    <n v="5"/>
    <n v="41.87"/>
    <n v="0.04"/>
    <x v="1"/>
    <x v="7"/>
    <n v="1.3"/>
    <n v="200.98"/>
    <n v="200.976"/>
    <n v="22"/>
    <x v="8"/>
    <x v="0"/>
  </r>
  <r>
    <n v="10266"/>
    <d v="2022-09-23T00:00:00"/>
    <x v="227"/>
    <x v="1"/>
    <x v="0"/>
    <n v="2"/>
    <n v="80.290000000000006"/>
    <n v="0.01"/>
    <x v="1"/>
    <x v="5"/>
    <n v="5"/>
    <n v="158.97"/>
    <n v="158.97420000000002"/>
    <n v="23"/>
    <x v="8"/>
    <x v="0"/>
  </r>
  <r>
    <n v="10267"/>
    <d v="2022-09-24T00:00:00"/>
    <x v="228"/>
    <x v="0"/>
    <x v="1"/>
    <n v="1"/>
    <n v="124.48"/>
    <n v="7.0000000000000007E-2"/>
    <x v="1"/>
    <x v="9"/>
    <n v="2"/>
    <n v="115.77"/>
    <n v="115.7664"/>
    <n v="24"/>
    <x v="8"/>
    <x v="0"/>
  </r>
  <r>
    <n v="10268"/>
    <d v="2022-09-25T00:00:00"/>
    <x v="229"/>
    <x v="0"/>
    <x v="1"/>
    <n v="1"/>
    <n v="309.94"/>
    <n v="0.1"/>
    <x v="1"/>
    <x v="5"/>
    <n v="1.3"/>
    <n v="278.95"/>
    <n v="278.94600000000003"/>
    <n v="25"/>
    <x v="8"/>
    <x v="0"/>
  </r>
  <r>
    <n v="10269"/>
    <d v="2022-09-26T00:00:00"/>
    <x v="230"/>
    <x v="2"/>
    <x v="0"/>
    <n v="3"/>
    <n v="511.74"/>
    <n v="0.04"/>
    <x v="2"/>
    <x v="10"/>
    <n v="2.2999999999999998"/>
    <n v="1473.81"/>
    <n v="1473.8112000000001"/>
    <n v="26"/>
    <x v="8"/>
    <x v="0"/>
  </r>
  <r>
    <n v="10270"/>
    <d v="2022-09-27T00:00:00"/>
    <x v="231"/>
    <x v="3"/>
    <x v="2"/>
    <n v="2"/>
    <n v="152.85"/>
    <n v="0.02"/>
    <x v="0"/>
    <x v="3"/>
    <n v="4.9000000000000004"/>
    <n v="299.58999999999997"/>
    <n v="299.58600000000001"/>
    <n v="27"/>
    <x v="8"/>
    <x v="0"/>
  </r>
  <r>
    <n v="10271"/>
    <d v="2022-09-28T00:00:00"/>
    <x v="232"/>
    <x v="1"/>
    <x v="2"/>
    <n v="5"/>
    <n v="562.07000000000005"/>
    <n v="0.26"/>
    <x v="1"/>
    <x v="0"/>
    <n v="4.2"/>
    <n v="2079.66"/>
    <n v="2079.6590000000006"/>
    <n v="28"/>
    <x v="8"/>
    <x v="0"/>
  </r>
  <r>
    <n v="10272"/>
    <d v="2022-09-29T00:00:00"/>
    <x v="182"/>
    <x v="1"/>
    <x v="1"/>
    <n v="1"/>
    <n v="573.62"/>
    <n v="0.06"/>
    <x v="1"/>
    <x v="9"/>
    <n v="2.9"/>
    <n v="539.20000000000005"/>
    <n v="539.20280000000002"/>
    <n v="29"/>
    <x v="8"/>
    <x v="0"/>
  </r>
  <r>
    <n v="10273"/>
    <d v="2022-09-30T00:00:00"/>
    <x v="233"/>
    <x v="3"/>
    <x v="2"/>
    <n v="4"/>
    <n v="575.96"/>
    <n v="0.32"/>
    <x v="2"/>
    <x v="9"/>
    <n v="2.2000000000000002"/>
    <n v="1566.61"/>
    <n v="1566.6112000000001"/>
    <n v="30"/>
    <x v="8"/>
    <x v="0"/>
  </r>
  <r>
    <n v="10274"/>
    <d v="2022-10-01T00:00:00"/>
    <x v="234"/>
    <x v="0"/>
    <x v="1"/>
    <n v="4"/>
    <n v="504.97"/>
    <n v="0.13"/>
    <x v="2"/>
    <x v="6"/>
    <n v="2.7"/>
    <n v="1757.3"/>
    <n v="1757.2956000000001"/>
    <n v="1"/>
    <x v="9"/>
    <x v="0"/>
  </r>
  <r>
    <n v="10275"/>
    <d v="2022-10-02T00:00:00"/>
    <x v="235"/>
    <x v="0"/>
    <x v="1"/>
    <n v="4"/>
    <n v="227.84"/>
    <n v="0.23"/>
    <x v="1"/>
    <x v="0"/>
    <n v="1.1000000000000001"/>
    <n v="701.75"/>
    <n v="701.74720000000002"/>
    <n v="2"/>
    <x v="9"/>
    <x v="0"/>
  </r>
  <r>
    <n v="10276"/>
    <d v="2022-10-03T00:00:00"/>
    <x v="27"/>
    <x v="1"/>
    <x v="0"/>
    <n v="5"/>
    <n v="57.52"/>
    <n v="0.08"/>
    <x v="1"/>
    <x v="10"/>
    <n v="3.9"/>
    <n v="264.58999999999997"/>
    <n v="264.59200000000004"/>
    <n v="3"/>
    <x v="9"/>
    <x v="0"/>
  </r>
  <r>
    <n v="10277"/>
    <d v="2022-10-04T00:00:00"/>
    <x v="236"/>
    <x v="1"/>
    <x v="2"/>
    <n v="5"/>
    <n v="347.76"/>
    <n v="0.08"/>
    <x v="1"/>
    <x v="9"/>
    <n v="1.4"/>
    <n v="1599.7"/>
    <n v="1599.6959999999999"/>
    <n v="4"/>
    <x v="9"/>
    <x v="0"/>
  </r>
  <r>
    <n v="10278"/>
    <d v="2022-10-05T00:00:00"/>
    <x v="229"/>
    <x v="3"/>
    <x v="0"/>
    <n v="3"/>
    <n v="341.83"/>
    <n v="0.2"/>
    <x v="1"/>
    <x v="6"/>
    <n v="3.1"/>
    <n v="820.39"/>
    <n v="820.39200000000005"/>
    <n v="5"/>
    <x v="9"/>
    <x v="0"/>
  </r>
  <r>
    <n v="10279"/>
    <d v="2022-10-06T00:00:00"/>
    <x v="162"/>
    <x v="2"/>
    <x v="1"/>
    <n v="7"/>
    <n v="512.24"/>
    <n v="0.2"/>
    <x v="1"/>
    <x v="5"/>
    <n v="3.3"/>
    <n v="2868.54"/>
    <n v="2868.5440000000003"/>
    <n v="6"/>
    <x v="9"/>
    <x v="0"/>
  </r>
  <r>
    <n v="10280"/>
    <d v="2022-10-07T00:00:00"/>
    <x v="237"/>
    <x v="1"/>
    <x v="1"/>
    <n v="3"/>
    <n v="597.65"/>
    <n v="0.27"/>
    <x v="1"/>
    <x v="0"/>
    <n v="1"/>
    <n v="1308.8499999999999"/>
    <n v="1308.8534999999997"/>
    <n v="7"/>
    <x v="9"/>
    <x v="0"/>
  </r>
  <r>
    <n v="10281"/>
    <d v="2022-10-08T00:00:00"/>
    <x v="238"/>
    <x v="1"/>
    <x v="1"/>
    <n v="3"/>
    <n v="312.27"/>
    <n v="0.27"/>
    <x v="2"/>
    <x v="4"/>
    <n v="4.9000000000000004"/>
    <n v="683.87"/>
    <n v="683.87130000000002"/>
    <n v="8"/>
    <x v="9"/>
    <x v="0"/>
  </r>
  <r>
    <n v="10282"/>
    <d v="2022-10-09T00:00:00"/>
    <x v="81"/>
    <x v="3"/>
    <x v="3"/>
    <n v="6"/>
    <n v="216.94"/>
    <n v="0.23"/>
    <x v="2"/>
    <x v="0"/>
    <n v="2.2000000000000002"/>
    <n v="1002.26"/>
    <n v="1002.2627999999999"/>
    <n v="9"/>
    <x v="9"/>
    <x v="0"/>
  </r>
  <r>
    <n v="10283"/>
    <d v="2022-10-10T00:00:00"/>
    <x v="192"/>
    <x v="2"/>
    <x v="3"/>
    <n v="4"/>
    <n v="123.75"/>
    <n v="0.16"/>
    <x v="1"/>
    <x v="0"/>
    <n v="1.3"/>
    <n v="415.8"/>
    <n v="415.8"/>
    <n v="10"/>
    <x v="9"/>
    <x v="0"/>
  </r>
  <r>
    <n v="10284"/>
    <d v="2022-10-11T00:00:00"/>
    <x v="229"/>
    <x v="2"/>
    <x v="3"/>
    <n v="5"/>
    <n v="17.809999999999999"/>
    <n v="0.31"/>
    <x v="2"/>
    <x v="2"/>
    <n v="4.4000000000000004"/>
    <n v="61.44"/>
    <n v="61.444499999999998"/>
    <n v="11"/>
    <x v="9"/>
    <x v="0"/>
  </r>
  <r>
    <n v="10285"/>
    <d v="2022-10-12T00:00:00"/>
    <x v="84"/>
    <x v="0"/>
    <x v="0"/>
    <n v="4"/>
    <n v="312.83"/>
    <n v="0.22"/>
    <x v="2"/>
    <x v="0"/>
    <n v="1.6"/>
    <n v="976.03"/>
    <n v="976.02959999999996"/>
    <n v="12"/>
    <x v="9"/>
    <x v="0"/>
  </r>
  <r>
    <n v="10286"/>
    <d v="2022-10-13T00:00:00"/>
    <x v="239"/>
    <x v="2"/>
    <x v="1"/>
    <n v="3"/>
    <n v="339.98"/>
    <n v="0.35"/>
    <x v="0"/>
    <x v="8"/>
    <n v="1.1000000000000001"/>
    <n v="662.96"/>
    <n v="662.96100000000001"/>
    <n v="13"/>
    <x v="9"/>
    <x v="0"/>
  </r>
  <r>
    <n v="10287"/>
    <d v="2022-10-14T00:00:00"/>
    <x v="240"/>
    <x v="1"/>
    <x v="2"/>
    <n v="5"/>
    <n v="497.59"/>
    <n v="0.28999999999999998"/>
    <x v="1"/>
    <x v="1"/>
    <n v="3"/>
    <n v="1766.44"/>
    <n v="1766.4444999999998"/>
    <n v="14"/>
    <x v="9"/>
    <x v="0"/>
  </r>
  <r>
    <n v="10288"/>
    <d v="2022-10-15T00:00:00"/>
    <x v="86"/>
    <x v="2"/>
    <x v="0"/>
    <n v="2"/>
    <n v="310.18"/>
    <n v="0.02"/>
    <x v="2"/>
    <x v="5"/>
    <n v="1.5"/>
    <n v="607.95000000000005"/>
    <n v="607.95280000000002"/>
    <n v="15"/>
    <x v="9"/>
    <x v="0"/>
  </r>
  <r>
    <n v="10289"/>
    <d v="2022-10-16T00:00:00"/>
    <x v="241"/>
    <x v="2"/>
    <x v="0"/>
    <n v="1"/>
    <n v="551.13"/>
    <n v="0.11"/>
    <x v="2"/>
    <x v="10"/>
    <n v="4.9000000000000004"/>
    <n v="490.51"/>
    <n v="490.50569999999999"/>
    <n v="16"/>
    <x v="9"/>
    <x v="0"/>
  </r>
  <r>
    <n v="10290"/>
    <d v="2022-10-17T00:00:00"/>
    <x v="242"/>
    <x v="2"/>
    <x v="0"/>
    <n v="1"/>
    <n v="382.43"/>
    <n v="0.2"/>
    <x v="1"/>
    <x v="9"/>
    <n v="1"/>
    <n v="305.94"/>
    <n v="305.94400000000002"/>
    <n v="17"/>
    <x v="9"/>
    <x v="0"/>
  </r>
  <r>
    <n v="10291"/>
    <d v="2022-10-18T00:00:00"/>
    <x v="243"/>
    <x v="2"/>
    <x v="2"/>
    <n v="3"/>
    <n v="506.6"/>
    <n v="0.25"/>
    <x v="0"/>
    <x v="1"/>
    <n v="1.2"/>
    <n v="1139.8499999999999"/>
    <n v="1139.8500000000001"/>
    <n v="18"/>
    <x v="9"/>
    <x v="0"/>
  </r>
  <r>
    <n v="10292"/>
    <d v="2022-10-19T00:00:00"/>
    <x v="206"/>
    <x v="0"/>
    <x v="1"/>
    <n v="7"/>
    <n v="101.76"/>
    <n v="0.19"/>
    <x v="2"/>
    <x v="1"/>
    <n v="4.3"/>
    <n v="576.98"/>
    <n v="576.97919999999999"/>
    <n v="19"/>
    <x v="9"/>
    <x v="0"/>
  </r>
  <r>
    <n v="10293"/>
    <d v="2022-10-20T00:00:00"/>
    <x v="207"/>
    <x v="2"/>
    <x v="3"/>
    <n v="4"/>
    <n v="515.37"/>
    <n v="0.28000000000000003"/>
    <x v="2"/>
    <x v="6"/>
    <n v="2"/>
    <n v="1484.27"/>
    <n v="1484.2655999999999"/>
    <n v="20"/>
    <x v="9"/>
    <x v="0"/>
  </r>
  <r>
    <n v="10294"/>
    <d v="2022-10-21T00:00:00"/>
    <x v="244"/>
    <x v="0"/>
    <x v="1"/>
    <n v="2"/>
    <n v="409.96"/>
    <n v="0.1"/>
    <x v="1"/>
    <x v="7"/>
    <n v="4.5999999999999996"/>
    <n v="737.93"/>
    <n v="737.928"/>
    <n v="21"/>
    <x v="9"/>
    <x v="0"/>
  </r>
  <r>
    <n v="10295"/>
    <d v="2022-10-22T00:00:00"/>
    <x v="245"/>
    <x v="1"/>
    <x v="1"/>
    <n v="5"/>
    <n v="114.59"/>
    <n v="0.06"/>
    <x v="1"/>
    <x v="10"/>
    <n v="2.2000000000000002"/>
    <n v="538.57000000000005"/>
    <n v="538.57300000000009"/>
    <n v="22"/>
    <x v="9"/>
    <x v="0"/>
  </r>
  <r>
    <n v="10296"/>
    <d v="2022-10-23T00:00:00"/>
    <x v="246"/>
    <x v="1"/>
    <x v="0"/>
    <n v="7"/>
    <n v="126.01"/>
    <n v="0.02"/>
    <x v="2"/>
    <x v="3"/>
    <n v="1.3"/>
    <n v="864.43"/>
    <n v="864.42860000000007"/>
    <n v="23"/>
    <x v="9"/>
    <x v="0"/>
  </r>
  <r>
    <n v="10297"/>
    <d v="2022-10-24T00:00:00"/>
    <x v="112"/>
    <x v="1"/>
    <x v="0"/>
    <n v="4"/>
    <n v="557"/>
    <n v="0.2"/>
    <x v="1"/>
    <x v="3"/>
    <n v="1"/>
    <n v="1782.4"/>
    <n v="1782.4"/>
    <n v="24"/>
    <x v="9"/>
    <x v="0"/>
  </r>
  <r>
    <n v="10298"/>
    <d v="2022-10-25T00:00:00"/>
    <x v="156"/>
    <x v="1"/>
    <x v="0"/>
    <n v="3"/>
    <n v="33.85"/>
    <n v="0.24"/>
    <x v="2"/>
    <x v="10"/>
    <n v="2.1"/>
    <n v="77.180000000000007"/>
    <n v="77.178000000000011"/>
    <n v="25"/>
    <x v="9"/>
    <x v="0"/>
  </r>
  <r>
    <n v="10299"/>
    <d v="2022-10-26T00:00:00"/>
    <x v="93"/>
    <x v="3"/>
    <x v="3"/>
    <n v="4"/>
    <n v="285.58"/>
    <n v="0.11"/>
    <x v="1"/>
    <x v="2"/>
    <n v="2.9"/>
    <n v="1016.66"/>
    <n v="1016.6647999999999"/>
    <n v="26"/>
    <x v="9"/>
    <x v="0"/>
  </r>
  <r>
    <n v="10300"/>
    <d v="2022-10-27T00:00:00"/>
    <x v="225"/>
    <x v="2"/>
    <x v="3"/>
    <n v="3"/>
    <n v="198.38"/>
    <n v="0.21"/>
    <x v="2"/>
    <x v="10"/>
    <n v="1"/>
    <n v="470.16"/>
    <n v="470.16059999999999"/>
    <n v="27"/>
    <x v="9"/>
    <x v="0"/>
  </r>
  <r>
    <n v="10301"/>
    <d v="2022-10-28T00:00:00"/>
    <x v="216"/>
    <x v="1"/>
    <x v="3"/>
    <n v="6"/>
    <n v="404.07"/>
    <n v="0.02"/>
    <x v="2"/>
    <x v="9"/>
    <n v="3.3"/>
    <n v="2375.9299999999998"/>
    <n v="2375.9315999999999"/>
    <n v="28"/>
    <x v="9"/>
    <x v="0"/>
  </r>
  <r>
    <n v="10302"/>
    <d v="2022-10-29T00:00:00"/>
    <x v="247"/>
    <x v="0"/>
    <x v="1"/>
    <n v="1"/>
    <n v="506.18"/>
    <n v="0.03"/>
    <x v="1"/>
    <x v="10"/>
    <n v="2.2999999999999998"/>
    <n v="490.99"/>
    <n v="490.99459999999999"/>
    <n v="29"/>
    <x v="9"/>
    <x v="0"/>
  </r>
  <r>
    <n v="10303"/>
    <d v="2022-10-30T00:00:00"/>
    <x v="248"/>
    <x v="0"/>
    <x v="0"/>
    <n v="7"/>
    <n v="225.82"/>
    <n v="0.25"/>
    <x v="2"/>
    <x v="2"/>
    <n v="2.6"/>
    <n v="1185.56"/>
    <n v="1185.5550000000001"/>
    <n v="30"/>
    <x v="9"/>
    <x v="0"/>
  </r>
  <r>
    <n v="10304"/>
    <d v="2022-10-31T00:00:00"/>
    <x v="249"/>
    <x v="0"/>
    <x v="2"/>
    <n v="1"/>
    <n v="264.74"/>
    <n v="0.13"/>
    <x v="1"/>
    <x v="2"/>
    <n v="2"/>
    <n v="230.32"/>
    <n v="230.32380000000001"/>
    <n v="31"/>
    <x v="9"/>
    <x v="0"/>
  </r>
  <r>
    <n v="10305"/>
    <d v="2022-11-01T00:00:00"/>
    <x v="250"/>
    <x v="1"/>
    <x v="1"/>
    <n v="4"/>
    <n v="589.41999999999996"/>
    <n v="0.23"/>
    <x v="1"/>
    <x v="4"/>
    <n v="3.1"/>
    <n v="1815.41"/>
    <n v="1815.4135999999999"/>
    <n v="1"/>
    <x v="10"/>
    <x v="0"/>
  </r>
  <r>
    <n v="10306"/>
    <d v="2022-11-02T00:00:00"/>
    <x v="251"/>
    <x v="3"/>
    <x v="3"/>
    <n v="2"/>
    <n v="473.59"/>
    <n v="0.28999999999999998"/>
    <x v="1"/>
    <x v="0"/>
    <n v="1.9"/>
    <n v="672.5"/>
    <n v="672.49779999999998"/>
    <n v="2"/>
    <x v="10"/>
    <x v="0"/>
  </r>
  <r>
    <n v="10307"/>
    <d v="2022-11-03T00:00:00"/>
    <x v="252"/>
    <x v="1"/>
    <x v="2"/>
    <n v="5"/>
    <n v="539.86"/>
    <n v="0.3"/>
    <x v="1"/>
    <x v="2"/>
    <n v="1.5"/>
    <n v="1889.51"/>
    <n v="1889.5100000000002"/>
    <n v="3"/>
    <x v="10"/>
    <x v="0"/>
  </r>
  <r>
    <n v="10308"/>
    <d v="2022-11-04T00:00:00"/>
    <x v="253"/>
    <x v="1"/>
    <x v="2"/>
    <n v="3"/>
    <n v="271.68"/>
    <n v="0.06"/>
    <x v="1"/>
    <x v="2"/>
    <n v="4.5999999999999996"/>
    <n v="766.14"/>
    <n v="766.13760000000002"/>
    <n v="4"/>
    <x v="10"/>
    <x v="0"/>
  </r>
  <r>
    <n v="10309"/>
    <d v="2022-11-05T00:00:00"/>
    <x v="254"/>
    <x v="2"/>
    <x v="0"/>
    <n v="5"/>
    <n v="151.93"/>
    <n v="0.17"/>
    <x v="0"/>
    <x v="9"/>
    <n v="2.6"/>
    <n v="630.51"/>
    <n v="630.50950000000012"/>
    <n v="5"/>
    <x v="10"/>
    <x v="0"/>
  </r>
  <r>
    <n v="10310"/>
    <d v="2022-11-06T00:00:00"/>
    <x v="167"/>
    <x v="1"/>
    <x v="2"/>
    <n v="1"/>
    <n v="255.94"/>
    <n v="0.26"/>
    <x v="1"/>
    <x v="7"/>
    <n v="1.3"/>
    <n v="189.4"/>
    <n v="189.3956"/>
    <n v="6"/>
    <x v="10"/>
    <x v="0"/>
  </r>
  <r>
    <n v="10311"/>
    <d v="2022-11-07T00:00:00"/>
    <x v="255"/>
    <x v="2"/>
    <x v="3"/>
    <n v="2"/>
    <n v="433.91"/>
    <n v="0.27"/>
    <x v="1"/>
    <x v="2"/>
    <n v="1.9"/>
    <n v="633.51"/>
    <n v="633.5086"/>
    <n v="7"/>
    <x v="10"/>
    <x v="0"/>
  </r>
  <r>
    <n v="10312"/>
    <d v="2022-11-08T00:00:00"/>
    <x v="256"/>
    <x v="2"/>
    <x v="0"/>
    <n v="2"/>
    <n v="79.02"/>
    <n v="0.27"/>
    <x v="1"/>
    <x v="6"/>
    <n v="2.2000000000000002"/>
    <n v="115.37"/>
    <n v="115.36919999999999"/>
    <n v="8"/>
    <x v="10"/>
    <x v="0"/>
  </r>
  <r>
    <n v="10313"/>
    <d v="2022-11-09T00:00:00"/>
    <x v="257"/>
    <x v="0"/>
    <x v="2"/>
    <n v="5"/>
    <n v="173.22"/>
    <n v="0.08"/>
    <x v="1"/>
    <x v="4"/>
    <n v="4.0999999999999996"/>
    <n v="796.81"/>
    <n v="796.81200000000001"/>
    <n v="9"/>
    <x v="10"/>
    <x v="0"/>
  </r>
  <r>
    <n v="10314"/>
    <d v="2022-11-10T00:00:00"/>
    <x v="258"/>
    <x v="2"/>
    <x v="0"/>
    <n v="1"/>
    <n v="42.28"/>
    <n v="7.0000000000000007E-2"/>
    <x v="2"/>
    <x v="6"/>
    <n v="1.1000000000000001"/>
    <n v="39.32"/>
    <n v="39.320399999999999"/>
    <n v="10"/>
    <x v="10"/>
    <x v="0"/>
  </r>
  <r>
    <n v="10315"/>
    <d v="2022-11-11T00:00:00"/>
    <x v="259"/>
    <x v="2"/>
    <x v="2"/>
    <n v="5"/>
    <n v="267.92"/>
    <n v="0.21"/>
    <x v="1"/>
    <x v="5"/>
    <n v="2.9"/>
    <n v="1058.28"/>
    <n v="1058.2840000000001"/>
    <n v="11"/>
    <x v="10"/>
    <x v="0"/>
  </r>
  <r>
    <n v="10316"/>
    <d v="2022-11-12T00:00:00"/>
    <x v="260"/>
    <x v="2"/>
    <x v="1"/>
    <n v="4"/>
    <n v="499.06"/>
    <n v="0.26"/>
    <x v="2"/>
    <x v="7"/>
    <n v="2.6"/>
    <n v="1477.22"/>
    <n v="1477.2175999999999"/>
    <n v="12"/>
    <x v="10"/>
    <x v="0"/>
  </r>
  <r>
    <n v="10317"/>
    <d v="2022-11-13T00:00:00"/>
    <x v="261"/>
    <x v="0"/>
    <x v="1"/>
    <n v="2"/>
    <n v="29.43"/>
    <n v="0.11"/>
    <x v="1"/>
    <x v="8"/>
    <n v="4.9000000000000004"/>
    <n v="52.39"/>
    <n v="52.385399999999997"/>
    <n v="13"/>
    <x v="10"/>
    <x v="0"/>
  </r>
  <r>
    <n v="10318"/>
    <d v="2022-11-14T00:00:00"/>
    <x v="262"/>
    <x v="1"/>
    <x v="3"/>
    <n v="2"/>
    <n v="410.06"/>
    <n v="0.04"/>
    <x v="0"/>
    <x v="4"/>
    <n v="1.7"/>
    <n v="787.32"/>
    <n v="787.3152"/>
    <n v="14"/>
    <x v="10"/>
    <x v="0"/>
  </r>
  <r>
    <n v="10319"/>
    <d v="2022-11-15T00:00:00"/>
    <x v="41"/>
    <x v="1"/>
    <x v="1"/>
    <n v="4"/>
    <n v="560.51"/>
    <n v="0.25"/>
    <x v="1"/>
    <x v="0"/>
    <n v="3.5"/>
    <n v="1681.53"/>
    <n v="1681.53"/>
    <n v="15"/>
    <x v="10"/>
    <x v="0"/>
  </r>
  <r>
    <n v="10320"/>
    <d v="2022-11-16T00:00:00"/>
    <x v="263"/>
    <x v="3"/>
    <x v="1"/>
    <n v="1"/>
    <n v="153.6"/>
    <n v="0.1"/>
    <x v="2"/>
    <x v="3"/>
    <n v="1.8"/>
    <n v="138.24"/>
    <n v="138.24"/>
    <n v="16"/>
    <x v="10"/>
    <x v="0"/>
  </r>
  <r>
    <n v="10321"/>
    <d v="2022-11-17T00:00:00"/>
    <x v="264"/>
    <x v="3"/>
    <x v="1"/>
    <n v="2"/>
    <n v="420.78"/>
    <n v="0.06"/>
    <x v="2"/>
    <x v="8"/>
    <n v="3.2"/>
    <n v="791.07"/>
    <n v="791.06639999999993"/>
    <n v="17"/>
    <x v="10"/>
    <x v="0"/>
  </r>
  <r>
    <n v="10322"/>
    <d v="2022-11-18T00:00:00"/>
    <x v="265"/>
    <x v="2"/>
    <x v="2"/>
    <n v="7"/>
    <n v="585.42999999999995"/>
    <n v="0.05"/>
    <x v="1"/>
    <x v="0"/>
    <n v="3.2"/>
    <n v="3893.11"/>
    <n v="3893.1094999999991"/>
    <n v="18"/>
    <x v="10"/>
    <x v="0"/>
  </r>
  <r>
    <n v="10323"/>
    <d v="2022-11-19T00:00:00"/>
    <x v="144"/>
    <x v="3"/>
    <x v="2"/>
    <n v="6"/>
    <n v="577.92999999999995"/>
    <n v="0.11"/>
    <x v="2"/>
    <x v="8"/>
    <n v="1.3"/>
    <n v="3086.15"/>
    <n v="3086.1462000000001"/>
    <n v="19"/>
    <x v="10"/>
    <x v="0"/>
  </r>
  <r>
    <n v="10324"/>
    <d v="2022-11-20T00:00:00"/>
    <x v="266"/>
    <x v="3"/>
    <x v="0"/>
    <n v="6"/>
    <n v="152.43"/>
    <n v="0.21"/>
    <x v="2"/>
    <x v="7"/>
    <n v="2.8"/>
    <n v="722.52"/>
    <n v="722.51819999999998"/>
    <n v="20"/>
    <x v="10"/>
    <x v="0"/>
  </r>
  <r>
    <n v="10325"/>
    <d v="2022-11-21T00:00:00"/>
    <x v="267"/>
    <x v="3"/>
    <x v="2"/>
    <n v="6"/>
    <n v="73.69"/>
    <n v="0.13"/>
    <x v="1"/>
    <x v="10"/>
    <n v="2.8"/>
    <n v="384.66"/>
    <n v="384.66179999999997"/>
    <n v="21"/>
    <x v="10"/>
    <x v="0"/>
  </r>
  <r>
    <n v="10326"/>
    <d v="2022-11-22T00:00:00"/>
    <x v="268"/>
    <x v="2"/>
    <x v="1"/>
    <n v="3"/>
    <n v="101.75"/>
    <n v="0.01"/>
    <x v="2"/>
    <x v="10"/>
    <n v="2.2999999999999998"/>
    <n v="302.2"/>
    <n v="302.19749999999999"/>
    <n v="22"/>
    <x v="10"/>
    <x v="0"/>
  </r>
  <r>
    <n v="10327"/>
    <d v="2022-11-23T00:00:00"/>
    <x v="269"/>
    <x v="0"/>
    <x v="2"/>
    <n v="7"/>
    <n v="425.69"/>
    <n v="0.03"/>
    <x v="0"/>
    <x v="8"/>
    <n v="2.1"/>
    <n v="2890.44"/>
    <n v="2890.4351000000001"/>
    <n v="23"/>
    <x v="10"/>
    <x v="0"/>
  </r>
  <r>
    <n v="10328"/>
    <d v="2022-11-24T00:00:00"/>
    <x v="270"/>
    <x v="1"/>
    <x v="3"/>
    <n v="3"/>
    <n v="439.57"/>
    <n v="0.1"/>
    <x v="2"/>
    <x v="0"/>
    <n v="1.9"/>
    <n v="1186.8399999999999"/>
    <n v="1186.8389999999999"/>
    <n v="24"/>
    <x v="10"/>
    <x v="0"/>
  </r>
  <r>
    <n v="10329"/>
    <d v="2022-11-25T00:00:00"/>
    <x v="271"/>
    <x v="2"/>
    <x v="0"/>
    <n v="1"/>
    <n v="409.43"/>
    <n v="0.23"/>
    <x v="0"/>
    <x v="10"/>
    <n v="1"/>
    <n v="315.26"/>
    <n v="315.2611"/>
    <n v="25"/>
    <x v="10"/>
    <x v="0"/>
  </r>
  <r>
    <n v="10330"/>
    <d v="2022-11-26T00:00:00"/>
    <x v="272"/>
    <x v="1"/>
    <x v="0"/>
    <n v="4"/>
    <n v="211.61"/>
    <n v="0.03"/>
    <x v="1"/>
    <x v="9"/>
    <n v="1"/>
    <n v="821.05"/>
    <n v="821.04680000000008"/>
    <n v="26"/>
    <x v="10"/>
    <x v="0"/>
  </r>
  <r>
    <n v="10331"/>
    <d v="2022-11-27T00:00:00"/>
    <x v="116"/>
    <x v="2"/>
    <x v="2"/>
    <n v="5"/>
    <n v="114.32"/>
    <n v="0.2"/>
    <x v="2"/>
    <x v="4"/>
    <n v="3.4"/>
    <n v="457.28"/>
    <n v="457.27999999999992"/>
    <n v="27"/>
    <x v="10"/>
    <x v="0"/>
  </r>
  <r>
    <n v="10332"/>
    <d v="2022-11-28T00:00:00"/>
    <x v="273"/>
    <x v="2"/>
    <x v="1"/>
    <n v="7"/>
    <n v="354.75"/>
    <n v="0.04"/>
    <x v="0"/>
    <x v="10"/>
    <n v="2.2000000000000002"/>
    <n v="2383.92"/>
    <n v="2383.92"/>
    <n v="28"/>
    <x v="10"/>
    <x v="0"/>
  </r>
  <r>
    <n v="10333"/>
    <d v="2022-11-29T00:00:00"/>
    <x v="82"/>
    <x v="3"/>
    <x v="0"/>
    <n v="1"/>
    <n v="297.95"/>
    <n v="7.0000000000000007E-2"/>
    <x v="1"/>
    <x v="3"/>
    <n v="1.7"/>
    <n v="277.08999999999997"/>
    <n v="277.09350000000001"/>
    <n v="29"/>
    <x v="10"/>
    <x v="0"/>
  </r>
  <r>
    <n v="10334"/>
    <d v="2022-11-30T00:00:00"/>
    <x v="244"/>
    <x v="2"/>
    <x v="3"/>
    <n v="5"/>
    <n v="441.37"/>
    <n v="0.06"/>
    <x v="0"/>
    <x v="3"/>
    <n v="3.7"/>
    <n v="2074.44"/>
    <n v="2074.4389999999999"/>
    <n v="30"/>
    <x v="10"/>
    <x v="0"/>
  </r>
  <r>
    <n v="10335"/>
    <d v="2022-12-01T00:00:00"/>
    <x v="68"/>
    <x v="1"/>
    <x v="3"/>
    <n v="1"/>
    <n v="273.2"/>
    <n v="0.02"/>
    <x v="1"/>
    <x v="5"/>
    <n v="3.1"/>
    <n v="267.74"/>
    <n v="267.73599999999999"/>
    <n v="1"/>
    <x v="11"/>
    <x v="0"/>
  </r>
  <r>
    <n v="10336"/>
    <d v="2022-12-02T00:00:00"/>
    <x v="274"/>
    <x v="1"/>
    <x v="0"/>
    <n v="3"/>
    <n v="213.1"/>
    <n v="0.23"/>
    <x v="0"/>
    <x v="3"/>
    <n v="4.7"/>
    <n v="492.26"/>
    <n v="492.26099999999997"/>
    <n v="2"/>
    <x v="11"/>
    <x v="0"/>
  </r>
  <r>
    <n v="10337"/>
    <d v="2022-12-03T00:00:00"/>
    <x v="41"/>
    <x v="2"/>
    <x v="1"/>
    <n v="6"/>
    <n v="186.68"/>
    <n v="0.16"/>
    <x v="1"/>
    <x v="6"/>
    <n v="4.3"/>
    <n v="940.87"/>
    <n v="940.86719999999991"/>
    <n v="3"/>
    <x v="11"/>
    <x v="0"/>
  </r>
  <r>
    <n v="10338"/>
    <d v="2022-12-04T00:00:00"/>
    <x v="275"/>
    <x v="0"/>
    <x v="1"/>
    <n v="4"/>
    <n v="138.71"/>
    <n v="0.28999999999999998"/>
    <x v="1"/>
    <x v="8"/>
    <n v="3.9"/>
    <n v="393.94"/>
    <n v="393.93640000000005"/>
    <n v="4"/>
    <x v="11"/>
    <x v="0"/>
  </r>
  <r>
    <n v="10339"/>
    <d v="2022-12-05T00:00:00"/>
    <x v="276"/>
    <x v="2"/>
    <x v="2"/>
    <n v="3"/>
    <n v="170.46"/>
    <n v="0.03"/>
    <x v="0"/>
    <x v="8"/>
    <n v="1.5"/>
    <n v="496.04"/>
    <n v="496.03859999999997"/>
    <n v="5"/>
    <x v="11"/>
    <x v="0"/>
  </r>
  <r>
    <n v="10340"/>
    <d v="2022-12-06T00:00:00"/>
    <x v="179"/>
    <x v="2"/>
    <x v="2"/>
    <n v="4"/>
    <n v="70.48"/>
    <n v="0.05"/>
    <x v="1"/>
    <x v="7"/>
    <n v="3.7"/>
    <n v="267.82"/>
    <n v="267.82400000000001"/>
    <n v="6"/>
    <x v="11"/>
    <x v="0"/>
  </r>
  <r>
    <n v="10341"/>
    <d v="2022-12-07T00:00:00"/>
    <x v="277"/>
    <x v="2"/>
    <x v="0"/>
    <n v="7"/>
    <n v="217.91"/>
    <n v="0.11"/>
    <x v="1"/>
    <x v="8"/>
    <n v="3.8"/>
    <n v="1357.58"/>
    <n v="1357.5792999999999"/>
    <n v="7"/>
    <x v="11"/>
    <x v="0"/>
  </r>
  <r>
    <n v="10342"/>
    <d v="2022-12-08T00:00:00"/>
    <x v="278"/>
    <x v="2"/>
    <x v="2"/>
    <n v="5"/>
    <n v="36.39"/>
    <n v="0.27"/>
    <x v="1"/>
    <x v="4"/>
    <n v="4.0999999999999996"/>
    <n v="132.82"/>
    <n v="132.8235"/>
    <n v="8"/>
    <x v="11"/>
    <x v="0"/>
  </r>
  <r>
    <n v="10343"/>
    <d v="2022-12-09T00:00:00"/>
    <x v="279"/>
    <x v="2"/>
    <x v="2"/>
    <n v="1"/>
    <n v="124.05"/>
    <n v="0.11"/>
    <x v="2"/>
    <x v="7"/>
    <n v="2.1"/>
    <n v="110.4"/>
    <n v="110.4045"/>
    <n v="9"/>
    <x v="11"/>
    <x v="0"/>
  </r>
  <r>
    <n v="10344"/>
    <d v="2022-12-10T00:00:00"/>
    <x v="280"/>
    <x v="3"/>
    <x v="2"/>
    <n v="2"/>
    <n v="451.86"/>
    <n v="0.14000000000000001"/>
    <x v="0"/>
    <x v="6"/>
    <n v="3.6"/>
    <n v="777.2"/>
    <n v="777.19920000000002"/>
    <n v="10"/>
    <x v="11"/>
    <x v="0"/>
  </r>
  <r>
    <n v="10345"/>
    <d v="2022-12-11T00:00:00"/>
    <x v="281"/>
    <x v="0"/>
    <x v="3"/>
    <n v="2"/>
    <n v="205.4"/>
    <n v="0.11"/>
    <x v="1"/>
    <x v="5"/>
    <n v="3.5"/>
    <n v="365.61"/>
    <n v="365.61200000000002"/>
    <n v="11"/>
    <x v="11"/>
    <x v="0"/>
  </r>
  <r>
    <n v="10346"/>
    <d v="2022-12-12T00:00:00"/>
    <x v="202"/>
    <x v="2"/>
    <x v="2"/>
    <n v="4"/>
    <n v="405.92"/>
    <n v="0.03"/>
    <x v="2"/>
    <x v="7"/>
    <n v="2.5"/>
    <n v="1574.97"/>
    <n v="1574.9696000000001"/>
    <n v="12"/>
    <x v="11"/>
    <x v="0"/>
  </r>
  <r>
    <n v="10347"/>
    <d v="2022-12-13T00:00:00"/>
    <x v="282"/>
    <x v="3"/>
    <x v="0"/>
    <n v="6"/>
    <n v="434.38"/>
    <n v="0.33"/>
    <x v="1"/>
    <x v="0"/>
    <n v="3.7"/>
    <n v="1746.21"/>
    <n v="1746.2075999999997"/>
    <n v="13"/>
    <x v="11"/>
    <x v="0"/>
  </r>
  <r>
    <n v="10348"/>
    <d v="2022-12-14T00:00:00"/>
    <x v="110"/>
    <x v="3"/>
    <x v="1"/>
    <n v="6"/>
    <n v="354.99"/>
    <n v="0.19"/>
    <x v="2"/>
    <x v="2"/>
    <n v="1.3"/>
    <n v="1725.25"/>
    <n v="1725.2514000000001"/>
    <n v="14"/>
    <x v="11"/>
    <x v="0"/>
  </r>
  <r>
    <n v="10349"/>
    <d v="2022-12-15T00:00:00"/>
    <x v="17"/>
    <x v="3"/>
    <x v="2"/>
    <n v="4"/>
    <n v="575.84"/>
    <n v="0.28000000000000003"/>
    <x v="1"/>
    <x v="10"/>
    <n v="3.6"/>
    <n v="1658.42"/>
    <n v="1658.4192"/>
    <n v="15"/>
    <x v="11"/>
    <x v="0"/>
  </r>
  <r>
    <n v="10350"/>
    <d v="2022-12-16T00:00:00"/>
    <x v="283"/>
    <x v="1"/>
    <x v="1"/>
    <n v="3"/>
    <n v="27.54"/>
    <n v="0.23"/>
    <x v="1"/>
    <x v="4"/>
    <n v="3.4"/>
    <n v="63.62"/>
    <n v="63.617400000000004"/>
    <n v="16"/>
    <x v="11"/>
    <x v="0"/>
  </r>
  <r>
    <n v="10351"/>
    <d v="2022-12-17T00:00:00"/>
    <x v="284"/>
    <x v="2"/>
    <x v="2"/>
    <n v="2"/>
    <n v="447.11"/>
    <n v="0.18"/>
    <x v="1"/>
    <x v="2"/>
    <n v="1.8"/>
    <n v="733.26"/>
    <n v="733.2604"/>
    <n v="17"/>
    <x v="11"/>
    <x v="0"/>
  </r>
  <r>
    <n v="10352"/>
    <d v="2022-12-18T00:00:00"/>
    <x v="285"/>
    <x v="2"/>
    <x v="0"/>
    <n v="3"/>
    <n v="575.89"/>
    <n v="0.03"/>
    <x v="2"/>
    <x v="2"/>
    <n v="4.3"/>
    <n v="1675.84"/>
    <n v="1675.8399000000002"/>
    <n v="18"/>
    <x v="11"/>
    <x v="0"/>
  </r>
  <r>
    <n v="10353"/>
    <d v="2022-12-19T00:00:00"/>
    <x v="198"/>
    <x v="3"/>
    <x v="3"/>
    <n v="5"/>
    <n v="519.42999999999995"/>
    <n v="0.22"/>
    <x v="0"/>
    <x v="9"/>
    <n v="4.5"/>
    <n v="2025.78"/>
    <n v="2025.7769999999996"/>
    <n v="19"/>
    <x v="11"/>
    <x v="0"/>
  </r>
  <r>
    <n v="10354"/>
    <d v="2022-12-20T00:00:00"/>
    <x v="205"/>
    <x v="3"/>
    <x v="0"/>
    <n v="2"/>
    <n v="113.22"/>
    <n v="0.05"/>
    <x v="2"/>
    <x v="9"/>
    <n v="1.8"/>
    <n v="215.12"/>
    <n v="215.11799999999999"/>
    <n v="20"/>
    <x v="11"/>
    <x v="0"/>
  </r>
  <r>
    <n v="10355"/>
    <d v="2022-12-21T00:00:00"/>
    <x v="286"/>
    <x v="2"/>
    <x v="3"/>
    <n v="5"/>
    <n v="206.19"/>
    <n v="0.15"/>
    <x v="1"/>
    <x v="7"/>
    <n v="1.3"/>
    <n v="876.31"/>
    <n v="876.30750000000012"/>
    <n v="21"/>
    <x v="11"/>
    <x v="0"/>
  </r>
  <r>
    <n v="10356"/>
    <d v="2022-12-22T00:00:00"/>
    <x v="287"/>
    <x v="1"/>
    <x v="2"/>
    <n v="1"/>
    <n v="115.88"/>
    <n v="0.22"/>
    <x v="2"/>
    <x v="0"/>
    <n v="3.4"/>
    <n v="90.39"/>
    <n v="90.386399999999995"/>
    <n v="22"/>
    <x v="11"/>
    <x v="0"/>
  </r>
  <r>
    <n v="10357"/>
    <d v="2022-12-23T00:00:00"/>
    <x v="288"/>
    <x v="0"/>
    <x v="2"/>
    <n v="3"/>
    <n v="366.77"/>
    <n v="0.27"/>
    <x v="2"/>
    <x v="4"/>
    <n v="2.9"/>
    <n v="803.23"/>
    <n v="803.22629999999992"/>
    <n v="23"/>
    <x v="11"/>
    <x v="0"/>
  </r>
  <r>
    <n v="10358"/>
    <d v="2022-12-24T00:00:00"/>
    <x v="289"/>
    <x v="3"/>
    <x v="3"/>
    <n v="4"/>
    <n v="431.63"/>
    <n v="0.24"/>
    <x v="1"/>
    <x v="8"/>
    <n v="2.7"/>
    <n v="1312.16"/>
    <n v="1312.1551999999999"/>
    <n v="24"/>
    <x v="11"/>
    <x v="0"/>
  </r>
  <r>
    <n v="10359"/>
    <d v="2022-12-25T00:00:00"/>
    <x v="290"/>
    <x v="0"/>
    <x v="0"/>
    <n v="2"/>
    <n v="200.49"/>
    <n v="0.24"/>
    <x v="1"/>
    <x v="2"/>
    <n v="4"/>
    <n v="304.74"/>
    <n v="304.7448"/>
    <n v="25"/>
    <x v="11"/>
    <x v="0"/>
  </r>
  <r>
    <n v="10360"/>
    <d v="2022-12-26T00:00:00"/>
    <x v="291"/>
    <x v="3"/>
    <x v="0"/>
    <n v="3"/>
    <n v="330.61"/>
    <n v="0.05"/>
    <x v="1"/>
    <x v="2"/>
    <n v="4.9000000000000004"/>
    <n v="942.24"/>
    <n v="942.23850000000004"/>
    <n v="26"/>
    <x v="11"/>
    <x v="0"/>
  </r>
  <r>
    <n v="10361"/>
    <d v="2022-12-27T00:00:00"/>
    <x v="292"/>
    <x v="1"/>
    <x v="3"/>
    <n v="4"/>
    <n v="419.19"/>
    <n v="0.12"/>
    <x v="2"/>
    <x v="10"/>
    <n v="2.9"/>
    <n v="1475.55"/>
    <n v="1475.5488"/>
    <n v="27"/>
    <x v="11"/>
    <x v="0"/>
  </r>
  <r>
    <n v="10362"/>
    <d v="2022-12-28T00:00:00"/>
    <x v="116"/>
    <x v="1"/>
    <x v="2"/>
    <n v="1"/>
    <n v="261.48"/>
    <n v="0.02"/>
    <x v="2"/>
    <x v="5"/>
    <n v="1"/>
    <n v="256.25"/>
    <n v="256.25040000000001"/>
    <n v="28"/>
    <x v="11"/>
    <x v="0"/>
  </r>
  <r>
    <n v="10363"/>
    <d v="2022-12-29T00:00:00"/>
    <x v="264"/>
    <x v="3"/>
    <x v="3"/>
    <n v="2"/>
    <n v="514.6"/>
    <n v="0.25"/>
    <x v="2"/>
    <x v="4"/>
    <n v="3.4"/>
    <n v="771.9"/>
    <n v="771.90000000000009"/>
    <n v="29"/>
    <x v="11"/>
    <x v="0"/>
  </r>
  <r>
    <n v="10364"/>
    <d v="2022-12-30T00:00:00"/>
    <x v="68"/>
    <x v="2"/>
    <x v="2"/>
    <n v="5"/>
    <n v="466.36"/>
    <n v="0.33"/>
    <x v="1"/>
    <x v="10"/>
    <n v="3.6"/>
    <n v="1562.31"/>
    <n v="1562.306"/>
    <n v="30"/>
    <x v="11"/>
    <x v="0"/>
  </r>
  <r>
    <n v="10365"/>
    <d v="2022-12-31T00:00:00"/>
    <x v="293"/>
    <x v="1"/>
    <x v="3"/>
    <n v="1"/>
    <n v="52.83"/>
    <n v="0.09"/>
    <x v="1"/>
    <x v="6"/>
    <n v="4.3"/>
    <n v="48.08"/>
    <n v="48.075299999999999"/>
    <n v="31"/>
    <x v="11"/>
    <x v="0"/>
  </r>
  <r>
    <n v="10366"/>
    <d v="2023-01-01T00:00:00"/>
    <x v="294"/>
    <x v="3"/>
    <x v="2"/>
    <n v="6"/>
    <n v="378.36"/>
    <n v="0.03"/>
    <x v="0"/>
    <x v="0"/>
    <n v="1.8"/>
    <n v="2202.06"/>
    <n v="2202.0551999999998"/>
    <n v="1"/>
    <x v="0"/>
    <x v="1"/>
  </r>
  <r>
    <n v="10367"/>
    <d v="2023-01-02T00:00:00"/>
    <x v="295"/>
    <x v="2"/>
    <x v="3"/>
    <n v="4"/>
    <n v="152.66999999999999"/>
    <n v="0.17"/>
    <x v="1"/>
    <x v="9"/>
    <n v="3.1"/>
    <n v="506.86"/>
    <n v="506.86439999999993"/>
    <n v="2"/>
    <x v="0"/>
    <x v="1"/>
  </r>
  <r>
    <n v="10368"/>
    <d v="2023-01-03T00:00:00"/>
    <x v="84"/>
    <x v="3"/>
    <x v="1"/>
    <n v="2"/>
    <n v="341.15"/>
    <n v="0.3"/>
    <x v="0"/>
    <x v="5"/>
    <n v="2.8"/>
    <n v="477.61"/>
    <n v="477.61"/>
    <n v="3"/>
    <x v="0"/>
    <x v="1"/>
  </r>
  <r>
    <n v="10369"/>
    <d v="2023-01-04T00:00:00"/>
    <x v="296"/>
    <x v="1"/>
    <x v="2"/>
    <n v="2"/>
    <n v="574.78"/>
    <n v="0.19"/>
    <x v="2"/>
    <x v="8"/>
    <n v="3.7"/>
    <n v="931.14"/>
    <n v="931.14359999999999"/>
    <n v="4"/>
    <x v="0"/>
    <x v="1"/>
  </r>
  <r>
    <n v="10370"/>
    <d v="2023-01-05T00:00:00"/>
    <x v="297"/>
    <x v="0"/>
    <x v="0"/>
    <n v="7"/>
    <n v="529.25"/>
    <n v="0.02"/>
    <x v="1"/>
    <x v="6"/>
    <n v="1.3"/>
    <n v="3630.66"/>
    <n v="3630.6550000000002"/>
    <n v="5"/>
    <x v="0"/>
    <x v="1"/>
  </r>
  <r>
    <n v="10371"/>
    <d v="2023-01-06T00:00:00"/>
    <x v="298"/>
    <x v="2"/>
    <x v="3"/>
    <n v="7"/>
    <n v="251.64"/>
    <n v="0.34"/>
    <x v="2"/>
    <x v="5"/>
    <n v="4.5"/>
    <n v="1162.58"/>
    <n v="1162.5767999999998"/>
    <n v="6"/>
    <x v="0"/>
    <x v="1"/>
  </r>
  <r>
    <n v="10372"/>
    <d v="2023-01-07T00:00:00"/>
    <x v="299"/>
    <x v="2"/>
    <x v="0"/>
    <n v="1"/>
    <n v="185.54"/>
    <n v="0.28999999999999998"/>
    <x v="0"/>
    <x v="10"/>
    <n v="3"/>
    <n v="131.72999999999999"/>
    <n v="131.73339999999999"/>
    <n v="7"/>
    <x v="0"/>
    <x v="1"/>
  </r>
  <r>
    <n v="10373"/>
    <d v="2023-01-08T00:00:00"/>
    <x v="300"/>
    <x v="1"/>
    <x v="3"/>
    <n v="2"/>
    <n v="152.13"/>
    <n v="0.05"/>
    <x v="1"/>
    <x v="6"/>
    <n v="4.5"/>
    <n v="289.05"/>
    <n v="289.04699999999997"/>
    <n v="8"/>
    <x v="0"/>
    <x v="1"/>
  </r>
  <r>
    <n v="10374"/>
    <d v="2023-01-09T00:00:00"/>
    <x v="301"/>
    <x v="2"/>
    <x v="0"/>
    <n v="4"/>
    <n v="326.52"/>
    <n v="0.32"/>
    <x v="0"/>
    <x v="3"/>
    <n v="2.4"/>
    <n v="888.13"/>
    <n v="888.13439999999991"/>
    <n v="9"/>
    <x v="0"/>
    <x v="1"/>
  </r>
  <r>
    <n v="10375"/>
    <d v="2023-01-10T00:00:00"/>
    <x v="191"/>
    <x v="3"/>
    <x v="0"/>
    <n v="1"/>
    <n v="81.84"/>
    <n v="0.16"/>
    <x v="1"/>
    <x v="5"/>
    <n v="3.6"/>
    <n v="68.75"/>
    <n v="68.745599999999996"/>
    <n v="10"/>
    <x v="0"/>
    <x v="1"/>
  </r>
  <r>
    <n v="10376"/>
    <d v="2023-01-11T00:00:00"/>
    <x v="302"/>
    <x v="3"/>
    <x v="3"/>
    <n v="5"/>
    <n v="336.33"/>
    <n v="0.13"/>
    <x v="2"/>
    <x v="1"/>
    <n v="4.8"/>
    <n v="1463.04"/>
    <n v="1463.0355"/>
    <n v="11"/>
    <x v="0"/>
    <x v="1"/>
  </r>
  <r>
    <n v="10377"/>
    <d v="2023-01-12T00:00:00"/>
    <x v="227"/>
    <x v="2"/>
    <x v="3"/>
    <n v="1"/>
    <n v="15.78"/>
    <n v="0.16"/>
    <x v="0"/>
    <x v="0"/>
    <n v="4.8"/>
    <n v="13.26"/>
    <n v="13.255199999999999"/>
    <n v="12"/>
    <x v="0"/>
    <x v="1"/>
  </r>
  <r>
    <n v="10378"/>
    <d v="2023-01-13T00:00:00"/>
    <x v="155"/>
    <x v="1"/>
    <x v="0"/>
    <n v="1"/>
    <n v="204.45"/>
    <n v="0.28999999999999998"/>
    <x v="0"/>
    <x v="1"/>
    <n v="4.8"/>
    <n v="145.16"/>
    <n v="145.15949999999998"/>
    <n v="13"/>
    <x v="0"/>
    <x v="1"/>
  </r>
  <r>
    <n v="10379"/>
    <d v="2023-01-14T00:00:00"/>
    <x v="303"/>
    <x v="1"/>
    <x v="0"/>
    <n v="5"/>
    <n v="143.66"/>
    <n v="0.23"/>
    <x v="2"/>
    <x v="7"/>
    <n v="1.2"/>
    <n v="553.09"/>
    <n v="553.09099999999989"/>
    <n v="14"/>
    <x v="0"/>
    <x v="1"/>
  </r>
  <r>
    <n v="10380"/>
    <d v="2023-01-15T00:00:00"/>
    <x v="100"/>
    <x v="1"/>
    <x v="0"/>
    <n v="6"/>
    <n v="583.16"/>
    <n v="0.02"/>
    <x v="2"/>
    <x v="2"/>
    <n v="2.6"/>
    <n v="3428.98"/>
    <n v="3428.9808000000003"/>
    <n v="15"/>
    <x v="0"/>
    <x v="1"/>
  </r>
  <r>
    <n v="10381"/>
    <d v="2023-01-16T00:00:00"/>
    <x v="304"/>
    <x v="0"/>
    <x v="2"/>
    <n v="7"/>
    <n v="440.44"/>
    <n v="0.34"/>
    <x v="1"/>
    <x v="4"/>
    <n v="1.2"/>
    <n v="2034.83"/>
    <n v="2034.8327999999999"/>
    <n v="16"/>
    <x v="0"/>
    <x v="1"/>
  </r>
  <r>
    <n v="10382"/>
    <d v="2023-01-17T00:00:00"/>
    <x v="19"/>
    <x v="3"/>
    <x v="2"/>
    <n v="4"/>
    <n v="219.55"/>
    <n v="0.05"/>
    <x v="1"/>
    <x v="10"/>
    <n v="2.2000000000000002"/>
    <n v="834.29"/>
    <n v="834.29000000000008"/>
    <n v="17"/>
    <x v="0"/>
    <x v="1"/>
  </r>
  <r>
    <n v="10383"/>
    <d v="2023-01-18T00:00:00"/>
    <x v="305"/>
    <x v="3"/>
    <x v="1"/>
    <n v="6"/>
    <n v="69.31"/>
    <n v="0.26"/>
    <x v="1"/>
    <x v="4"/>
    <n v="1.7"/>
    <n v="307.74"/>
    <n v="307.7364"/>
    <n v="18"/>
    <x v="0"/>
    <x v="1"/>
  </r>
  <r>
    <n v="10384"/>
    <d v="2023-01-19T00:00:00"/>
    <x v="306"/>
    <x v="3"/>
    <x v="2"/>
    <n v="6"/>
    <n v="317.33"/>
    <n v="0.22"/>
    <x v="1"/>
    <x v="7"/>
    <n v="3.5"/>
    <n v="1485.1"/>
    <n v="1485.1043999999999"/>
    <n v="19"/>
    <x v="0"/>
    <x v="1"/>
  </r>
  <r>
    <n v="10385"/>
    <d v="2023-01-20T00:00:00"/>
    <x v="307"/>
    <x v="1"/>
    <x v="2"/>
    <n v="6"/>
    <n v="139.87"/>
    <n v="7.0000000000000007E-2"/>
    <x v="1"/>
    <x v="7"/>
    <n v="4.0999999999999996"/>
    <n v="780.47"/>
    <n v="780.47460000000001"/>
    <n v="20"/>
    <x v="0"/>
    <x v="1"/>
  </r>
  <r>
    <n v="10386"/>
    <d v="2023-01-21T00:00:00"/>
    <x v="308"/>
    <x v="0"/>
    <x v="3"/>
    <n v="7"/>
    <n v="328.81"/>
    <n v="0.06"/>
    <x v="1"/>
    <x v="8"/>
    <n v="3.1"/>
    <n v="2163.5700000000002"/>
    <n v="2163.5698000000002"/>
    <n v="21"/>
    <x v="0"/>
    <x v="1"/>
  </r>
  <r>
    <n v="10387"/>
    <d v="2023-01-22T00:00:00"/>
    <x v="309"/>
    <x v="3"/>
    <x v="1"/>
    <n v="3"/>
    <n v="503.69"/>
    <n v="0.3"/>
    <x v="0"/>
    <x v="5"/>
    <n v="4.2"/>
    <n v="1057.75"/>
    <n v="1057.7489999999998"/>
    <n v="22"/>
    <x v="0"/>
    <x v="1"/>
  </r>
  <r>
    <n v="10388"/>
    <d v="2023-01-23T00:00:00"/>
    <x v="310"/>
    <x v="3"/>
    <x v="1"/>
    <n v="7"/>
    <n v="375.24"/>
    <n v="0.15"/>
    <x v="2"/>
    <x v="9"/>
    <n v="1.1000000000000001"/>
    <n v="2232.6799999999998"/>
    <n v="2232.6780000000003"/>
    <n v="23"/>
    <x v="0"/>
    <x v="1"/>
  </r>
  <r>
    <n v="10389"/>
    <d v="2023-01-24T00:00:00"/>
    <x v="211"/>
    <x v="0"/>
    <x v="2"/>
    <n v="6"/>
    <n v="385.77"/>
    <n v="0.23"/>
    <x v="1"/>
    <x v="9"/>
    <n v="4.3"/>
    <n v="1782.26"/>
    <n v="1782.2574"/>
    <n v="24"/>
    <x v="0"/>
    <x v="1"/>
  </r>
  <r>
    <n v="10390"/>
    <d v="2023-01-25T00:00:00"/>
    <x v="311"/>
    <x v="2"/>
    <x v="3"/>
    <n v="3"/>
    <n v="331.5"/>
    <n v="0.18"/>
    <x v="0"/>
    <x v="3"/>
    <n v="1.7"/>
    <n v="815.49"/>
    <n v="815.49"/>
    <n v="25"/>
    <x v="0"/>
    <x v="1"/>
  </r>
  <r>
    <n v="10391"/>
    <d v="2023-01-26T00:00:00"/>
    <x v="237"/>
    <x v="3"/>
    <x v="3"/>
    <n v="5"/>
    <n v="557.45000000000005"/>
    <n v="0.25"/>
    <x v="1"/>
    <x v="1"/>
    <n v="2.8"/>
    <n v="2090.44"/>
    <n v="2090.4375"/>
    <n v="26"/>
    <x v="0"/>
    <x v="1"/>
  </r>
  <r>
    <n v="10392"/>
    <d v="2023-01-27T00:00:00"/>
    <x v="312"/>
    <x v="2"/>
    <x v="1"/>
    <n v="7"/>
    <n v="560.16"/>
    <n v="0.17"/>
    <x v="2"/>
    <x v="9"/>
    <n v="2.8"/>
    <n v="3254.53"/>
    <n v="3254.5295999999998"/>
    <n v="27"/>
    <x v="0"/>
    <x v="1"/>
  </r>
  <r>
    <n v="10393"/>
    <d v="2023-01-28T00:00:00"/>
    <x v="313"/>
    <x v="2"/>
    <x v="3"/>
    <n v="4"/>
    <n v="314.94"/>
    <n v="0.1"/>
    <x v="2"/>
    <x v="6"/>
    <n v="4.5"/>
    <n v="1133.78"/>
    <n v="1133.7840000000001"/>
    <n v="28"/>
    <x v="0"/>
    <x v="1"/>
  </r>
  <r>
    <n v="10394"/>
    <d v="2023-01-29T00:00:00"/>
    <x v="314"/>
    <x v="2"/>
    <x v="0"/>
    <n v="6"/>
    <n v="193.87"/>
    <n v="0.13"/>
    <x v="1"/>
    <x v="2"/>
    <n v="4.9000000000000004"/>
    <n v="1012"/>
    <n v="1012.0014"/>
    <n v="29"/>
    <x v="0"/>
    <x v="1"/>
  </r>
  <r>
    <n v="10395"/>
    <d v="2023-01-30T00:00:00"/>
    <x v="315"/>
    <x v="0"/>
    <x v="2"/>
    <n v="2"/>
    <n v="283.86"/>
    <n v="0.3"/>
    <x v="2"/>
    <x v="3"/>
    <n v="2"/>
    <n v="397.4"/>
    <n v="397.404"/>
    <n v="30"/>
    <x v="0"/>
    <x v="1"/>
  </r>
  <r>
    <n v="10396"/>
    <d v="2023-01-31T00:00:00"/>
    <x v="316"/>
    <x v="0"/>
    <x v="0"/>
    <n v="5"/>
    <n v="124.14"/>
    <n v="0.16"/>
    <x v="1"/>
    <x v="5"/>
    <n v="1.3"/>
    <n v="521.39"/>
    <n v="521.38800000000003"/>
    <n v="31"/>
    <x v="0"/>
    <x v="1"/>
  </r>
  <r>
    <n v="10397"/>
    <d v="2023-02-01T00:00:00"/>
    <x v="298"/>
    <x v="3"/>
    <x v="1"/>
    <n v="3"/>
    <n v="387.26"/>
    <n v="7.0000000000000007E-2"/>
    <x v="1"/>
    <x v="0"/>
    <n v="3.6"/>
    <n v="1080.46"/>
    <n v="1080.4554000000001"/>
    <n v="1"/>
    <x v="1"/>
    <x v="1"/>
  </r>
  <r>
    <n v="10398"/>
    <d v="2023-02-02T00:00:00"/>
    <x v="317"/>
    <x v="3"/>
    <x v="1"/>
    <n v="7"/>
    <n v="307.55"/>
    <n v="0.33"/>
    <x v="1"/>
    <x v="0"/>
    <n v="3"/>
    <n v="1442.41"/>
    <n v="1442.4094999999998"/>
    <n v="2"/>
    <x v="1"/>
    <x v="1"/>
  </r>
  <r>
    <n v="10399"/>
    <d v="2023-02-03T00:00:00"/>
    <x v="318"/>
    <x v="1"/>
    <x v="3"/>
    <n v="4"/>
    <n v="75.430000000000007"/>
    <n v="0.28000000000000003"/>
    <x v="0"/>
    <x v="4"/>
    <n v="3.3"/>
    <n v="217.24"/>
    <n v="217.23840000000001"/>
    <n v="3"/>
    <x v="1"/>
    <x v="1"/>
  </r>
  <r>
    <n v="10400"/>
    <d v="2023-02-04T00:00:00"/>
    <x v="234"/>
    <x v="0"/>
    <x v="3"/>
    <n v="1"/>
    <n v="130.62"/>
    <n v="0.02"/>
    <x v="2"/>
    <x v="7"/>
    <n v="1.2"/>
    <n v="128.01"/>
    <n v="128.0076"/>
    <n v="4"/>
    <x v="1"/>
    <x v="1"/>
  </r>
  <r>
    <n v="10401"/>
    <d v="2023-02-05T00:00:00"/>
    <x v="205"/>
    <x v="1"/>
    <x v="1"/>
    <n v="4"/>
    <n v="295.58"/>
    <n v="0.35"/>
    <x v="2"/>
    <x v="0"/>
    <n v="4.0999999999999996"/>
    <n v="768.51"/>
    <n v="768.50800000000004"/>
    <n v="5"/>
    <x v="1"/>
    <x v="1"/>
  </r>
  <r>
    <n v="10402"/>
    <d v="2023-02-06T00:00:00"/>
    <x v="155"/>
    <x v="1"/>
    <x v="1"/>
    <n v="4"/>
    <n v="534.24"/>
    <n v="0.24"/>
    <x v="2"/>
    <x v="7"/>
    <n v="1.9"/>
    <n v="1624.09"/>
    <n v="1624.0896"/>
    <n v="6"/>
    <x v="1"/>
    <x v="1"/>
  </r>
  <r>
    <n v="10403"/>
    <d v="2023-02-07T00:00:00"/>
    <x v="319"/>
    <x v="2"/>
    <x v="0"/>
    <n v="6"/>
    <n v="346.34"/>
    <n v="0.06"/>
    <x v="1"/>
    <x v="4"/>
    <n v="2.2999999999999998"/>
    <n v="1953.36"/>
    <n v="1953.3576"/>
    <n v="7"/>
    <x v="1"/>
    <x v="1"/>
  </r>
  <r>
    <n v="10404"/>
    <d v="2023-02-08T00:00:00"/>
    <x v="2"/>
    <x v="3"/>
    <x v="0"/>
    <n v="6"/>
    <n v="413.7"/>
    <n v="0.08"/>
    <x v="2"/>
    <x v="2"/>
    <n v="1.9"/>
    <n v="2283.62"/>
    <n v="2283.6239999999998"/>
    <n v="8"/>
    <x v="1"/>
    <x v="1"/>
  </r>
  <r>
    <n v="10405"/>
    <d v="2023-02-09T00:00:00"/>
    <x v="320"/>
    <x v="3"/>
    <x v="3"/>
    <n v="7"/>
    <n v="213.33"/>
    <n v="0.24"/>
    <x v="1"/>
    <x v="2"/>
    <n v="4.8"/>
    <n v="1134.92"/>
    <n v="1134.9156000000003"/>
    <n v="9"/>
    <x v="1"/>
    <x v="1"/>
  </r>
  <r>
    <n v="10406"/>
    <d v="2023-02-10T00:00:00"/>
    <x v="321"/>
    <x v="1"/>
    <x v="0"/>
    <n v="7"/>
    <n v="349.28"/>
    <n v="0.27"/>
    <x v="1"/>
    <x v="9"/>
    <n v="1.7"/>
    <n v="1784.82"/>
    <n v="1784.8208"/>
    <n v="10"/>
    <x v="1"/>
    <x v="1"/>
  </r>
  <r>
    <n v="10407"/>
    <d v="2023-02-11T00:00:00"/>
    <x v="322"/>
    <x v="2"/>
    <x v="3"/>
    <n v="3"/>
    <n v="276.72000000000003"/>
    <n v="0.08"/>
    <x v="2"/>
    <x v="0"/>
    <n v="3.9"/>
    <n v="763.75"/>
    <n v="763.74720000000002"/>
    <n v="11"/>
    <x v="1"/>
    <x v="1"/>
  </r>
  <r>
    <n v="10408"/>
    <d v="2023-02-12T00:00:00"/>
    <x v="110"/>
    <x v="3"/>
    <x v="3"/>
    <n v="7"/>
    <n v="400.59"/>
    <n v="0.09"/>
    <x v="1"/>
    <x v="4"/>
    <n v="2"/>
    <n v="2551.7600000000002"/>
    <n v="2551.7582999999995"/>
    <n v="12"/>
    <x v="1"/>
    <x v="1"/>
  </r>
  <r>
    <n v="10409"/>
    <d v="2023-02-13T00:00:00"/>
    <x v="323"/>
    <x v="2"/>
    <x v="2"/>
    <n v="3"/>
    <n v="44.59"/>
    <n v="0.11"/>
    <x v="1"/>
    <x v="7"/>
    <n v="2.7"/>
    <n v="119.06"/>
    <n v="119.05530000000002"/>
    <n v="13"/>
    <x v="1"/>
    <x v="1"/>
  </r>
  <r>
    <n v="10410"/>
    <d v="2023-02-14T00:00:00"/>
    <x v="89"/>
    <x v="3"/>
    <x v="3"/>
    <n v="6"/>
    <n v="303.58"/>
    <n v="0.21"/>
    <x v="0"/>
    <x v="2"/>
    <n v="5"/>
    <n v="1438.97"/>
    <n v="1438.9692"/>
    <n v="14"/>
    <x v="1"/>
    <x v="1"/>
  </r>
  <r>
    <n v="10411"/>
    <d v="2023-02-15T00:00:00"/>
    <x v="324"/>
    <x v="0"/>
    <x v="0"/>
    <n v="6"/>
    <n v="188.16"/>
    <n v="0.06"/>
    <x v="2"/>
    <x v="3"/>
    <n v="1.4"/>
    <n v="1061.22"/>
    <n v="1061.2224000000001"/>
    <n v="15"/>
    <x v="1"/>
    <x v="1"/>
  </r>
  <r>
    <n v="10412"/>
    <d v="2023-02-16T00:00:00"/>
    <x v="108"/>
    <x v="1"/>
    <x v="1"/>
    <n v="2"/>
    <n v="205.82"/>
    <n v="0.04"/>
    <x v="2"/>
    <x v="9"/>
    <n v="4.5"/>
    <n v="395.17"/>
    <n v="395.17439999999999"/>
    <n v="16"/>
    <x v="1"/>
    <x v="1"/>
  </r>
  <r>
    <n v="10413"/>
    <d v="2023-02-17T00:00:00"/>
    <x v="325"/>
    <x v="2"/>
    <x v="1"/>
    <n v="2"/>
    <n v="577.14"/>
    <n v="0.24"/>
    <x v="1"/>
    <x v="10"/>
    <n v="4.8"/>
    <n v="877.25"/>
    <n v="877.25279999999998"/>
    <n v="17"/>
    <x v="1"/>
    <x v="1"/>
  </r>
  <r>
    <n v="10414"/>
    <d v="2023-02-18T00:00:00"/>
    <x v="326"/>
    <x v="3"/>
    <x v="0"/>
    <n v="5"/>
    <n v="121.88"/>
    <n v="0.27"/>
    <x v="1"/>
    <x v="9"/>
    <n v="3.8"/>
    <n v="444.86"/>
    <n v="444.86199999999997"/>
    <n v="18"/>
    <x v="1"/>
    <x v="1"/>
  </r>
  <r>
    <n v="10415"/>
    <d v="2023-02-19T00:00:00"/>
    <x v="97"/>
    <x v="3"/>
    <x v="1"/>
    <n v="6"/>
    <n v="197.08"/>
    <n v="0.18"/>
    <x v="2"/>
    <x v="0"/>
    <n v="1"/>
    <n v="969.63"/>
    <n v="969.6336"/>
    <n v="19"/>
    <x v="1"/>
    <x v="1"/>
  </r>
  <r>
    <n v="10416"/>
    <d v="2023-02-20T00:00:00"/>
    <x v="31"/>
    <x v="1"/>
    <x v="3"/>
    <n v="1"/>
    <n v="313.29000000000002"/>
    <n v="0.13"/>
    <x v="2"/>
    <x v="1"/>
    <n v="4.3"/>
    <n v="272.56"/>
    <n v="272.56229999999999"/>
    <n v="20"/>
    <x v="1"/>
    <x v="1"/>
  </r>
  <r>
    <n v="10417"/>
    <d v="2023-02-21T00:00:00"/>
    <x v="327"/>
    <x v="0"/>
    <x v="1"/>
    <n v="2"/>
    <n v="519.87"/>
    <n v="0.15"/>
    <x v="2"/>
    <x v="7"/>
    <n v="4.5"/>
    <n v="883.78"/>
    <n v="883.779"/>
    <n v="21"/>
    <x v="1"/>
    <x v="1"/>
  </r>
  <r>
    <n v="10418"/>
    <d v="2023-02-22T00:00:00"/>
    <x v="328"/>
    <x v="2"/>
    <x v="0"/>
    <n v="3"/>
    <n v="258.75"/>
    <n v="0.14000000000000001"/>
    <x v="0"/>
    <x v="9"/>
    <n v="4.9000000000000004"/>
    <n v="667.58"/>
    <n v="667.57500000000005"/>
    <n v="22"/>
    <x v="1"/>
    <x v="1"/>
  </r>
  <r>
    <n v="10419"/>
    <d v="2023-02-23T00:00:00"/>
    <x v="168"/>
    <x v="1"/>
    <x v="1"/>
    <n v="4"/>
    <n v="450.16"/>
    <n v="0.34"/>
    <x v="0"/>
    <x v="4"/>
    <n v="4.4000000000000004"/>
    <n v="1188.42"/>
    <n v="1188.4223999999999"/>
    <n v="23"/>
    <x v="1"/>
    <x v="1"/>
  </r>
  <r>
    <n v="10420"/>
    <d v="2023-02-24T00:00:00"/>
    <x v="30"/>
    <x v="3"/>
    <x v="3"/>
    <n v="7"/>
    <n v="515.98"/>
    <n v="0.27"/>
    <x v="1"/>
    <x v="2"/>
    <n v="2.8"/>
    <n v="2636.66"/>
    <n v="2636.6578"/>
    <n v="24"/>
    <x v="1"/>
    <x v="1"/>
  </r>
  <r>
    <n v="10421"/>
    <d v="2023-02-25T00:00:00"/>
    <x v="100"/>
    <x v="0"/>
    <x v="3"/>
    <n v="7"/>
    <n v="196.36"/>
    <n v="7.0000000000000007E-2"/>
    <x v="0"/>
    <x v="2"/>
    <n v="3.8"/>
    <n v="1278.3"/>
    <n v="1278.3036"/>
    <n v="25"/>
    <x v="1"/>
    <x v="1"/>
  </r>
  <r>
    <n v="10422"/>
    <d v="2023-02-26T00:00:00"/>
    <x v="329"/>
    <x v="2"/>
    <x v="0"/>
    <n v="5"/>
    <n v="244.76"/>
    <n v="0.13"/>
    <x v="2"/>
    <x v="0"/>
    <n v="2.9"/>
    <n v="1064.71"/>
    <n v="1064.7059999999999"/>
    <n v="26"/>
    <x v="1"/>
    <x v="1"/>
  </r>
  <r>
    <n v="10423"/>
    <d v="2023-02-27T00:00:00"/>
    <x v="330"/>
    <x v="3"/>
    <x v="0"/>
    <n v="2"/>
    <n v="223.59"/>
    <n v="0.19"/>
    <x v="2"/>
    <x v="0"/>
    <n v="2.4"/>
    <n v="362.22"/>
    <n v="362.2158"/>
    <n v="27"/>
    <x v="1"/>
    <x v="1"/>
  </r>
  <r>
    <n v="10424"/>
    <d v="2023-02-28T00:00:00"/>
    <x v="321"/>
    <x v="1"/>
    <x v="0"/>
    <n v="4"/>
    <n v="502.22"/>
    <n v="0.21"/>
    <x v="1"/>
    <x v="1"/>
    <n v="3.5"/>
    <n v="1587.02"/>
    <n v="1587.0152"/>
    <n v="28"/>
    <x v="1"/>
    <x v="1"/>
  </r>
  <r>
    <n v="10425"/>
    <d v="2023-03-01T00:00:00"/>
    <x v="134"/>
    <x v="1"/>
    <x v="2"/>
    <n v="4"/>
    <n v="40.94"/>
    <n v="0.16"/>
    <x v="2"/>
    <x v="0"/>
    <n v="4.0999999999999996"/>
    <n v="137.56"/>
    <n v="137.55840000000001"/>
    <n v="1"/>
    <x v="2"/>
    <x v="1"/>
  </r>
  <r>
    <n v="10426"/>
    <d v="2023-03-02T00:00:00"/>
    <x v="143"/>
    <x v="2"/>
    <x v="2"/>
    <n v="2"/>
    <n v="195.43"/>
    <n v="0.28000000000000003"/>
    <x v="0"/>
    <x v="4"/>
    <n v="3.5"/>
    <n v="281.42"/>
    <n v="281.41919999999999"/>
    <n v="2"/>
    <x v="2"/>
    <x v="1"/>
  </r>
  <r>
    <n v="10427"/>
    <d v="2023-03-03T00:00:00"/>
    <x v="331"/>
    <x v="0"/>
    <x v="3"/>
    <n v="1"/>
    <n v="412.45"/>
    <n v="0.27"/>
    <x v="2"/>
    <x v="0"/>
    <n v="4.3"/>
    <n v="301.08999999999997"/>
    <n v="301.08849999999995"/>
    <n v="3"/>
    <x v="2"/>
    <x v="1"/>
  </r>
  <r>
    <n v="10428"/>
    <d v="2023-03-04T00:00:00"/>
    <x v="254"/>
    <x v="2"/>
    <x v="2"/>
    <n v="1"/>
    <n v="345.78"/>
    <n v="0.18"/>
    <x v="2"/>
    <x v="10"/>
    <n v="1.7"/>
    <n v="283.54000000000002"/>
    <n v="283.53959999999995"/>
    <n v="4"/>
    <x v="2"/>
    <x v="1"/>
  </r>
  <r>
    <n v="10429"/>
    <d v="2023-03-05T00:00:00"/>
    <x v="202"/>
    <x v="2"/>
    <x v="2"/>
    <n v="5"/>
    <n v="270.23"/>
    <n v="0.3"/>
    <x v="1"/>
    <x v="3"/>
    <n v="2.5"/>
    <n v="945.8"/>
    <n v="945.80500000000006"/>
    <n v="5"/>
    <x v="2"/>
    <x v="1"/>
  </r>
  <r>
    <n v="10430"/>
    <d v="2023-03-06T00:00:00"/>
    <x v="148"/>
    <x v="2"/>
    <x v="1"/>
    <n v="1"/>
    <n v="330.87"/>
    <n v="0.26"/>
    <x v="1"/>
    <x v="4"/>
    <n v="2.2999999999999998"/>
    <n v="244.84"/>
    <n v="244.84379999999999"/>
    <n v="6"/>
    <x v="2"/>
    <x v="1"/>
  </r>
  <r>
    <n v="10431"/>
    <d v="2023-03-07T00:00:00"/>
    <x v="332"/>
    <x v="0"/>
    <x v="2"/>
    <n v="5"/>
    <n v="130.59"/>
    <n v="0.27"/>
    <x v="1"/>
    <x v="1"/>
    <n v="1.8"/>
    <n v="476.65"/>
    <n v="476.65350000000001"/>
    <n v="7"/>
    <x v="2"/>
    <x v="1"/>
  </r>
  <r>
    <n v="10432"/>
    <d v="2023-03-08T00:00:00"/>
    <x v="32"/>
    <x v="3"/>
    <x v="1"/>
    <n v="3"/>
    <n v="266.97000000000003"/>
    <n v="0.33"/>
    <x v="1"/>
    <x v="3"/>
    <n v="2.8"/>
    <n v="536.61"/>
    <n v="536.60969999999998"/>
    <n v="8"/>
    <x v="2"/>
    <x v="1"/>
  </r>
  <r>
    <n v="10433"/>
    <d v="2023-03-09T00:00:00"/>
    <x v="273"/>
    <x v="3"/>
    <x v="0"/>
    <n v="2"/>
    <n v="308.5"/>
    <n v="0.09"/>
    <x v="2"/>
    <x v="2"/>
    <n v="4.8"/>
    <n v="561.47"/>
    <n v="561.47"/>
    <n v="9"/>
    <x v="2"/>
    <x v="1"/>
  </r>
  <r>
    <n v="10434"/>
    <d v="2023-03-10T00:00:00"/>
    <x v="333"/>
    <x v="2"/>
    <x v="1"/>
    <n v="4"/>
    <n v="542.20000000000005"/>
    <n v="0.09"/>
    <x v="1"/>
    <x v="9"/>
    <n v="3.2"/>
    <n v="1973.61"/>
    <n v="1973.6080000000002"/>
    <n v="10"/>
    <x v="2"/>
    <x v="1"/>
  </r>
  <r>
    <n v="10435"/>
    <d v="2023-03-11T00:00:00"/>
    <x v="334"/>
    <x v="1"/>
    <x v="1"/>
    <n v="5"/>
    <n v="167.59"/>
    <n v="0.31"/>
    <x v="2"/>
    <x v="5"/>
    <n v="2.1"/>
    <n v="578.19000000000005"/>
    <n v="578.18550000000005"/>
    <n v="11"/>
    <x v="2"/>
    <x v="1"/>
  </r>
  <r>
    <n v="10436"/>
    <d v="2023-03-12T00:00:00"/>
    <x v="335"/>
    <x v="1"/>
    <x v="0"/>
    <n v="7"/>
    <n v="522.67999999999995"/>
    <n v="0.27"/>
    <x v="1"/>
    <x v="4"/>
    <n v="2.4"/>
    <n v="2670.89"/>
    <n v="2670.8948"/>
    <n v="12"/>
    <x v="2"/>
    <x v="1"/>
  </r>
  <r>
    <n v="10437"/>
    <d v="2023-03-13T00:00:00"/>
    <x v="34"/>
    <x v="3"/>
    <x v="0"/>
    <n v="1"/>
    <n v="391.88"/>
    <n v="0.32"/>
    <x v="1"/>
    <x v="0"/>
    <n v="3.5"/>
    <n v="266.48"/>
    <n v="266.47839999999997"/>
    <n v="13"/>
    <x v="2"/>
    <x v="1"/>
  </r>
  <r>
    <n v="10438"/>
    <d v="2023-03-14T00:00:00"/>
    <x v="336"/>
    <x v="0"/>
    <x v="3"/>
    <n v="7"/>
    <n v="26.9"/>
    <n v="0.02"/>
    <x v="1"/>
    <x v="1"/>
    <n v="2.4"/>
    <n v="184.53"/>
    <n v="184.53399999999999"/>
    <n v="14"/>
    <x v="2"/>
    <x v="1"/>
  </r>
  <r>
    <n v="10439"/>
    <d v="2023-03-15T00:00:00"/>
    <x v="337"/>
    <x v="2"/>
    <x v="3"/>
    <n v="5"/>
    <n v="438.91"/>
    <n v="0.22"/>
    <x v="0"/>
    <x v="4"/>
    <n v="3.2"/>
    <n v="1711.75"/>
    <n v="1711.7490000000003"/>
    <n v="15"/>
    <x v="2"/>
    <x v="1"/>
  </r>
  <r>
    <n v="10440"/>
    <d v="2023-03-16T00:00:00"/>
    <x v="338"/>
    <x v="3"/>
    <x v="3"/>
    <n v="6"/>
    <n v="35.799999999999997"/>
    <n v="0.05"/>
    <x v="1"/>
    <x v="4"/>
    <n v="2.1"/>
    <n v="204.06"/>
    <n v="204.05999999999997"/>
    <n v="16"/>
    <x v="2"/>
    <x v="1"/>
  </r>
  <r>
    <n v="10441"/>
    <d v="2023-03-17T00:00:00"/>
    <x v="339"/>
    <x v="2"/>
    <x v="3"/>
    <n v="5"/>
    <n v="598.47"/>
    <n v="0.18"/>
    <x v="1"/>
    <x v="6"/>
    <n v="2.4"/>
    <n v="2453.73"/>
    <n v="2453.7270000000003"/>
    <n v="17"/>
    <x v="2"/>
    <x v="1"/>
  </r>
  <r>
    <n v="10442"/>
    <d v="2023-03-18T00:00:00"/>
    <x v="340"/>
    <x v="1"/>
    <x v="1"/>
    <n v="1"/>
    <n v="525.49"/>
    <n v="0.05"/>
    <x v="0"/>
    <x v="5"/>
    <n v="3.8"/>
    <n v="499.22"/>
    <n v="499.21550000000002"/>
    <n v="18"/>
    <x v="2"/>
    <x v="1"/>
  </r>
  <r>
    <n v="10443"/>
    <d v="2023-03-19T00:00:00"/>
    <x v="50"/>
    <x v="2"/>
    <x v="1"/>
    <n v="6"/>
    <n v="188.95"/>
    <n v="0.04"/>
    <x v="0"/>
    <x v="2"/>
    <n v="3.3"/>
    <n v="1088.3499999999999"/>
    <n v="1088.3519999999999"/>
    <n v="19"/>
    <x v="2"/>
    <x v="1"/>
  </r>
  <r>
    <n v="10444"/>
    <d v="2023-03-20T00:00:00"/>
    <x v="341"/>
    <x v="2"/>
    <x v="3"/>
    <n v="6"/>
    <n v="165.59"/>
    <n v="0"/>
    <x v="2"/>
    <x v="2"/>
    <n v="1.4"/>
    <n v="993.54"/>
    <n v="993.54"/>
    <n v="20"/>
    <x v="2"/>
    <x v="1"/>
  </r>
  <r>
    <n v="10445"/>
    <d v="2023-03-21T00:00:00"/>
    <x v="77"/>
    <x v="1"/>
    <x v="2"/>
    <n v="1"/>
    <n v="238.14"/>
    <n v="0.22"/>
    <x v="1"/>
    <x v="5"/>
    <n v="4.9000000000000004"/>
    <n v="185.75"/>
    <n v="185.74919999999997"/>
    <n v="21"/>
    <x v="2"/>
    <x v="1"/>
  </r>
  <r>
    <n v="10446"/>
    <d v="2023-03-22T00:00:00"/>
    <x v="209"/>
    <x v="1"/>
    <x v="3"/>
    <n v="6"/>
    <n v="223.36"/>
    <n v="0.13"/>
    <x v="1"/>
    <x v="1"/>
    <n v="1.2"/>
    <n v="1165.94"/>
    <n v="1165.9392"/>
    <n v="22"/>
    <x v="2"/>
    <x v="1"/>
  </r>
  <r>
    <n v="10447"/>
    <d v="2023-03-23T00:00:00"/>
    <x v="342"/>
    <x v="2"/>
    <x v="2"/>
    <n v="2"/>
    <n v="232.82"/>
    <n v="0.04"/>
    <x v="0"/>
    <x v="0"/>
    <n v="1.3"/>
    <n v="447.01"/>
    <n v="447.01439999999997"/>
    <n v="23"/>
    <x v="2"/>
    <x v="1"/>
  </r>
  <r>
    <n v="10448"/>
    <d v="2023-03-24T00:00:00"/>
    <x v="343"/>
    <x v="3"/>
    <x v="0"/>
    <n v="4"/>
    <n v="201.19"/>
    <n v="0.11"/>
    <x v="0"/>
    <x v="5"/>
    <n v="3.8"/>
    <n v="716.24"/>
    <n v="716.2364"/>
    <n v="24"/>
    <x v="2"/>
    <x v="1"/>
  </r>
  <r>
    <n v="10449"/>
    <d v="2023-03-25T00:00:00"/>
    <x v="30"/>
    <x v="1"/>
    <x v="1"/>
    <n v="7"/>
    <n v="378.36"/>
    <n v="0.06"/>
    <x v="2"/>
    <x v="8"/>
    <n v="3.8"/>
    <n v="2489.61"/>
    <n v="2489.6088"/>
    <n v="25"/>
    <x v="2"/>
    <x v="1"/>
  </r>
  <r>
    <n v="10450"/>
    <d v="2023-03-26T00:00:00"/>
    <x v="201"/>
    <x v="2"/>
    <x v="1"/>
    <n v="2"/>
    <n v="111.09"/>
    <n v="0.33"/>
    <x v="1"/>
    <x v="2"/>
    <n v="1.1000000000000001"/>
    <n v="148.86000000000001"/>
    <n v="148.86060000000001"/>
    <n v="26"/>
    <x v="2"/>
    <x v="1"/>
  </r>
  <r>
    <n v="10451"/>
    <d v="2023-03-27T00:00:00"/>
    <x v="265"/>
    <x v="3"/>
    <x v="2"/>
    <n v="2"/>
    <n v="509.9"/>
    <n v="0.11"/>
    <x v="1"/>
    <x v="4"/>
    <n v="3.6"/>
    <n v="907.62"/>
    <n v="907.62199999999996"/>
    <n v="27"/>
    <x v="2"/>
    <x v="1"/>
  </r>
  <r>
    <n v="10452"/>
    <d v="2023-03-28T00:00:00"/>
    <x v="344"/>
    <x v="2"/>
    <x v="3"/>
    <n v="1"/>
    <n v="490.26"/>
    <n v="0.12"/>
    <x v="1"/>
    <x v="6"/>
    <n v="1.1000000000000001"/>
    <n v="431.43"/>
    <n v="431.42880000000002"/>
    <n v="28"/>
    <x v="2"/>
    <x v="1"/>
  </r>
  <r>
    <n v="10453"/>
    <d v="2023-03-29T00:00:00"/>
    <x v="111"/>
    <x v="1"/>
    <x v="1"/>
    <n v="1"/>
    <n v="293.74"/>
    <n v="0.28999999999999998"/>
    <x v="2"/>
    <x v="1"/>
    <n v="4.8"/>
    <n v="208.56"/>
    <n v="208.55540000000002"/>
    <n v="29"/>
    <x v="2"/>
    <x v="1"/>
  </r>
  <r>
    <n v="10454"/>
    <d v="2023-03-30T00:00:00"/>
    <x v="345"/>
    <x v="3"/>
    <x v="2"/>
    <n v="7"/>
    <n v="513.85"/>
    <n v="0.23"/>
    <x v="1"/>
    <x v="1"/>
    <n v="3.8"/>
    <n v="2769.65"/>
    <n v="2769.6515000000004"/>
    <n v="30"/>
    <x v="2"/>
    <x v="1"/>
  </r>
  <r>
    <n v="10455"/>
    <d v="2023-03-31T00:00:00"/>
    <x v="346"/>
    <x v="2"/>
    <x v="0"/>
    <n v="4"/>
    <n v="159.58000000000001"/>
    <n v="0.25"/>
    <x v="0"/>
    <x v="7"/>
    <n v="1.7"/>
    <n v="478.74"/>
    <n v="478.74"/>
    <n v="31"/>
    <x v="2"/>
    <x v="1"/>
  </r>
  <r>
    <n v="10456"/>
    <d v="2023-04-01T00:00:00"/>
    <x v="300"/>
    <x v="2"/>
    <x v="0"/>
    <n v="5"/>
    <n v="25.28"/>
    <n v="0.22"/>
    <x v="1"/>
    <x v="3"/>
    <n v="1.6"/>
    <n v="98.59"/>
    <n v="98.592000000000013"/>
    <n v="1"/>
    <x v="3"/>
    <x v="1"/>
  </r>
  <r>
    <n v="10457"/>
    <d v="2023-04-02T00:00:00"/>
    <x v="347"/>
    <x v="1"/>
    <x v="1"/>
    <n v="2"/>
    <n v="377.24"/>
    <n v="0.33"/>
    <x v="2"/>
    <x v="0"/>
    <n v="3.3"/>
    <n v="505.5"/>
    <n v="505.5016"/>
    <n v="2"/>
    <x v="3"/>
    <x v="1"/>
  </r>
  <r>
    <n v="10458"/>
    <d v="2023-04-03T00:00:00"/>
    <x v="100"/>
    <x v="0"/>
    <x v="3"/>
    <n v="6"/>
    <n v="282.88"/>
    <n v="7.0000000000000007E-2"/>
    <x v="1"/>
    <x v="6"/>
    <n v="3.5"/>
    <n v="1578.47"/>
    <n v="1578.4703999999999"/>
    <n v="3"/>
    <x v="3"/>
    <x v="1"/>
  </r>
  <r>
    <n v="10459"/>
    <d v="2023-04-04T00:00:00"/>
    <x v="303"/>
    <x v="1"/>
    <x v="2"/>
    <n v="4"/>
    <n v="346.79"/>
    <n v="0.35"/>
    <x v="2"/>
    <x v="1"/>
    <n v="4.3"/>
    <n v="901.65"/>
    <n v="901.65400000000011"/>
    <n v="4"/>
    <x v="3"/>
    <x v="1"/>
  </r>
  <r>
    <n v="10460"/>
    <d v="2023-04-05T00:00:00"/>
    <x v="348"/>
    <x v="3"/>
    <x v="1"/>
    <n v="2"/>
    <n v="541.11"/>
    <n v="0.28999999999999998"/>
    <x v="1"/>
    <x v="0"/>
    <n v="4.5999999999999996"/>
    <n v="768.38"/>
    <n v="768.37620000000004"/>
    <n v="5"/>
    <x v="3"/>
    <x v="1"/>
  </r>
  <r>
    <n v="10461"/>
    <d v="2023-04-06T00:00:00"/>
    <x v="159"/>
    <x v="1"/>
    <x v="0"/>
    <n v="5"/>
    <n v="582.41"/>
    <n v="0.21"/>
    <x v="2"/>
    <x v="0"/>
    <n v="2.6"/>
    <n v="2300.52"/>
    <n v="2300.5194999999999"/>
    <n v="6"/>
    <x v="3"/>
    <x v="1"/>
  </r>
  <r>
    <n v="10462"/>
    <d v="2023-04-07T00:00:00"/>
    <x v="28"/>
    <x v="2"/>
    <x v="3"/>
    <n v="6"/>
    <n v="386.16"/>
    <n v="0.23"/>
    <x v="2"/>
    <x v="9"/>
    <n v="4.4000000000000004"/>
    <n v="1784.06"/>
    <n v="1784.0591999999999"/>
    <n v="7"/>
    <x v="3"/>
    <x v="1"/>
  </r>
  <r>
    <n v="10463"/>
    <d v="2023-04-08T00:00:00"/>
    <x v="349"/>
    <x v="1"/>
    <x v="2"/>
    <n v="2"/>
    <n v="461.97"/>
    <n v="0.23"/>
    <x v="1"/>
    <x v="3"/>
    <n v="3.2"/>
    <n v="711.43"/>
    <n v="711.43380000000002"/>
    <n v="8"/>
    <x v="3"/>
    <x v="1"/>
  </r>
  <r>
    <n v="10464"/>
    <d v="2023-04-09T00:00:00"/>
    <x v="350"/>
    <x v="3"/>
    <x v="1"/>
    <n v="3"/>
    <n v="64.03"/>
    <n v="0.02"/>
    <x v="0"/>
    <x v="3"/>
    <n v="2.9"/>
    <n v="188.25"/>
    <n v="188.2482"/>
    <n v="9"/>
    <x v="3"/>
    <x v="1"/>
  </r>
  <r>
    <n v="10465"/>
    <d v="2023-04-10T00:00:00"/>
    <x v="351"/>
    <x v="2"/>
    <x v="2"/>
    <n v="7"/>
    <n v="109.02"/>
    <n v="0.08"/>
    <x v="2"/>
    <x v="2"/>
    <n v="3.8"/>
    <n v="702.09"/>
    <n v="702.08879999999999"/>
    <n v="10"/>
    <x v="3"/>
    <x v="1"/>
  </r>
  <r>
    <n v="10466"/>
    <d v="2023-04-11T00:00:00"/>
    <x v="352"/>
    <x v="2"/>
    <x v="3"/>
    <n v="4"/>
    <n v="443.92"/>
    <n v="0.34"/>
    <x v="0"/>
    <x v="3"/>
    <n v="1.4"/>
    <n v="1171.95"/>
    <n v="1171.9488000000001"/>
    <n v="11"/>
    <x v="3"/>
    <x v="1"/>
  </r>
  <r>
    <n v="10467"/>
    <d v="2023-04-12T00:00:00"/>
    <x v="240"/>
    <x v="2"/>
    <x v="3"/>
    <n v="7"/>
    <n v="267.35000000000002"/>
    <n v="0.19"/>
    <x v="0"/>
    <x v="2"/>
    <n v="2.1"/>
    <n v="1515.87"/>
    <n v="1515.8745000000004"/>
    <n v="12"/>
    <x v="3"/>
    <x v="1"/>
  </r>
  <r>
    <n v="10468"/>
    <d v="2023-04-13T00:00:00"/>
    <x v="353"/>
    <x v="1"/>
    <x v="0"/>
    <n v="1"/>
    <n v="275.89"/>
    <n v="0.13"/>
    <x v="0"/>
    <x v="1"/>
    <n v="4.3"/>
    <n v="240.02"/>
    <n v="240.02429999999998"/>
    <n v="13"/>
    <x v="3"/>
    <x v="1"/>
  </r>
  <r>
    <n v="10469"/>
    <d v="2023-04-14T00:00:00"/>
    <x v="90"/>
    <x v="0"/>
    <x v="3"/>
    <n v="2"/>
    <n v="195.54"/>
    <n v="0.27"/>
    <x v="1"/>
    <x v="4"/>
    <n v="3"/>
    <n v="285.49"/>
    <n v="285.48839999999996"/>
    <n v="14"/>
    <x v="3"/>
    <x v="1"/>
  </r>
  <r>
    <n v="10470"/>
    <d v="2023-04-15T00:00:00"/>
    <x v="354"/>
    <x v="2"/>
    <x v="1"/>
    <n v="6"/>
    <n v="370.3"/>
    <n v="0.18"/>
    <x v="1"/>
    <x v="5"/>
    <n v="4.5999999999999996"/>
    <n v="1821.88"/>
    <n v="1821.8760000000002"/>
    <n v="15"/>
    <x v="3"/>
    <x v="1"/>
  </r>
  <r>
    <n v="10471"/>
    <d v="2023-04-16T00:00:00"/>
    <x v="15"/>
    <x v="1"/>
    <x v="2"/>
    <n v="6"/>
    <n v="123.32"/>
    <n v="0"/>
    <x v="0"/>
    <x v="0"/>
    <n v="1.4"/>
    <n v="739.92"/>
    <n v="739.92"/>
    <n v="16"/>
    <x v="3"/>
    <x v="1"/>
  </r>
  <r>
    <n v="10472"/>
    <d v="2023-04-17T00:00:00"/>
    <x v="355"/>
    <x v="2"/>
    <x v="3"/>
    <n v="4"/>
    <n v="381.75"/>
    <n v="0.26"/>
    <x v="2"/>
    <x v="1"/>
    <n v="2.2999999999999998"/>
    <n v="1129.98"/>
    <n v="1129.98"/>
    <n v="17"/>
    <x v="3"/>
    <x v="1"/>
  </r>
  <r>
    <n v="10473"/>
    <d v="2023-04-18T00:00:00"/>
    <x v="155"/>
    <x v="0"/>
    <x v="3"/>
    <n v="4"/>
    <n v="116.67"/>
    <n v="0.26"/>
    <x v="1"/>
    <x v="1"/>
    <n v="2.4"/>
    <n v="345.34"/>
    <n v="345.34320000000002"/>
    <n v="18"/>
    <x v="3"/>
    <x v="1"/>
  </r>
  <r>
    <n v="10474"/>
    <d v="2023-04-19T00:00:00"/>
    <x v="175"/>
    <x v="2"/>
    <x v="1"/>
    <n v="7"/>
    <n v="52.34"/>
    <n v="0.06"/>
    <x v="2"/>
    <x v="4"/>
    <n v="2.7"/>
    <n v="344.4"/>
    <n v="344.3972"/>
    <n v="19"/>
    <x v="3"/>
    <x v="1"/>
  </r>
  <r>
    <n v="10475"/>
    <d v="2023-04-20T00:00:00"/>
    <x v="213"/>
    <x v="1"/>
    <x v="2"/>
    <n v="6"/>
    <n v="208.26"/>
    <n v="0.33"/>
    <x v="1"/>
    <x v="1"/>
    <n v="4.9000000000000004"/>
    <n v="837.21"/>
    <n v="837.20519999999988"/>
    <n v="20"/>
    <x v="3"/>
    <x v="1"/>
  </r>
  <r>
    <n v="10476"/>
    <d v="2023-04-21T00:00:00"/>
    <x v="301"/>
    <x v="3"/>
    <x v="2"/>
    <n v="6"/>
    <n v="150.22"/>
    <n v="0.08"/>
    <x v="2"/>
    <x v="7"/>
    <n v="2.2000000000000002"/>
    <n v="829.21"/>
    <n v="829.21439999999996"/>
    <n v="21"/>
    <x v="3"/>
    <x v="1"/>
  </r>
  <r>
    <n v="10477"/>
    <d v="2023-04-22T00:00:00"/>
    <x v="256"/>
    <x v="3"/>
    <x v="0"/>
    <n v="6"/>
    <n v="535.05999999999995"/>
    <n v="0.16"/>
    <x v="0"/>
    <x v="9"/>
    <n v="3.1"/>
    <n v="2696.7"/>
    <n v="2696.7023999999997"/>
    <n v="22"/>
    <x v="3"/>
    <x v="1"/>
  </r>
  <r>
    <n v="10478"/>
    <d v="2023-04-23T00:00:00"/>
    <x v="270"/>
    <x v="1"/>
    <x v="0"/>
    <n v="2"/>
    <n v="47.15"/>
    <n v="0.04"/>
    <x v="2"/>
    <x v="8"/>
    <n v="3.1"/>
    <n v="90.53"/>
    <n v="90.527999999999992"/>
    <n v="23"/>
    <x v="3"/>
    <x v="1"/>
  </r>
  <r>
    <n v="10479"/>
    <d v="2023-04-24T00:00:00"/>
    <x v="231"/>
    <x v="2"/>
    <x v="2"/>
    <n v="6"/>
    <n v="118.32"/>
    <n v="0.21"/>
    <x v="1"/>
    <x v="0"/>
    <n v="4.0999999999999996"/>
    <n v="560.84"/>
    <n v="560.83680000000004"/>
    <n v="24"/>
    <x v="3"/>
    <x v="1"/>
  </r>
  <r>
    <n v="10480"/>
    <d v="2023-04-25T00:00:00"/>
    <x v="356"/>
    <x v="1"/>
    <x v="1"/>
    <n v="1"/>
    <n v="336"/>
    <n v="0.13"/>
    <x v="1"/>
    <x v="10"/>
    <n v="3.1"/>
    <n v="292.32"/>
    <n v="292.32"/>
    <n v="25"/>
    <x v="3"/>
    <x v="1"/>
  </r>
  <r>
    <n v="10481"/>
    <d v="2023-04-26T00:00:00"/>
    <x v="357"/>
    <x v="2"/>
    <x v="1"/>
    <n v="6"/>
    <n v="296.42"/>
    <n v="0.12"/>
    <x v="1"/>
    <x v="2"/>
    <n v="3.4"/>
    <n v="1565.1"/>
    <n v="1565.0976000000001"/>
    <n v="26"/>
    <x v="3"/>
    <x v="1"/>
  </r>
  <r>
    <n v="10482"/>
    <d v="2023-04-27T00:00:00"/>
    <x v="358"/>
    <x v="2"/>
    <x v="0"/>
    <n v="1"/>
    <n v="41.82"/>
    <n v="0.28999999999999998"/>
    <x v="2"/>
    <x v="1"/>
    <n v="4"/>
    <n v="29.69"/>
    <n v="29.6922"/>
    <n v="27"/>
    <x v="3"/>
    <x v="1"/>
  </r>
  <r>
    <n v="10483"/>
    <d v="2023-04-28T00:00:00"/>
    <x v="155"/>
    <x v="1"/>
    <x v="3"/>
    <n v="2"/>
    <n v="19.239999999999998"/>
    <n v="0"/>
    <x v="1"/>
    <x v="7"/>
    <n v="1.4"/>
    <n v="38.479999999999997"/>
    <n v="38.479999999999997"/>
    <n v="28"/>
    <x v="3"/>
    <x v="1"/>
  </r>
  <r>
    <n v="10484"/>
    <d v="2023-04-29T00:00:00"/>
    <x v="44"/>
    <x v="2"/>
    <x v="1"/>
    <n v="4"/>
    <n v="593.02"/>
    <n v="0.28000000000000003"/>
    <x v="2"/>
    <x v="10"/>
    <n v="4.9000000000000004"/>
    <n v="1707.9"/>
    <n v="1707.8975999999998"/>
    <n v="29"/>
    <x v="3"/>
    <x v="1"/>
  </r>
  <r>
    <n v="10485"/>
    <d v="2023-04-30T00:00:00"/>
    <x v="359"/>
    <x v="2"/>
    <x v="3"/>
    <n v="1"/>
    <n v="400.42"/>
    <n v="0.2"/>
    <x v="2"/>
    <x v="1"/>
    <n v="4.4000000000000004"/>
    <n v="320.33999999999997"/>
    <n v="320.33600000000001"/>
    <n v="30"/>
    <x v="3"/>
    <x v="1"/>
  </r>
  <r>
    <n v="10486"/>
    <d v="2023-05-01T00:00:00"/>
    <x v="360"/>
    <x v="3"/>
    <x v="1"/>
    <n v="2"/>
    <n v="228.76"/>
    <n v="0.35"/>
    <x v="2"/>
    <x v="0"/>
    <n v="2.6"/>
    <n v="297.39"/>
    <n v="297.38800000000003"/>
    <n v="1"/>
    <x v="4"/>
    <x v="1"/>
  </r>
  <r>
    <n v="10487"/>
    <d v="2023-05-02T00:00:00"/>
    <x v="361"/>
    <x v="0"/>
    <x v="2"/>
    <n v="6"/>
    <n v="290.2"/>
    <n v="0.21"/>
    <x v="0"/>
    <x v="7"/>
    <n v="3.9"/>
    <n v="1375.55"/>
    <n v="1375.5479999999998"/>
    <n v="2"/>
    <x v="4"/>
    <x v="1"/>
  </r>
  <r>
    <n v="10488"/>
    <d v="2023-05-03T00:00:00"/>
    <x v="35"/>
    <x v="1"/>
    <x v="0"/>
    <n v="2"/>
    <n v="170.93"/>
    <n v="0.02"/>
    <x v="2"/>
    <x v="3"/>
    <n v="4"/>
    <n v="335.02"/>
    <n v="335.02280000000002"/>
    <n v="3"/>
    <x v="4"/>
    <x v="1"/>
  </r>
  <r>
    <n v="10489"/>
    <d v="2023-05-04T00:00:00"/>
    <x v="362"/>
    <x v="2"/>
    <x v="3"/>
    <n v="6"/>
    <n v="216.75"/>
    <n v="0.02"/>
    <x v="1"/>
    <x v="6"/>
    <n v="4.4000000000000004"/>
    <n v="1274.49"/>
    <n v="1274.49"/>
    <n v="4"/>
    <x v="4"/>
    <x v="1"/>
  </r>
  <r>
    <n v="10490"/>
    <d v="2023-05-05T00:00:00"/>
    <x v="363"/>
    <x v="2"/>
    <x v="3"/>
    <n v="7"/>
    <n v="394.69"/>
    <n v="0.31"/>
    <x v="2"/>
    <x v="8"/>
    <n v="1.8"/>
    <n v="1906.35"/>
    <n v="1906.3526999999999"/>
    <n v="5"/>
    <x v="4"/>
    <x v="1"/>
  </r>
  <r>
    <n v="10491"/>
    <d v="2023-05-06T00:00:00"/>
    <x v="364"/>
    <x v="0"/>
    <x v="2"/>
    <n v="2"/>
    <n v="531.44000000000005"/>
    <n v="0.28999999999999998"/>
    <x v="2"/>
    <x v="10"/>
    <n v="3.8"/>
    <n v="754.64"/>
    <n v="754.64480000000003"/>
    <n v="6"/>
    <x v="4"/>
    <x v="1"/>
  </r>
  <r>
    <n v="10492"/>
    <d v="2023-05-07T00:00:00"/>
    <x v="31"/>
    <x v="2"/>
    <x v="1"/>
    <n v="4"/>
    <n v="122.72"/>
    <n v="0.12"/>
    <x v="1"/>
    <x v="10"/>
    <n v="1.1000000000000001"/>
    <n v="431.97"/>
    <n v="431.9744"/>
    <n v="7"/>
    <x v="4"/>
    <x v="1"/>
  </r>
  <r>
    <n v="10493"/>
    <d v="2023-05-08T00:00:00"/>
    <x v="365"/>
    <x v="2"/>
    <x v="3"/>
    <n v="1"/>
    <n v="506.61"/>
    <n v="0.22"/>
    <x v="2"/>
    <x v="2"/>
    <n v="1.5"/>
    <n v="395.16"/>
    <n v="395.1558"/>
    <n v="8"/>
    <x v="4"/>
    <x v="1"/>
  </r>
  <r>
    <n v="10494"/>
    <d v="2023-05-09T00:00:00"/>
    <x v="366"/>
    <x v="1"/>
    <x v="1"/>
    <n v="7"/>
    <n v="86.11"/>
    <n v="0.17"/>
    <x v="1"/>
    <x v="0"/>
    <n v="4.0999999999999996"/>
    <n v="500.3"/>
    <n v="500.29909999999995"/>
    <n v="9"/>
    <x v="4"/>
    <x v="1"/>
  </r>
  <r>
    <n v="10495"/>
    <d v="2023-05-10T00:00:00"/>
    <x v="367"/>
    <x v="1"/>
    <x v="2"/>
    <n v="4"/>
    <n v="140.77000000000001"/>
    <n v="0.34"/>
    <x v="1"/>
    <x v="10"/>
    <n v="4.3"/>
    <n v="371.63"/>
    <n v="371.63279999999997"/>
    <n v="10"/>
    <x v="4"/>
    <x v="1"/>
  </r>
  <r>
    <n v="10496"/>
    <d v="2023-05-11T00:00:00"/>
    <x v="368"/>
    <x v="1"/>
    <x v="0"/>
    <n v="3"/>
    <n v="36.75"/>
    <n v="0.33"/>
    <x v="0"/>
    <x v="0"/>
    <n v="3.4"/>
    <n v="73.87"/>
    <n v="73.867499999999993"/>
    <n v="11"/>
    <x v="4"/>
    <x v="1"/>
  </r>
  <r>
    <n v="10497"/>
    <d v="2023-05-12T00:00:00"/>
    <x v="369"/>
    <x v="2"/>
    <x v="3"/>
    <n v="6"/>
    <n v="97.37"/>
    <n v="0.34"/>
    <x v="0"/>
    <x v="7"/>
    <n v="3.3"/>
    <n v="385.59"/>
    <n v="385.58519999999999"/>
    <n v="12"/>
    <x v="4"/>
    <x v="1"/>
  </r>
  <r>
    <n v="10498"/>
    <d v="2023-05-13T00:00:00"/>
    <x v="370"/>
    <x v="2"/>
    <x v="1"/>
    <n v="1"/>
    <n v="551.62"/>
    <n v="0.3"/>
    <x v="2"/>
    <x v="8"/>
    <n v="4"/>
    <n v="386.13"/>
    <n v="386.13400000000001"/>
    <n v="13"/>
    <x v="4"/>
    <x v="1"/>
  </r>
  <r>
    <n v="10499"/>
    <d v="2023-05-14T00:00:00"/>
    <x v="86"/>
    <x v="0"/>
    <x v="3"/>
    <n v="4"/>
    <n v="283.77"/>
    <n v="0.32"/>
    <x v="2"/>
    <x v="10"/>
    <n v="4.5999999999999996"/>
    <n v="771.85"/>
    <n v="771.85439999999994"/>
    <n v="14"/>
    <x v="4"/>
    <x v="1"/>
  </r>
  <r>
    <n v="10500"/>
    <d v="2023-05-15T00:00:00"/>
    <x v="371"/>
    <x v="2"/>
    <x v="1"/>
    <n v="1"/>
    <n v="60.43"/>
    <n v="0.08"/>
    <x v="0"/>
    <x v="9"/>
    <n v="2.7"/>
    <n v="55.6"/>
    <n v="55.595599999999997"/>
    <n v="15"/>
    <x v="4"/>
    <x v="1"/>
  </r>
  <r>
    <n v="10501"/>
    <d v="2023-05-16T00:00:00"/>
    <x v="366"/>
    <x v="3"/>
    <x v="1"/>
    <n v="3"/>
    <n v="576.44000000000005"/>
    <n v="0.28999999999999998"/>
    <x v="0"/>
    <x v="4"/>
    <n v="1.5"/>
    <n v="1227.82"/>
    <n v="1227.8172000000002"/>
    <n v="16"/>
    <x v="4"/>
    <x v="1"/>
  </r>
  <r>
    <n v="10502"/>
    <d v="2023-05-17T00:00:00"/>
    <x v="17"/>
    <x v="3"/>
    <x v="1"/>
    <n v="5"/>
    <n v="529.21"/>
    <n v="0.25"/>
    <x v="2"/>
    <x v="6"/>
    <n v="4.4000000000000004"/>
    <n v="1984.54"/>
    <n v="1984.5375000000001"/>
    <n v="17"/>
    <x v="4"/>
    <x v="1"/>
  </r>
  <r>
    <n v="10503"/>
    <d v="2023-05-18T00:00:00"/>
    <x v="372"/>
    <x v="1"/>
    <x v="2"/>
    <n v="6"/>
    <n v="456.49"/>
    <n v="0.34"/>
    <x v="2"/>
    <x v="10"/>
    <n v="2.4"/>
    <n v="1807.7"/>
    <n v="1807.7003999999999"/>
    <n v="18"/>
    <x v="4"/>
    <x v="1"/>
  </r>
  <r>
    <n v="10504"/>
    <d v="2023-05-19T00:00:00"/>
    <x v="113"/>
    <x v="2"/>
    <x v="0"/>
    <n v="6"/>
    <n v="561.08000000000004"/>
    <n v="0.2"/>
    <x v="1"/>
    <x v="2"/>
    <n v="1.5"/>
    <n v="2693.18"/>
    <n v="2693.1840000000002"/>
    <n v="19"/>
    <x v="4"/>
    <x v="1"/>
  </r>
  <r>
    <n v="10505"/>
    <d v="2023-05-20T00:00:00"/>
    <x v="373"/>
    <x v="2"/>
    <x v="3"/>
    <n v="2"/>
    <n v="143.78"/>
    <n v="0.03"/>
    <x v="1"/>
    <x v="3"/>
    <n v="3.5"/>
    <n v="278.93"/>
    <n v="278.9332"/>
    <n v="20"/>
    <x v="4"/>
    <x v="1"/>
  </r>
  <r>
    <n v="10506"/>
    <d v="2023-05-21T00:00:00"/>
    <x v="374"/>
    <x v="1"/>
    <x v="0"/>
    <n v="6"/>
    <n v="504.28"/>
    <n v="0.21"/>
    <x v="1"/>
    <x v="0"/>
    <n v="3.3"/>
    <n v="2390.29"/>
    <n v="2390.2871999999998"/>
    <n v="21"/>
    <x v="4"/>
    <x v="1"/>
  </r>
  <r>
    <n v="10507"/>
    <d v="2023-05-22T00:00:00"/>
    <x v="78"/>
    <x v="0"/>
    <x v="1"/>
    <n v="6"/>
    <n v="418.64"/>
    <n v="0.24"/>
    <x v="2"/>
    <x v="6"/>
    <n v="2.9"/>
    <n v="1909"/>
    <n v="1908.9984000000002"/>
    <n v="22"/>
    <x v="4"/>
    <x v="1"/>
  </r>
  <r>
    <n v="10508"/>
    <d v="2023-05-23T00:00:00"/>
    <x v="375"/>
    <x v="0"/>
    <x v="1"/>
    <n v="4"/>
    <n v="523.80999999999995"/>
    <n v="0.08"/>
    <x v="0"/>
    <x v="5"/>
    <n v="4.4000000000000004"/>
    <n v="1927.62"/>
    <n v="1927.6207999999997"/>
    <n v="23"/>
    <x v="4"/>
    <x v="1"/>
  </r>
  <r>
    <n v="10509"/>
    <d v="2023-05-24T00:00:00"/>
    <x v="376"/>
    <x v="2"/>
    <x v="0"/>
    <n v="7"/>
    <n v="481.19"/>
    <n v="0.14000000000000001"/>
    <x v="0"/>
    <x v="10"/>
    <n v="2.1"/>
    <n v="2896.76"/>
    <n v="2896.7637999999997"/>
    <n v="24"/>
    <x v="4"/>
    <x v="1"/>
  </r>
  <r>
    <n v="10510"/>
    <d v="2023-05-25T00:00:00"/>
    <x v="377"/>
    <x v="2"/>
    <x v="0"/>
    <n v="6"/>
    <n v="217.7"/>
    <n v="0.21"/>
    <x v="1"/>
    <x v="5"/>
    <n v="1.1000000000000001"/>
    <n v="1031.9000000000001"/>
    <n v="1031.8979999999997"/>
    <n v="25"/>
    <x v="4"/>
    <x v="1"/>
  </r>
  <r>
    <n v="10511"/>
    <d v="2023-05-26T00:00:00"/>
    <x v="378"/>
    <x v="0"/>
    <x v="3"/>
    <n v="6"/>
    <n v="468.02"/>
    <n v="0.13"/>
    <x v="2"/>
    <x v="6"/>
    <n v="2.2999999999999998"/>
    <n v="2443.06"/>
    <n v="2443.0643999999998"/>
    <n v="26"/>
    <x v="4"/>
    <x v="1"/>
  </r>
  <r>
    <n v="10512"/>
    <d v="2023-05-27T00:00:00"/>
    <x v="379"/>
    <x v="3"/>
    <x v="1"/>
    <n v="3"/>
    <n v="168.54"/>
    <n v="0.13"/>
    <x v="1"/>
    <x v="1"/>
    <n v="1"/>
    <n v="439.89"/>
    <n v="439.88940000000002"/>
    <n v="27"/>
    <x v="4"/>
    <x v="1"/>
  </r>
  <r>
    <n v="10513"/>
    <d v="2023-05-28T00:00:00"/>
    <x v="140"/>
    <x v="0"/>
    <x v="0"/>
    <n v="7"/>
    <n v="207.23"/>
    <n v="0.05"/>
    <x v="1"/>
    <x v="0"/>
    <n v="3.2"/>
    <n v="1378.08"/>
    <n v="1378.0794999999998"/>
    <n v="28"/>
    <x v="4"/>
    <x v="1"/>
  </r>
  <r>
    <n v="10514"/>
    <d v="2023-05-29T00:00:00"/>
    <x v="27"/>
    <x v="2"/>
    <x v="2"/>
    <n v="3"/>
    <n v="78.12"/>
    <n v="0.33"/>
    <x v="0"/>
    <x v="6"/>
    <n v="2.5"/>
    <n v="157.02000000000001"/>
    <n v="157.02120000000002"/>
    <n v="29"/>
    <x v="4"/>
    <x v="1"/>
  </r>
  <r>
    <n v="10515"/>
    <d v="2023-05-30T00:00:00"/>
    <x v="380"/>
    <x v="1"/>
    <x v="1"/>
    <n v="1"/>
    <n v="562.02"/>
    <n v="0.26"/>
    <x v="2"/>
    <x v="9"/>
    <n v="4.3"/>
    <n v="415.89"/>
    <n v="415.89479999999998"/>
    <n v="30"/>
    <x v="4"/>
    <x v="1"/>
  </r>
  <r>
    <n v="10516"/>
    <d v="2023-05-31T00:00:00"/>
    <x v="381"/>
    <x v="3"/>
    <x v="1"/>
    <n v="1"/>
    <n v="185.24"/>
    <n v="0"/>
    <x v="2"/>
    <x v="5"/>
    <n v="4.2"/>
    <n v="185.24"/>
    <n v="185.24"/>
    <n v="31"/>
    <x v="4"/>
    <x v="1"/>
  </r>
  <r>
    <n v="10517"/>
    <d v="2023-06-01T00:00:00"/>
    <x v="315"/>
    <x v="3"/>
    <x v="3"/>
    <n v="6"/>
    <n v="319.56"/>
    <n v="0.27"/>
    <x v="1"/>
    <x v="9"/>
    <n v="2.7"/>
    <n v="1399.67"/>
    <n v="1399.6728000000001"/>
    <n v="1"/>
    <x v="5"/>
    <x v="1"/>
  </r>
  <r>
    <n v="10518"/>
    <d v="2023-06-02T00:00:00"/>
    <x v="280"/>
    <x v="1"/>
    <x v="2"/>
    <n v="6"/>
    <n v="243.93"/>
    <n v="0.26"/>
    <x v="1"/>
    <x v="6"/>
    <n v="1.9"/>
    <n v="1083.05"/>
    <n v="1083.0491999999999"/>
    <n v="2"/>
    <x v="5"/>
    <x v="1"/>
  </r>
  <r>
    <n v="10519"/>
    <d v="2023-06-03T00:00:00"/>
    <x v="171"/>
    <x v="2"/>
    <x v="3"/>
    <n v="2"/>
    <n v="576.55999999999995"/>
    <n v="0"/>
    <x v="2"/>
    <x v="5"/>
    <n v="2.7"/>
    <n v="1153.1199999999999"/>
    <n v="1153.1199999999999"/>
    <n v="3"/>
    <x v="5"/>
    <x v="1"/>
  </r>
  <r>
    <n v="10520"/>
    <d v="2023-06-04T00:00:00"/>
    <x v="382"/>
    <x v="1"/>
    <x v="2"/>
    <n v="1"/>
    <n v="211"/>
    <n v="0.13"/>
    <x v="1"/>
    <x v="0"/>
    <n v="3.6"/>
    <n v="183.57"/>
    <n v="183.57"/>
    <n v="4"/>
    <x v="5"/>
    <x v="1"/>
  </r>
  <r>
    <n v="10521"/>
    <d v="2023-06-05T00:00:00"/>
    <x v="383"/>
    <x v="2"/>
    <x v="3"/>
    <n v="4"/>
    <n v="470.45"/>
    <n v="0.21"/>
    <x v="1"/>
    <x v="5"/>
    <n v="1.8"/>
    <n v="1486.62"/>
    <n v="1486.6219999999998"/>
    <n v="5"/>
    <x v="5"/>
    <x v="1"/>
  </r>
  <r>
    <n v="10522"/>
    <d v="2023-06-06T00:00:00"/>
    <x v="384"/>
    <x v="1"/>
    <x v="2"/>
    <n v="6"/>
    <n v="515.41999999999996"/>
    <n v="0.16"/>
    <x v="1"/>
    <x v="2"/>
    <n v="4.0999999999999996"/>
    <n v="2597.7199999999998"/>
    <n v="2597.7167999999997"/>
    <n v="6"/>
    <x v="5"/>
    <x v="1"/>
  </r>
  <r>
    <n v="10523"/>
    <d v="2023-06-07T00:00:00"/>
    <x v="385"/>
    <x v="0"/>
    <x v="2"/>
    <n v="4"/>
    <n v="269.83"/>
    <n v="0.27"/>
    <x v="2"/>
    <x v="5"/>
    <n v="2.2999999999999998"/>
    <n v="787.9"/>
    <n v="787.90359999999987"/>
    <n v="7"/>
    <x v="5"/>
    <x v="1"/>
  </r>
  <r>
    <n v="10524"/>
    <d v="2023-06-08T00:00:00"/>
    <x v="90"/>
    <x v="1"/>
    <x v="2"/>
    <n v="6"/>
    <n v="236.23"/>
    <n v="0.15"/>
    <x v="0"/>
    <x v="4"/>
    <n v="4.7"/>
    <n v="1204.77"/>
    <n v="1204.7729999999999"/>
    <n v="8"/>
    <x v="5"/>
    <x v="1"/>
  </r>
  <r>
    <n v="10525"/>
    <d v="2023-06-09T00:00:00"/>
    <x v="42"/>
    <x v="3"/>
    <x v="0"/>
    <n v="4"/>
    <n v="452.43"/>
    <n v="0.05"/>
    <x v="0"/>
    <x v="1"/>
    <n v="3"/>
    <n v="1719.23"/>
    <n v="1719.2339999999999"/>
    <n v="9"/>
    <x v="5"/>
    <x v="1"/>
  </r>
  <r>
    <n v="10526"/>
    <d v="2023-06-10T00:00:00"/>
    <x v="386"/>
    <x v="2"/>
    <x v="1"/>
    <n v="5"/>
    <n v="549.04"/>
    <n v="0.34"/>
    <x v="0"/>
    <x v="0"/>
    <n v="4.4000000000000004"/>
    <n v="1811.83"/>
    <n v="1811.8319999999999"/>
    <n v="10"/>
    <x v="5"/>
    <x v="1"/>
  </r>
  <r>
    <n v="10527"/>
    <d v="2023-06-11T00:00:00"/>
    <x v="387"/>
    <x v="3"/>
    <x v="2"/>
    <n v="4"/>
    <n v="456.64"/>
    <n v="0.08"/>
    <x v="0"/>
    <x v="7"/>
    <n v="3.5"/>
    <n v="1680.44"/>
    <n v="1680.4351999999999"/>
    <n v="11"/>
    <x v="5"/>
    <x v="1"/>
  </r>
  <r>
    <n v="10528"/>
    <d v="2023-06-12T00:00:00"/>
    <x v="388"/>
    <x v="0"/>
    <x v="0"/>
    <n v="7"/>
    <n v="147.87"/>
    <n v="0.25"/>
    <x v="0"/>
    <x v="10"/>
    <n v="3.2"/>
    <n v="776.32"/>
    <n v="776.31750000000011"/>
    <n v="12"/>
    <x v="5"/>
    <x v="1"/>
  </r>
  <r>
    <n v="10529"/>
    <d v="2023-06-13T00:00:00"/>
    <x v="389"/>
    <x v="2"/>
    <x v="0"/>
    <n v="1"/>
    <n v="534.66"/>
    <n v="0.05"/>
    <x v="2"/>
    <x v="3"/>
    <n v="3.7"/>
    <n v="507.93"/>
    <n v="507.92699999999996"/>
    <n v="13"/>
    <x v="5"/>
    <x v="1"/>
  </r>
  <r>
    <n v="10530"/>
    <d v="2023-06-14T00:00:00"/>
    <x v="390"/>
    <x v="2"/>
    <x v="3"/>
    <n v="6"/>
    <n v="241.74"/>
    <n v="0.12"/>
    <x v="2"/>
    <x v="7"/>
    <n v="4.2"/>
    <n v="1276.3900000000001"/>
    <n v="1276.3872000000001"/>
    <n v="14"/>
    <x v="5"/>
    <x v="1"/>
  </r>
  <r>
    <n v="10531"/>
    <d v="2023-06-15T00:00:00"/>
    <x v="391"/>
    <x v="1"/>
    <x v="1"/>
    <n v="1"/>
    <n v="352.09"/>
    <n v="0.15"/>
    <x v="1"/>
    <x v="4"/>
    <n v="3.6"/>
    <n v="299.27999999999997"/>
    <n v="299.2765"/>
    <n v="15"/>
    <x v="5"/>
    <x v="1"/>
  </r>
  <r>
    <n v="10532"/>
    <d v="2023-06-16T00:00:00"/>
    <x v="190"/>
    <x v="2"/>
    <x v="1"/>
    <n v="7"/>
    <n v="501.39"/>
    <n v="7.0000000000000007E-2"/>
    <x v="0"/>
    <x v="9"/>
    <n v="4.2"/>
    <n v="3264.05"/>
    <n v="3264.0488999999998"/>
    <n v="16"/>
    <x v="5"/>
    <x v="1"/>
  </r>
  <r>
    <n v="10533"/>
    <d v="2023-06-17T00:00:00"/>
    <x v="392"/>
    <x v="3"/>
    <x v="3"/>
    <n v="7"/>
    <n v="125.21"/>
    <n v="0.16"/>
    <x v="1"/>
    <x v="8"/>
    <n v="1.8"/>
    <n v="736.23"/>
    <n v="736.23479999999995"/>
    <n v="17"/>
    <x v="5"/>
    <x v="1"/>
  </r>
  <r>
    <n v="10534"/>
    <d v="2023-06-18T00:00:00"/>
    <x v="203"/>
    <x v="0"/>
    <x v="1"/>
    <n v="4"/>
    <n v="473.94"/>
    <n v="0.06"/>
    <x v="1"/>
    <x v="1"/>
    <n v="2.1"/>
    <n v="1782.01"/>
    <n v="1782.0144"/>
    <n v="18"/>
    <x v="5"/>
    <x v="1"/>
  </r>
  <r>
    <n v="10535"/>
    <d v="2023-06-19T00:00:00"/>
    <x v="393"/>
    <x v="1"/>
    <x v="3"/>
    <n v="3"/>
    <n v="363.76"/>
    <n v="0.2"/>
    <x v="0"/>
    <x v="1"/>
    <n v="1.9"/>
    <n v="873.02"/>
    <n v="873.024"/>
    <n v="19"/>
    <x v="5"/>
    <x v="1"/>
  </r>
  <r>
    <n v="10536"/>
    <d v="2023-06-20T00:00:00"/>
    <x v="394"/>
    <x v="2"/>
    <x v="0"/>
    <n v="3"/>
    <n v="537.6"/>
    <n v="0.23"/>
    <x v="1"/>
    <x v="2"/>
    <n v="4.2"/>
    <n v="1241.8599999999999"/>
    <n v="1241.8560000000002"/>
    <n v="20"/>
    <x v="5"/>
    <x v="1"/>
  </r>
  <r>
    <n v="10537"/>
    <d v="2023-06-21T00:00:00"/>
    <x v="189"/>
    <x v="1"/>
    <x v="0"/>
    <n v="7"/>
    <n v="115.6"/>
    <n v="0.02"/>
    <x v="0"/>
    <x v="5"/>
    <n v="1.3"/>
    <n v="793.02"/>
    <n v="793.01599999999996"/>
    <n v="21"/>
    <x v="5"/>
    <x v="1"/>
  </r>
  <r>
    <n v="10538"/>
    <d v="2023-06-22T00:00:00"/>
    <x v="395"/>
    <x v="3"/>
    <x v="2"/>
    <n v="3"/>
    <n v="261.10000000000002"/>
    <n v="0.3"/>
    <x v="2"/>
    <x v="2"/>
    <n v="4.2"/>
    <n v="548.30999999999995"/>
    <n v="548.31000000000006"/>
    <n v="22"/>
    <x v="5"/>
    <x v="1"/>
  </r>
  <r>
    <n v="10539"/>
    <d v="2023-06-23T00:00:00"/>
    <x v="396"/>
    <x v="2"/>
    <x v="3"/>
    <n v="6"/>
    <n v="502.21"/>
    <n v="0.06"/>
    <x v="1"/>
    <x v="5"/>
    <n v="2.6"/>
    <n v="2832.46"/>
    <n v="2832.4643999999998"/>
    <n v="23"/>
    <x v="5"/>
    <x v="1"/>
  </r>
  <r>
    <n v="10540"/>
    <d v="2023-06-24T00:00:00"/>
    <x v="397"/>
    <x v="1"/>
    <x v="0"/>
    <n v="2"/>
    <n v="26.25"/>
    <n v="0.08"/>
    <x v="2"/>
    <x v="6"/>
    <n v="1.3"/>
    <n v="48.3"/>
    <n v="48.3"/>
    <n v="24"/>
    <x v="5"/>
    <x v="1"/>
  </r>
  <r>
    <n v="10541"/>
    <d v="2023-06-25T00:00:00"/>
    <x v="77"/>
    <x v="1"/>
    <x v="0"/>
    <n v="5"/>
    <n v="80.64"/>
    <n v="0.23"/>
    <x v="0"/>
    <x v="9"/>
    <n v="2.7"/>
    <n v="310.45999999999998"/>
    <n v="310.464"/>
    <n v="25"/>
    <x v="5"/>
    <x v="1"/>
  </r>
  <r>
    <n v="10542"/>
    <d v="2023-06-26T00:00:00"/>
    <x v="350"/>
    <x v="1"/>
    <x v="3"/>
    <n v="4"/>
    <n v="594.48"/>
    <n v="0.16"/>
    <x v="1"/>
    <x v="5"/>
    <n v="2.2000000000000002"/>
    <n v="1997.45"/>
    <n v="1997.4528"/>
    <n v="26"/>
    <x v="5"/>
    <x v="1"/>
  </r>
  <r>
    <n v="10543"/>
    <d v="2023-06-27T00:00:00"/>
    <x v="398"/>
    <x v="2"/>
    <x v="0"/>
    <n v="2"/>
    <n v="179.03"/>
    <n v="0.17"/>
    <x v="2"/>
    <x v="9"/>
    <n v="3.4"/>
    <n v="297.19"/>
    <n v="297.18979999999999"/>
    <n v="27"/>
    <x v="5"/>
    <x v="1"/>
  </r>
  <r>
    <n v="10544"/>
    <d v="2023-06-28T00:00:00"/>
    <x v="399"/>
    <x v="3"/>
    <x v="1"/>
    <n v="3"/>
    <n v="585.69000000000005"/>
    <n v="0.04"/>
    <x v="0"/>
    <x v="9"/>
    <n v="2.9"/>
    <n v="1686.79"/>
    <n v="1686.7872000000002"/>
    <n v="28"/>
    <x v="5"/>
    <x v="1"/>
  </r>
  <r>
    <n v="10545"/>
    <d v="2023-06-29T00:00:00"/>
    <x v="400"/>
    <x v="2"/>
    <x v="0"/>
    <n v="4"/>
    <n v="121.78"/>
    <n v="0.28000000000000003"/>
    <x v="1"/>
    <x v="8"/>
    <n v="2.2000000000000002"/>
    <n v="350.73"/>
    <n v="350.72640000000001"/>
    <n v="29"/>
    <x v="5"/>
    <x v="1"/>
  </r>
  <r>
    <n v="10546"/>
    <d v="2023-06-30T00:00:00"/>
    <x v="333"/>
    <x v="2"/>
    <x v="3"/>
    <n v="2"/>
    <n v="226.24"/>
    <n v="0.22"/>
    <x v="1"/>
    <x v="4"/>
    <n v="4.4000000000000004"/>
    <n v="352.93"/>
    <n v="352.93439999999998"/>
    <n v="30"/>
    <x v="5"/>
    <x v="1"/>
  </r>
  <r>
    <n v="10547"/>
    <d v="2023-07-01T00:00:00"/>
    <x v="401"/>
    <x v="0"/>
    <x v="1"/>
    <n v="1"/>
    <n v="455.43"/>
    <n v="0.05"/>
    <x v="1"/>
    <x v="10"/>
    <n v="2.6"/>
    <n v="432.66"/>
    <n v="432.6585"/>
    <n v="1"/>
    <x v="6"/>
    <x v="1"/>
  </r>
  <r>
    <n v="10548"/>
    <d v="2023-07-02T00:00:00"/>
    <x v="402"/>
    <x v="3"/>
    <x v="1"/>
    <n v="3"/>
    <n v="399.8"/>
    <n v="0.13"/>
    <x v="1"/>
    <x v="0"/>
    <n v="2.9"/>
    <n v="1043.48"/>
    <n v="1043.4780000000001"/>
    <n v="2"/>
    <x v="6"/>
    <x v="1"/>
  </r>
  <r>
    <n v="10549"/>
    <d v="2023-07-03T00:00:00"/>
    <x v="72"/>
    <x v="2"/>
    <x v="0"/>
    <n v="2"/>
    <n v="354.96"/>
    <n v="0.28000000000000003"/>
    <x v="1"/>
    <x v="7"/>
    <n v="4.4000000000000004"/>
    <n v="511.14"/>
    <n v="511.14239999999995"/>
    <n v="3"/>
    <x v="6"/>
    <x v="1"/>
  </r>
  <r>
    <n v="10550"/>
    <d v="2023-07-04T00:00:00"/>
    <x v="403"/>
    <x v="2"/>
    <x v="2"/>
    <n v="6"/>
    <n v="324.99"/>
    <n v="0.2"/>
    <x v="2"/>
    <x v="2"/>
    <n v="1.4"/>
    <n v="1559.95"/>
    <n v="1559.952"/>
    <n v="4"/>
    <x v="6"/>
    <x v="1"/>
  </r>
  <r>
    <n v="10551"/>
    <d v="2023-07-05T00:00:00"/>
    <x v="404"/>
    <x v="2"/>
    <x v="1"/>
    <n v="1"/>
    <n v="508.41"/>
    <n v="0.04"/>
    <x v="1"/>
    <x v="6"/>
    <n v="2.6"/>
    <n v="488.07"/>
    <n v="488.0736"/>
    <n v="5"/>
    <x v="6"/>
    <x v="1"/>
  </r>
  <r>
    <n v="10552"/>
    <d v="2023-07-06T00:00:00"/>
    <x v="405"/>
    <x v="2"/>
    <x v="3"/>
    <n v="3"/>
    <n v="152.44"/>
    <n v="0.13"/>
    <x v="0"/>
    <x v="7"/>
    <n v="2.6"/>
    <n v="397.87"/>
    <n v="397.86840000000001"/>
    <n v="6"/>
    <x v="6"/>
    <x v="1"/>
  </r>
  <r>
    <n v="10553"/>
    <d v="2023-07-07T00:00:00"/>
    <x v="103"/>
    <x v="2"/>
    <x v="2"/>
    <n v="5"/>
    <n v="273.85000000000002"/>
    <n v="0.08"/>
    <x v="1"/>
    <x v="8"/>
    <n v="3"/>
    <n v="1259.71"/>
    <n v="1259.71"/>
    <n v="7"/>
    <x v="6"/>
    <x v="1"/>
  </r>
  <r>
    <n v="10554"/>
    <d v="2023-07-08T00:00:00"/>
    <x v="406"/>
    <x v="2"/>
    <x v="2"/>
    <n v="7"/>
    <n v="105.94"/>
    <n v="0.18"/>
    <x v="2"/>
    <x v="0"/>
    <n v="1.4"/>
    <n v="608.1"/>
    <n v="608.09559999999988"/>
    <n v="8"/>
    <x v="6"/>
    <x v="1"/>
  </r>
  <r>
    <n v="10555"/>
    <d v="2023-07-09T00:00:00"/>
    <x v="375"/>
    <x v="1"/>
    <x v="1"/>
    <n v="3"/>
    <n v="363.63"/>
    <n v="0.3"/>
    <x v="2"/>
    <x v="7"/>
    <n v="1.4"/>
    <n v="763.62"/>
    <n v="763.62299999999982"/>
    <n v="9"/>
    <x v="6"/>
    <x v="1"/>
  </r>
  <r>
    <n v="10556"/>
    <d v="2023-07-10T00:00:00"/>
    <x v="407"/>
    <x v="3"/>
    <x v="0"/>
    <n v="6"/>
    <n v="161.57"/>
    <n v="0.15"/>
    <x v="0"/>
    <x v="8"/>
    <n v="2.7"/>
    <n v="824.01"/>
    <n v="824.00699999999995"/>
    <n v="10"/>
    <x v="6"/>
    <x v="1"/>
  </r>
  <r>
    <n v="10557"/>
    <d v="2023-07-11T00:00:00"/>
    <x v="408"/>
    <x v="1"/>
    <x v="2"/>
    <n v="5"/>
    <n v="210.3"/>
    <n v="0.15"/>
    <x v="2"/>
    <x v="5"/>
    <n v="1.1000000000000001"/>
    <n v="893.78"/>
    <n v="893.77499999999998"/>
    <n v="11"/>
    <x v="6"/>
    <x v="1"/>
  </r>
  <r>
    <n v="10558"/>
    <d v="2023-07-12T00:00:00"/>
    <x v="409"/>
    <x v="3"/>
    <x v="0"/>
    <n v="5"/>
    <n v="290.68"/>
    <n v="0.32"/>
    <x v="1"/>
    <x v="3"/>
    <n v="2"/>
    <n v="988.31"/>
    <n v="988.31200000000013"/>
    <n v="12"/>
    <x v="6"/>
    <x v="1"/>
  </r>
  <r>
    <n v="10559"/>
    <d v="2023-07-13T00:00:00"/>
    <x v="178"/>
    <x v="2"/>
    <x v="1"/>
    <n v="5"/>
    <n v="30.66"/>
    <n v="0.2"/>
    <x v="0"/>
    <x v="0"/>
    <n v="1.8"/>
    <n v="122.64"/>
    <n v="122.64000000000001"/>
    <n v="13"/>
    <x v="6"/>
    <x v="1"/>
  </r>
  <r>
    <n v="10560"/>
    <d v="2023-07-14T00:00:00"/>
    <x v="47"/>
    <x v="0"/>
    <x v="3"/>
    <n v="4"/>
    <n v="68.78"/>
    <n v="0.2"/>
    <x v="1"/>
    <x v="0"/>
    <n v="3"/>
    <n v="220.1"/>
    <n v="220.096"/>
    <n v="14"/>
    <x v="6"/>
    <x v="1"/>
  </r>
  <r>
    <n v="10561"/>
    <d v="2023-07-15T00:00:00"/>
    <x v="410"/>
    <x v="3"/>
    <x v="2"/>
    <n v="4"/>
    <n v="416.27"/>
    <n v="0.09"/>
    <x v="1"/>
    <x v="6"/>
    <n v="1"/>
    <n v="1515.22"/>
    <n v="1515.2228"/>
    <n v="15"/>
    <x v="6"/>
    <x v="1"/>
  </r>
  <r>
    <n v="10562"/>
    <d v="2023-07-16T00:00:00"/>
    <x v="411"/>
    <x v="3"/>
    <x v="3"/>
    <n v="7"/>
    <n v="265.95"/>
    <n v="0.21"/>
    <x v="1"/>
    <x v="2"/>
    <n v="3.7"/>
    <n v="1470.7"/>
    <n v="1470.7034999999998"/>
    <n v="16"/>
    <x v="6"/>
    <x v="1"/>
  </r>
  <r>
    <n v="10563"/>
    <d v="2023-07-17T00:00:00"/>
    <x v="33"/>
    <x v="3"/>
    <x v="0"/>
    <n v="5"/>
    <n v="520.9"/>
    <n v="0.2"/>
    <x v="2"/>
    <x v="1"/>
    <n v="4.4000000000000004"/>
    <n v="2083.6"/>
    <n v="2083.6"/>
    <n v="17"/>
    <x v="6"/>
    <x v="1"/>
  </r>
  <r>
    <n v="10564"/>
    <d v="2023-07-18T00:00:00"/>
    <x v="371"/>
    <x v="0"/>
    <x v="0"/>
    <n v="7"/>
    <n v="421.38"/>
    <n v="0.14000000000000001"/>
    <x v="1"/>
    <x v="8"/>
    <n v="3.8"/>
    <n v="2536.71"/>
    <n v="2536.7075999999997"/>
    <n v="18"/>
    <x v="6"/>
    <x v="1"/>
  </r>
  <r>
    <n v="10565"/>
    <d v="2023-07-19T00:00:00"/>
    <x v="412"/>
    <x v="1"/>
    <x v="3"/>
    <n v="1"/>
    <n v="19.739999999999998"/>
    <n v="0.35"/>
    <x v="2"/>
    <x v="8"/>
    <n v="4.3"/>
    <n v="12.83"/>
    <n v="12.831"/>
    <n v="19"/>
    <x v="6"/>
    <x v="1"/>
  </r>
  <r>
    <n v="10566"/>
    <d v="2023-07-20T00:00:00"/>
    <x v="413"/>
    <x v="2"/>
    <x v="1"/>
    <n v="5"/>
    <n v="375.78"/>
    <n v="0.31"/>
    <x v="2"/>
    <x v="6"/>
    <n v="3.6"/>
    <n v="1296.44"/>
    <n v="1296.4409999999998"/>
    <n v="20"/>
    <x v="6"/>
    <x v="1"/>
  </r>
  <r>
    <n v="10567"/>
    <d v="2023-07-21T00:00:00"/>
    <x v="228"/>
    <x v="1"/>
    <x v="1"/>
    <n v="2"/>
    <n v="69.83"/>
    <n v="0.26"/>
    <x v="0"/>
    <x v="5"/>
    <n v="3"/>
    <n v="103.35"/>
    <n v="103.3484"/>
    <n v="21"/>
    <x v="6"/>
    <x v="1"/>
  </r>
  <r>
    <n v="10568"/>
    <d v="2023-07-22T00:00:00"/>
    <x v="42"/>
    <x v="3"/>
    <x v="2"/>
    <n v="5"/>
    <n v="471.85"/>
    <n v="0.19"/>
    <x v="1"/>
    <x v="5"/>
    <n v="1.9"/>
    <n v="1910.99"/>
    <n v="1910.9925000000001"/>
    <n v="22"/>
    <x v="6"/>
    <x v="1"/>
  </r>
  <r>
    <n v="10569"/>
    <d v="2023-07-23T00:00:00"/>
    <x v="414"/>
    <x v="3"/>
    <x v="2"/>
    <n v="4"/>
    <n v="595.03"/>
    <n v="0.16"/>
    <x v="1"/>
    <x v="3"/>
    <n v="2.1"/>
    <n v="1999.3"/>
    <n v="1999.3008"/>
    <n v="23"/>
    <x v="6"/>
    <x v="1"/>
  </r>
  <r>
    <n v="10570"/>
    <d v="2023-07-24T00:00:00"/>
    <x v="46"/>
    <x v="1"/>
    <x v="1"/>
    <n v="4"/>
    <n v="325.75"/>
    <n v="0.06"/>
    <x v="1"/>
    <x v="2"/>
    <n v="2.2999999999999998"/>
    <n v="1224.82"/>
    <n v="1224.82"/>
    <n v="24"/>
    <x v="6"/>
    <x v="1"/>
  </r>
  <r>
    <n v="10571"/>
    <d v="2023-07-25T00:00:00"/>
    <x v="307"/>
    <x v="2"/>
    <x v="1"/>
    <n v="2"/>
    <n v="414.43"/>
    <n v="0.11"/>
    <x v="1"/>
    <x v="4"/>
    <n v="1.2"/>
    <n v="737.69"/>
    <n v="737.68540000000007"/>
    <n v="25"/>
    <x v="6"/>
    <x v="1"/>
  </r>
  <r>
    <n v="10572"/>
    <d v="2023-07-26T00:00:00"/>
    <x v="415"/>
    <x v="1"/>
    <x v="3"/>
    <n v="2"/>
    <n v="153.83000000000001"/>
    <n v="0.27"/>
    <x v="2"/>
    <x v="10"/>
    <n v="4.7"/>
    <n v="224.59"/>
    <n v="224.59180000000001"/>
    <n v="26"/>
    <x v="6"/>
    <x v="1"/>
  </r>
  <r>
    <n v="10573"/>
    <d v="2023-07-27T00:00:00"/>
    <x v="162"/>
    <x v="0"/>
    <x v="0"/>
    <n v="3"/>
    <n v="270.99"/>
    <n v="0.16"/>
    <x v="2"/>
    <x v="6"/>
    <n v="4.5999999999999996"/>
    <n v="682.89"/>
    <n v="682.89480000000003"/>
    <n v="27"/>
    <x v="6"/>
    <x v="1"/>
  </r>
  <r>
    <n v="10574"/>
    <d v="2023-07-28T00:00:00"/>
    <x v="359"/>
    <x v="1"/>
    <x v="0"/>
    <n v="1"/>
    <n v="515.82000000000005"/>
    <n v="0.31"/>
    <x v="2"/>
    <x v="0"/>
    <n v="1.4"/>
    <n v="355.92"/>
    <n v="355.91580000000005"/>
    <n v="28"/>
    <x v="6"/>
    <x v="1"/>
  </r>
  <r>
    <n v="10575"/>
    <d v="2023-07-29T00:00:00"/>
    <x v="416"/>
    <x v="1"/>
    <x v="2"/>
    <n v="1"/>
    <n v="112.94"/>
    <n v="0.05"/>
    <x v="0"/>
    <x v="7"/>
    <n v="3.2"/>
    <n v="107.29"/>
    <n v="107.29299999999999"/>
    <n v="29"/>
    <x v="6"/>
    <x v="1"/>
  </r>
  <r>
    <n v="10576"/>
    <d v="2023-07-30T00:00:00"/>
    <x v="112"/>
    <x v="2"/>
    <x v="1"/>
    <n v="1"/>
    <n v="170.34"/>
    <n v="0.18"/>
    <x v="0"/>
    <x v="10"/>
    <n v="2.9"/>
    <n v="139.68"/>
    <n v="139.6788"/>
    <n v="30"/>
    <x v="6"/>
    <x v="1"/>
  </r>
  <r>
    <n v="10577"/>
    <d v="2023-07-31T00:00:00"/>
    <x v="294"/>
    <x v="1"/>
    <x v="3"/>
    <n v="6"/>
    <n v="275.58"/>
    <n v="0.23"/>
    <x v="1"/>
    <x v="6"/>
    <n v="3.7"/>
    <n v="1273.18"/>
    <n v="1273.1795999999999"/>
    <n v="31"/>
    <x v="6"/>
    <x v="1"/>
  </r>
  <r>
    <n v="10578"/>
    <d v="2023-08-01T00:00:00"/>
    <x v="200"/>
    <x v="0"/>
    <x v="2"/>
    <n v="4"/>
    <n v="431.67"/>
    <n v="0.18"/>
    <x v="0"/>
    <x v="10"/>
    <n v="3.4"/>
    <n v="1415.88"/>
    <n v="1415.8776"/>
    <n v="1"/>
    <x v="7"/>
    <x v="1"/>
  </r>
  <r>
    <n v="10579"/>
    <d v="2023-08-02T00:00:00"/>
    <x v="165"/>
    <x v="3"/>
    <x v="3"/>
    <n v="1"/>
    <n v="234.89"/>
    <n v="0.31"/>
    <x v="1"/>
    <x v="7"/>
    <n v="1.5"/>
    <n v="162.07"/>
    <n v="162.07409999999999"/>
    <n v="2"/>
    <x v="7"/>
    <x v="1"/>
  </r>
  <r>
    <n v="10580"/>
    <d v="2023-08-03T00:00:00"/>
    <x v="0"/>
    <x v="3"/>
    <x v="1"/>
    <n v="3"/>
    <n v="557.72"/>
    <n v="0.35"/>
    <x v="2"/>
    <x v="0"/>
    <n v="3.6"/>
    <n v="1087.55"/>
    <n v="1087.5540000000001"/>
    <n v="3"/>
    <x v="7"/>
    <x v="1"/>
  </r>
  <r>
    <n v="10581"/>
    <d v="2023-08-04T00:00:00"/>
    <x v="417"/>
    <x v="1"/>
    <x v="1"/>
    <n v="3"/>
    <n v="70.260000000000005"/>
    <n v="0.04"/>
    <x v="2"/>
    <x v="8"/>
    <n v="3.4"/>
    <n v="202.35"/>
    <n v="202.34880000000004"/>
    <n v="4"/>
    <x v="7"/>
    <x v="1"/>
  </r>
  <r>
    <n v="10582"/>
    <d v="2023-08-05T00:00:00"/>
    <x v="418"/>
    <x v="1"/>
    <x v="1"/>
    <n v="1"/>
    <n v="231.92"/>
    <n v="0.05"/>
    <x v="0"/>
    <x v="6"/>
    <n v="3.1"/>
    <n v="220.32"/>
    <n v="220.32399999999998"/>
    <n v="5"/>
    <x v="7"/>
    <x v="1"/>
  </r>
  <r>
    <n v="10583"/>
    <d v="2023-08-06T00:00:00"/>
    <x v="419"/>
    <x v="2"/>
    <x v="0"/>
    <n v="2"/>
    <n v="429.74"/>
    <n v="0.05"/>
    <x v="2"/>
    <x v="4"/>
    <n v="2.6"/>
    <n v="816.51"/>
    <n v="816.50599999999997"/>
    <n v="6"/>
    <x v="7"/>
    <x v="1"/>
  </r>
  <r>
    <n v="10584"/>
    <d v="2023-08-07T00:00:00"/>
    <x v="420"/>
    <x v="3"/>
    <x v="1"/>
    <n v="3"/>
    <n v="147.19999999999999"/>
    <n v="0.24"/>
    <x v="2"/>
    <x v="7"/>
    <n v="4.8"/>
    <n v="335.62"/>
    <n v="335.61599999999999"/>
    <n v="7"/>
    <x v="7"/>
    <x v="1"/>
  </r>
  <r>
    <n v="10585"/>
    <d v="2023-08-08T00:00:00"/>
    <x v="258"/>
    <x v="1"/>
    <x v="2"/>
    <n v="7"/>
    <n v="399"/>
    <n v="0.13"/>
    <x v="0"/>
    <x v="4"/>
    <n v="4.4000000000000004"/>
    <n v="2429.91"/>
    <n v="2429.91"/>
    <n v="8"/>
    <x v="7"/>
    <x v="1"/>
  </r>
  <r>
    <n v="10586"/>
    <d v="2023-08-09T00:00:00"/>
    <x v="421"/>
    <x v="1"/>
    <x v="0"/>
    <n v="2"/>
    <n v="111.07"/>
    <n v="0.26"/>
    <x v="2"/>
    <x v="10"/>
    <n v="3.3"/>
    <n v="164.38"/>
    <n v="164.3836"/>
    <n v="9"/>
    <x v="7"/>
    <x v="1"/>
  </r>
  <r>
    <n v="10587"/>
    <d v="2023-08-10T00:00:00"/>
    <x v="422"/>
    <x v="1"/>
    <x v="3"/>
    <n v="7"/>
    <n v="47.75"/>
    <n v="0.14000000000000001"/>
    <x v="2"/>
    <x v="5"/>
    <n v="1"/>
    <n v="287.45999999999998"/>
    <n v="287.45499999999998"/>
    <n v="10"/>
    <x v="7"/>
    <x v="1"/>
  </r>
  <r>
    <n v="10588"/>
    <d v="2023-08-11T00:00:00"/>
    <x v="388"/>
    <x v="0"/>
    <x v="2"/>
    <n v="4"/>
    <n v="85.79"/>
    <n v="0.22"/>
    <x v="1"/>
    <x v="9"/>
    <n v="2.7"/>
    <n v="267.66000000000003"/>
    <n v="267.66480000000001"/>
    <n v="11"/>
    <x v="7"/>
    <x v="1"/>
  </r>
  <r>
    <n v="10589"/>
    <d v="2023-08-12T00:00:00"/>
    <x v="423"/>
    <x v="2"/>
    <x v="2"/>
    <n v="6"/>
    <n v="559.04"/>
    <n v="0.27"/>
    <x v="1"/>
    <x v="5"/>
    <n v="3.8"/>
    <n v="2448.6"/>
    <n v="2448.5951999999997"/>
    <n v="12"/>
    <x v="7"/>
    <x v="1"/>
  </r>
  <r>
    <n v="10590"/>
    <d v="2023-08-13T00:00:00"/>
    <x v="281"/>
    <x v="3"/>
    <x v="3"/>
    <n v="3"/>
    <n v="337.77"/>
    <n v="0.19"/>
    <x v="0"/>
    <x v="9"/>
    <n v="1.5"/>
    <n v="820.78"/>
    <n v="820.78109999999992"/>
    <n v="13"/>
    <x v="7"/>
    <x v="1"/>
  </r>
  <r>
    <n v="10591"/>
    <d v="2023-08-14T00:00:00"/>
    <x v="278"/>
    <x v="2"/>
    <x v="0"/>
    <n v="2"/>
    <n v="480.86"/>
    <n v="0.19"/>
    <x v="2"/>
    <x v="0"/>
    <n v="2.6"/>
    <n v="778.99"/>
    <n v="778.9932"/>
    <n v="14"/>
    <x v="7"/>
    <x v="1"/>
  </r>
  <r>
    <n v="10592"/>
    <d v="2023-08-15T00:00:00"/>
    <x v="424"/>
    <x v="1"/>
    <x v="2"/>
    <n v="7"/>
    <n v="209.6"/>
    <n v="0.03"/>
    <x v="2"/>
    <x v="5"/>
    <n v="1.8"/>
    <n v="1423.18"/>
    <n v="1423.184"/>
    <n v="15"/>
    <x v="7"/>
    <x v="1"/>
  </r>
  <r>
    <n v="10593"/>
    <d v="2023-08-16T00:00:00"/>
    <x v="425"/>
    <x v="2"/>
    <x v="2"/>
    <n v="1"/>
    <n v="361.71"/>
    <n v="0.14000000000000001"/>
    <x v="1"/>
    <x v="2"/>
    <n v="2.4"/>
    <n v="311.07"/>
    <n v="311.07059999999996"/>
    <n v="16"/>
    <x v="7"/>
    <x v="1"/>
  </r>
  <r>
    <n v="10594"/>
    <d v="2023-08-17T00:00:00"/>
    <x v="426"/>
    <x v="2"/>
    <x v="2"/>
    <n v="7"/>
    <n v="304.55"/>
    <n v="0.19"/>
    <x v="1"/>
    <x v="3"/>
    <n v="1.1000000000000001"/>
    <n v="1726.8"/>
    <n v="1726.7984999999999"/>
    <n v="17"/>
    <x v="7"/>
    <x v="1"/>
  </r>
  <r>
    <n v="10595"/>
    <d v="2023-08-18T00:00:00"/>
    <x v="427"/>
    <x v="1"/>
    <x v="0"/>
    <n v="7"/>
    <n v="568.26"/>
    <n v="0.16"/>
    <x v="1"/>
    <x v="1"/>
    <n v="1.5"/>
    <n v="3341.37"/>
    <n v="3341.3687999999997"/>
    <n v="18"/>
    <x v="7"/>
    <x v="1"/>
  </r>
  <r>
    <n v="10596"/>
    <d v="2023-08-19T00:00:00"/>
    <x v="87"/>
    <x v="2"/>
    <x v="0"/>
    <n v="4"/>
    <n v="452.33"/>
    <n v="0.32"/>
    <x v="2"/>
    <x v="2"/>
    <n v="2.8"/>
    <n v="1230.3399999999999"/>
    <n v="1230.3375999999998"/>
    <n v="19"/>
    <x v="7"/>
    <x v="1"/>
  </r>
  <r>
    <n v="10597"/>
    <d v="2023-08-20T00:00:00"/>
    <x v="337"/>
    <x v="1"/>
    <x v="0"/>
    <n v="5"/>
    <n v="442.37"/>
    <n v="0.32"/>
    <x v="1"/>
    <x v="9"/>
    <n v="4.5999999999999996"/>
    <n v="1504.06"/>
    <n v="1504.058"/>
    <n v="20"/>
    <x v="7"/>
    <x v="1"/>
  </r>
  <r>
    <n v="10598"/>
    <d v="2023-08-21T00:00:00"/>
    <x v="303"/>
    <x v="0"/>
    <x v="2"/>
    <n v="5"/>
    <n v="42.12"/>
    <n v="0.28999999999999998"/>
    <x v="1"/>
    <x v="9"/>
    <n v="3"/>
    <n v="149.53"/>
    <n v="149.52600000000001"/>
    <n v="21"/>
    <x v="7"/>
    <x v="1"/>
  </r>
  <r>
    <n v="10599"/>
    <d v="2023-08-22T00:00:00"/>
    <x v="428"/>
    <x v="2"/>
    <x v="1"/>
    <n v="1"/>
    <n v="336.56"/>
    <n v="0.13"/>
    <x v="2"/>
    <x v="0"/>
    <n v="2.8"/>
    <n v="292.81"/>
    <n v="292.80720000000002"/>
    <n v="22"/>
    <x v="7"/>
    <x v="1"/>
  </r>
  <r>
    <n v="10600"/>
    <d v="2023-08-23T00:00:00"/>
    <x v="308"/>
    <x v="3"/>
    <x v="3"/>
    <n v="4"/>
    <n v="288.19"/>
    <n v="0.25"/>
    <x v="2"/>
    <x v="9"/>
    <n v="4.2"/>
    <n v="864.57"/>
    <n v="864.56999999999994"/>
    <n v="23"/>
    <x v="7"/>
    <x v="1"/>
  </r>
  <r>
    <n v="10601"/>
    <d v="2023-08-24T00:00:00"/>
    <x v="429"/>
    <x v="1"/>
    <x v="1"/>
    <n v="4"/>
    <n v="557.79"/>
    <n v="0.14000000000000001"/>
    <x v="1"/>
    <x v="3"/>
    <n v="2.1"/>
    <n v="1918.8"/>
    <n v="1918.7975999999999"/>
    <n v="24"/>
    <x v="7"/>
    <x v="1"/>
  </r>
  <r>
    <n v="10602"/>
    <d v="2023-08-25T00:00:00"/>
    <x v="430"/>
    <x v="3"/>
    <x v="0"/>
    <n v="4"/>
    <n v="165.55"/>
    <n v="0.08"/>
    <x v="2"/>
    <x v="3"/>
    <n v="1.4"/>
    <n v="609.22"/>
    <n v="609.22400000000005"/>
    <n v="25"/>
    <x v="7"/>
    <x v="1"/>
  </r>
  <r>
    <n v="10603"/>
    <d v="2023-08-26T00:00:00"/>
    <x v="431"/>
    <x v="2"/>
    <x v="2"/>
    <n v="4"/>
    <n v="172.85"/>
    <n v="0.12"/>
    <x v="0"/>
    <x v="2"/>
    <n v="1.8"/>
    <n v="608.42999999999995"/>
    <n v="608.43200000000002"/>
    <n v="26"/>
    <x v="7"/>
    <x v="1"/>
  </r>
  <r>
    <n v="10604"/>
    <d v="2023-08-27T00:00:00"/>
    <x v="432"/>
    <x v="2"/>
    <x v="2"/>
    <n v="5"/>
    <n v="255.64"/>
    <n v="0.02"/>
    <x v="2"/>
    <x v="9"/>
    <n v="4.2"/>
    <n v="1252.6400000000001"/>
    <n v="1252.6359999999997"/>
    <n v="27"/>
    <x v="7"/>
    <x v="1"/>
  </r>
  <r>
    <n v="10605"/>
    <d v="2023-08-28T00:00:00"/>
    <x v="433"/>
    <x v="2"/>
    <x v="1"/>
    <n v="2"/>
    <n v="157.37"/>
    <n v="0.12"/>
    <x v="0"/>
    <x v="1"/>
    <n v="3.7"/>
    <n v="276.97000000000003"/>
    <n v="276.97120000000001"/>
    <n v="28"/>
    <x v="7"/>
    <x v="1"/>
  </r>
  <r>
    <n v="10606"/>
    <d v="2023-08-29T00:00:00"/>
    <x v="68"/>
    <x v="2"/>
    <x v="1"/>
    <n v="4"/>
    <n v="90.57"/>
    <n v="0.16"/>
    <x v="0"/>
    <x v="9"/>
    <n v="1.4"/>
    <n v="304.32"/>
    <n v="304.3152"/>
    <n v="29"/>
    <x v="7"/>
    <x v="1"/>
  </r>
  <r>
    <n v="10607"/>
    <d v="2023-08-30T00:00:00"/>
    <x v="434"/>
    <x v="2"/>
    <x v="3"/>
    <n v="2"/>
    <n v="516.59"/>
    <n v="0.33"/>
    <x v="1"/>
    <x v="8"/>
    <n v="3.7"/>
    <n v="692.23"/>
    <n v="692.23060000000009"/>
    <n v="30"/>
    <x v="7"/>
    <x v="1"/>
  </r>
  <r>
    <n v="10608"/>
    <d v="2023-08-31T00:00:00"/>
    <x v="435"/>
    <x v="3"/>
    <x v="2"/>
    <n v="7"/>
    <n v="341.59"/>
    <n v="0.11"/>
    <x v="1"/>
    <x v="6"/>
    <n v="4.7"/>
    <n v="2128.11"/>
    <n v="2128.1056999999996"/>
    <n v="31"/>
    <x v="7"/>
    <x v="1"/>
  </r>
  <r>
    <n v="10609"/>
    <d v="2023-09-01T00:00:00"/>
    <x v="436"/>
    <x v="0"/>
    <x v="1"/>
    <n v="7"/>
    <n v="518.9"/>
    <n v="0.32"/>
    <x v="2"/>
    <x v="10"/>
    <n v="1.2"/>
    <n v="2469.96"/>
    <n v="2469.9639999999999"/>
    <n v="1"/>
    <x v="8"/>
    <x v="1"/>
  </r>
  <r>
    <n v="10610"/>
    <d v="2023-09-02T00:00:00"/>
    <x v="230"/>
    <x v="3"/>
    <x v="3"/>
    <n v="4"/>
    <n v="501.21"/>
    <n v="0.08"/>
    <x v="2"/>
    <x v="9"/>
    <n v="3.5"/>
    <n v="1844.45"/>
    <n v="1844.4528"/>
    <n v="2"/>
    <x v="8"/>
    <x v="1"/>
  </r>
  <r>
    <n v="10611"/>
    <d v="2023-09-03T00:00:00"/>
    <x v="437"/>
    <x v="3"/>
    <x v="0"/>
    <n v="3"/>
    <n v="179.99"/>
    <n v="7.0000000000000007E-2"/>
    <x v="1"/>
    <x v="2"/>
    <n v="2.5"/>
    <n v="502.17"/>
    <n v="502.1721"/>
    <n v="3"/>
    <x v="8"/>
    <x v="1"/>
  </r>
  <r>
    <n v="10612"/>
    <d v="2023-09-04T00:00:00"/>
    <x v="438"/>
    <x v="2"/>
    <x v="1"/>
    <n v="6"/>
    <n v="335.43"/>
    <n v="0.18"/>
    <x v="1"/>
    <x v="2"/>
    <n v="3"/>
    <n v="1650.32"/>
    <n v="1650.3155999999999"/>
    <n v="4"/>
    <x v="8"/>
    <x v="1"/>
  </r>
  <r>
    <n v="10613"/>
    <d v="2023-09-05T00:00:00"/>
    <x v="171"/>
    <x v="2"/>
    <x v="0"/>
    <n v="3"/>
    <n v="63.68"/>
    <n v="0.24"/>
    <x v="2"/>
    <x v="8"/>
    <n v="3.1"/>
    <n v="145.19"/>
    <n v="145.19040000000001"/>
    <n v="5"/>
    <x v="8"/>
    <x v="1"/>
  </r>
  <r>
    <n v="10614"/>
    <d v="2023-09-06T00:00:00"/>
    <x v="439"/>
    <x v="2"/>
    <x v="3"/>
    <n v="7"/>
    <n v="550.41999999999996"/>
    <n v="0.02"/>
    <x v="1"/>
    <x v="2"/>
    <n v="4.0999999999999996"/>
    <n v="3775.88"/>
    <n v="3775.8811999999998"/>
    <n v="6"/>
    <x v="8"/>
    <x v="1"/>
  </r>
  <r>
    <n v="10615"/>
    <d v="2023-09-07T00:00:00"/>
    <x v="283"/>
    <x v="2"/>
    <x v="0"/>
    <n v="6"/>
    <n v="251.49"/>
    <n v="0.08"/>
    <x v="0"/>
    <x v="6"/>
    <n v="3.2"/>
    <n v="1388.22"/>
    <n v="1388.2248"/>
    <n v="7"/>
    <x v="8"/>
    <x v="1"/>
  </r>
  <r>
    <n v="10616"/>
    <d v="2023-09-08T00:00:00"/>
    <x v="432"/>
    <x v="1"/>
    <x v="2"/>
    <n v="3"/>
    <n v="245.3"/>
    <n v="0.16"/>
    <x v="1"/>
    <x v="2"/>
    <n v="3.4"/>
    <n v="618.16"/>
    <n v="618.15600000000006"/>
    <n v="8"/>
    <x v="8"/>
    <x v="1"/>
  </r>
  <r>
    <n v="10617"/>
    <d v="2023-09-09T00:00:00"/>
    <x v="440"/>
    <x v="1"/>
    <x v="2"/>
    <n v="4"/>
    <n v="192.11"/>
    <n v="0.12"/>
    <x v="0"/>
    <x v="7"/>
    <n v="2.2999999999999998"/>
    <n v="676.23"/>
    <n v="676.22720000000004"/>
    <n v="9"/>
    <x v="8"/>
    <x v="1"/>
  </r>
  <r>
    <n v="10618"/>
    <d v="2023-09-10T00:00:00"/>
    <x v="441"/>
    <x v="1"/>
    <x v="0"/>
    <n v="2"/>
    <n v="284.49"/>
    <n v="0.25"/>
    <x v="1"/>
    <x v="4"/>
    <n v="1.5"/>
    <n v="426.74"/>
    <n v="426.73500000000001"/>
    <n v="10"/>
    <x v="8"/>
    <x v="1"/>
  </r>
  <r>
    <n v="10619"/>
    <d v="2023-09-11T00:00:00"/>
    <x v="442"/>
    <x v="1"/>
    <x v="2"/>
    <n v="6"/>
    <n v="162.28"/>
    <n v="0.18"/>
    <x v="1"/>
    <x v="0"/>
    <n v="3.7"/>
    <n v="798.42"/>
    <n v="798.41759999999999"/>
    <n v="11"/>
    <x v="8"/>
    <x v="1"/>
  </r>
  <r>
    <n v="10620"/>
    <d v="2023-09-12T00:00:00"/>
    <x v="443"/>
    <x v="3"/>
    <x v="3"/>
    <n v="5"/>
    <n v="234.29"/>
    <n v="0.06"/>
    <x v="1"/>
    <x v="9"/>
    <n v="1"/>
    <n v="1101.1600000000001"/>
    <n v="1101.163"/>
    <n v="12"/>
    <x v="8"/>
    <x v="1"/>
  </r>
  <r>
    <n v="10621"/>
    <d v="2023-09-13T00:00:00"/>
    <x v="183"/>
    <x v="3"/>
    <x v="2"/>
    <n v="1"/>
    <n v="482.97"/>
    <n v="0.31"/>
    <x v="0"/>
    <x v="2"/>
    <n v="2.2999999999999998"/>
    <n v="333.25"/>
    <n v="333.24930000000006"/>
    <n v="13"/>
    <x v="8"/>
    <x v="1"/>
  </r>
  <r>
    <n v="10622"/>
    <d v="2023-09-14T00:00:00"/>
    <x v="245"/>
    <x v="2"/>
    <x v="0"/>
    <n v="6"/>
    <n v="503.04"/>
    <n v="0.1"/>
    <x v="1"/>
    <x v="3"/>
    <n v="1.9"/>
    <n v="2716.42"/>
    <n v="2716.4160000000002"/>
    <n v="14"/>
    <x v="8"/>
    <x v="1"/>
  </r>
  <r>
    <n v="10623"/>
    <d v="2023-09-15T00:00:00"/>
    <x v="444"/>
    <x v="0"/>
    <x v="0"/>
    <n v="6"/>
    <n v="192.95"/>
    <n v="0.26"/>
    <x v="2"/>
    <x v="3"/>
    <n v="2.6"/>
    <n v="856.7"/>
    <n v="856.69799999999987"/>
    <n v="15"/>
    <x v="8"/>
    <x v="1"/>
  </r>
  <r>
    <n v="10624"/>
    <d v="2023-09-16T00:00:00"/>
    <x v="445"/>
    <x v="0"/>
    <x v="0"/>
    <n v="5"/>
    <n v="289.37"/>
    <n v="0.27"/>
    <x v="0"/>
    <x v="9"/>
    <n v="2.2000000000000002"/>
    <n v="1056.2"/>
    <n v="1056.2004999999999"/>
    <n v="16"/>
    <x v="8"/>
    <x v="1"/>
  </r>
  <r>
    <n v="10625"/>
    <d v="2023-09-17T00:00:00"/>
    <x v="63"/>
    <x v="2"/>
    <x v="1"/>
    <n v="4"/>
    <n v="526.17999999999995"/>
    <n v="0.34"/>
    <x v="2"/>
    <x v="8"/>
    <n v="3.8"/>
    <n v="1389.12"/>
    <n v="1389.1151999999997"/>
    <n v="17"/>
    <x v="8"/>
    <x v="1"/>
  </r>
  <r>
    <n v="10626"/>
    <d v="2023-09-18T00:00:00"/>
    <x v="446"/>
    <x v="1"/>
    <x v="0"/>
    <n v="3"/>
    <n v="45.81"/>
    <n v="0.17"/>
    <x v="1"/>
    <x v="0"/>
    <n v="2"/>
    <n v="114.07"/>
    <n v="114.0669"/>
    <n v="18"/>
    <x v="8"/>
    <x v="1"/>
  </r>
  <r>
    <n v="10627"/>
    <d v="2023-09-19T00:00:00"/>
    <x v="447"/>
    <x v="1"/>
    <x v="3"/>
    <n v="3"/>
    <n v="535.15"/>
    <n v="0.22"/>
    <x v="0"/>
    <x v="6"/>
    <n v="3.2"/>
    <n v="1252.25"/>
    <n v="1252.2509999999997"/>
    <n v="19"/>
    <x v="8"/>
    <x v="1"/>
  </r>
  <r>
    <n v="10628"/>
    <d v="2023-09-20T00:00:00"/>
    <x v="448"/>
    <x v="0"/>
    <x v="2"/>
    <n v="7"/>
    <n v="143.22"/>
    <n v="0.12"/>
    <x v="0"/>
    <x v="6"/>
    <n v="2.8"/>
    <n v="882.24"/>
    <n v="882.23519999999996"/>
    <n v="20"/>
    <x v="8"/>
    <x v="1"/>
  </r>
  <r>
    <n v="10629"/>
    <d v="2023-09-21T00:00:00"/>
    <x v="296"/>
    <x v="0"/>
    <x v="2"/>
    <n v="2"/>
    <n v="411.95"/>
    <n v="0.24"/>
    <x v="1"/>
    <x v="2"/>
    <n v="4.2"/>
    <n v="626.16"/>
    <n v="626.16399999999999"/>
    <n v="21"/>
    <x v="8"/>
    <x v="1"/>
  </r>
  <r>
    <n v="10630"/>
    <d v="2023-09-22T00:00:00"/>
    <x v="449"/>
    <x v="2"/>
    <x v="1"/>
    <n v="4"/>
    <n v="355.79"/>
    <n v="0.16"/>
    <x v="2"/>
    <x v="3"/>
    <n v="2.7"/>
    <n v="1195.45"/>
    <n v="1195.4544000000001"/>
    <n v="22"/>
    <x v="8"/>
    <x v="1"/>
  </r>
  <r>
    <n v="10631"/>
    <d v="2023-09-23T00:00:00"/>
    <x v="450"/>
    <x v="1"/>
    <x v="1"/>
    <n v="5"/>
    <n v="338.47"/>
    <n v="0.15"/>
    <x v="0"/>
    <x v="2"/>
    <n v="4.5"/>
    <n v="1438.5"/>
    <n v="1438.4975000000002"/>
    <n v="23"/>
    <x v="8"/>
    <x v="1"/>
  </r>
  <r>
    <n v="10632"/>
    <d v="2023-09-24T00:00:00"/>
    <x v="451"/>
    <x v="1"/>
    <x v="3"/>
    <n v="4"/>
    <n v="517.73"/>
    <n v="0.3"/>
    <x v="0"/>
    <x v="1"/>
    <n v="1"/>
    <n v="1449.64"/>
    <n v="1449.6440000000002"/>
    <n v="24"/>
    <x v="8"/>
    <x v="1"/>
  </r>
  <r>
    <n v="10633"/>
    <d v="2023-09-25T00:00:00"/>
    <x v="452"/>
    <x v="1"/>
    <x v="0"/>
    <n v="4"/>
    <n v="74.42"/>
    <n v="0.02"/>
    <x v="1"/>
    <x v="2"/>
    <n v="3.4"/>
    <n v="291.73"/>
    <n v="291.72640000000001"/>
    <n v="25"/>
    <x v="8"/>
    <x v="1"/>
  </r>
  <r>
    <n v="10634"/>
    <d v="2023-09-26T00:00:00"/>
    <x v="453"/>
    <x v="2"/>
    <x v="1"/>
    <n v="3"/>
    <n v="218.01"/>
    <n v="0.31"/>
    <x v="0"/>
    <x v="2"/>
    <n v="1"/>
    <n v="451.28"/>
    <n v="451.28069999999997"/>
    <n v="26"/>
    <x v="8"/>
    <x v="1"/>
  </r>
  <r>
    <n v="10635"/>
    <d v="2023-09-27T00:00:00"/>
    <x v="454"/>
    <x v="0"/>
    <x v="2"/>
    <n v="5"/>
    <n v="329.88"/>
    <n v="0.3"/>
    <x v="1"/>
    <x v="5"/>
    <n v="3.9"/>
    <n v="1154.58"/>
    <n v="1154.5800000000002"/>
    <n v="27"/>
    <x v="8"/>
    <x v="1"/>
  </r>
  <r>
    <n v="10636"/>
    <d v="2023-09-28T00:00:00"/>
    <x v="455"/>
    <x v="3"/>
    <x v="1"/>
    <n v="1"/>
    <n v="489.6"/>
    <n v="0.18"/>
    <x v="1"/>
    <x v="6"/>
    <n v="1.9"/>
    <n v="401.47"/>
    <n v="401.47200000000004"/>
    <n v="28"/>
    <x v="8"/>
    <x v="1"/>
  </r>
  <r>
    <n v="10637"/>
    <d v="2023-09-29T00:00:00"/>
    <x v="2"/>
    <x v="3"/>
    <x v="1"/>
    <n v="6"/>
    <n v="141.62"/>
    <n v="0.17"/>
    <x v="1"/>
    <x v="1"/>
    <n v="2.5"/>
    <n v="705.27"/>
    <n v="705.26760000000002"/>
    <n v="29"/>
    <x v="8"/>
    <x v="1"/>
  </r>
  <r>
    <n v="10638"/>
    <d v="2023-09-30T00:00:00"/>
    <x v="248"/>
    <x v="0"/>
    <x v="0"/>
    <n v="3"/>
    <n v="484.71"/>
    <n v="0.13"/>
    <x v="1"/>
    <x v="5"/>
    <n v="2.5"/>
    <n v="1265.0899999999999"/>
    <n v="1265.0930999999998"/>
    <n v="30"/>
    <x v="8"/>
    <x v="1"/>
  </r>
  <r>
    <n v="10639"/>
    <d v="2023-10-01T00:00:00"/>
    <x v="274"/>
    <x v="3"/>
    <x v="1"/>
    <n v="5"/>
    <n v="248.79"/>
    <n v="0.35"/>
    <x v="2"/>
    <x v="10"/>
    <n v="4.4000000000000004"/>
    <n v="808.57"/>
    <n v="808.56750000000011"/>
    <n v="1"/>
    <x v="9"/>
    <x v="1"/>
  </r>
  <r>
    <n v="10640"/>
    <d v="2023-10-02T00:00:00"/>
    <x v="456"/>
    <x v="1"/>
    <x v="3"/>
    <n v="2"/>
    <n v="125.51"/>
    <n v="0.04"/>
    <x v="2"/>
    <x v="1"/>
    <n v="1.4"/>
    <n v="240.98"/>
    <n v="240.97920000000002"/>
    <n v="2"/>
    <x v="9"/>
    <x v="1"/>
  </r>
  <r>
    <n v="10641"/>
    <d v="2023-10-03T00:00:00"/>
    <x v="457"/>
    <x v="1"/>
    <x v="2"/>
    <n v="6"/>
    <n v="459.01"/>
    <n v="0.21"/>
    <x v="1"/>
    <x v="10"/>
    <n v="3.7"/>
    <n v="2175.71"/>
    <n v="2175.7074000000002"/>
    <n v="3"/>
    <x v="9"/>
    <x v="1"/>
  </r>
  <r>
    <n v="10642"/>
    <d v="2023-10-04T00:00:00"/>
    <x v="424"/>
    <x v="2"/>
    <x v="0"/>
    <n v="6"/>
    <n v="68.180000000000007"/>
    <n v="0.24"/>
    <x v="1"/>
    <x v="2"/>
    <n v="4.9000000000000004"/>
    <n v="310.89999999999998"/>
    <n v="310.9008"/>
    <n v="4"/>
    <x v="9"/>
    <x v="1"/>
  </r>
  <r>
    <n v="10643"/>
    <d v="2023-10-05T00:00:00"/>
    <x v="458"/>
    <x v="3"/>
    <x v="2"/>
    <n v="3"/>
    <n v="316.14"/>
    <n v="0.33"/>
    <x v="1"/>
    <x v="7"/>
    <n v="1.1000000000000001"/>
    <n v="635.44000000000005"/>
    <n v="635.44139999999993"/>
    <n v="5"/>
    <x v="9"/>
    <x v="1"/>
  </r>
  <r>
    <n v="10644"/>
    <d v="2023-10-06T00:00:00"/>
    <x v="242"/>
    <x v="2"/>
    <x v="3"/>
    <n v="7"/>
    <n v="52.37"/>
    <n v="0.27"/>
    <x v="0"/>
    <x v="7"/>
    <n v="4.9000000000000004"/>
    <n v="267.61"/>
    <n v="267.61069999999995"/>
    <n v="6"/>
    <x v="9"/>
    <x v="1"/>
  </r>
  <r>
    <n v="10645"/>
    <d v="2023-10-07T00:00:00"/>
    <x v="194"/>
    <x v="3"/>
    <x v="3"/>
    <n v="2"/>
    <n v="223.5"/>
    <n v="0.23"/>
    <x v="0"/>
    <x v="9"/>
    <n v="1.1000000000000001"/>
    <n v="344.19"/>
    <n v="344.19"/>
    <n v="7"/>
    <x v="9"/>
    <x v="1"/>
  </r>
  <r>
    <n v="10646"/>
    <d v="2023-10-08T00:00:00"/>
    <x v="459"/>
    <x v="2"/>
    <x v="1"/>
    <n v="3"/>
    <n v="366.63"/>
    <n v="0.04"/>
    <x v="1"/>
    <x v="3"/>
    <n v="4.4000000000000004"/>
    <n v="1055.8900000000001"/>
    <n v="1055.8943999999999"/>
    <n v="8"/>
    <x v="9"/>
    <x v="1"/>
  </r>
  <r>
    <n v="10647"/>
    <d v="2023-10-09T00:00:00"/>
    <x v="460"/>
    <x v="2"/>
    <x v="1"/>
    <n v="4"/>
    <n v="340.33"/>
    <n v="0.13"/>
    <x v="0"/>
    <x v="7"/>
    <n v="4.8"/>
    <n v="1184.3499999999999"/>
    <n v="1184.3483999999999"/>
    <n v="9"/>
    <x v="9"/>
    <x v="1"/>
  </r>
  <r>
    <n v="10648"/>
    <d v="2023-10-10T00:00:00"/>
    <x v="461"/>
    <x v="2"/>
    <x v="1"/>
    <n v="7"/>
    <n v="251.72"/>
    <n v="0.05"/>
    <x v="1"/>
    <x v="5"/>
    <n v="5"/>
    <n v="1673.94"/>
    <n v="1673.9379999999999"/>
    <n v="10"/>
    <x v="9"/>
    <x v="1"/>
  </r>
  <r>
    <n v="10649"/>
    <d v="2023-10-11T00:00:00"/>
    <x v="240"/>
    <x v="2"/>
    <x v="2"/>
    <n v="5"/>
    <n v="265.99"/>
    <n v="0.31"/>
    <x v="2"/>
    <x v="9"/>
    <n v="2.8"/>
    <n v="917.67"/>
    <n v="917.66550000000007"/>
    <n v="11"/>
    <x v="9"/>
    <x v="1"/>
  </r>
  <r>
    <n v="10650"/>
    <d v="2023-10-12T00:00:00"/>
    <x v="462"/>
    <x v="3"/>
    <x v="3"/>
    <n v="2"/>
    <n v="147.66"/>
    <n v="0.26"/>
    <x v="0"/>
    <x v="8"/>
    <n v="4.5"/>
    <n v="218.54"/>
    <n v="218.53679999999997"/>
    <n v="12"/>
    <x v="9"/>
    <x v="1"/>
  </r>
  <r>
    <n v="10651"/>
    <d v="2023-10-13T00:00:00"/>
    <x v="422"/>
    <x v="3"/>
    <x v="0"/>
    <n v="6"/>
    <n v="281.69"/>
    <n v="0.27"/>
    <x v="1"/>
    <x v="9"/>
    <n v="1.5"/>
    <n v="1233.8"/>
    <n v="1233.8021999999999"/>
    <n v="13"/>
    <x v="9"/>
    <x v="1"/>
  </r>
  <r>
    <n v="10652"/>
    <d v="2023-10-14T00:00:00"/>
    <x v="463"/>
    <x v="1"/>
    <x v="1"/>
    <n v="3"/>
    <n v="572.65"/>
    <n v="0.23"/>
    <x v="2"/>
    <x v="0"/>
    <n v="2.7"/>
    <n v="1322.82"/>
    <n v="1322.8214999999998"/>
    <n v="14"/>
    <x v="9"/>
    <x v="1"/>
  </r>
  <r>
    <n v="10653"/>
    <d v="2023-10-15T00:00:00"/>
    <x v="336"/>
    <x v="2"/>
    <x v="2"/>
    <n v="6"/>
    <n v="512.51"/>
    <n v="0.18"/>
    <x v="1"/>
    <x v="7"/>
    <n v="2.2000000000000002"/>
    <n v="2521.5500000000002"/>
    <n v="2521.5491999999999"/>
    <n v="15"/>
    <x v="9"/>
    <x v="1"/>
  </r>
  <r>
    <n v="10654"/>
    <d v="2023-10-16T00:00:00"/>
    <x v="48"/>
    <x v="2"/>
    <x v="1"/>
    <n v="2"/>
    <n v="99.96"/>
    <n v="0.05"/>
    <x v="1"/>
    <x v="3"/>
    <n v="2.6"/>
    <n v="189.92"/>
    <n v="189.92399999999998"/>
    <n v="16"/>
    <x v="9"/>
    <x v="1"/>
  </r>
  <r>
    <n v="10655"/>
    <d v="2023-10-17T00:00:00"/>
    <x v="300"/>
    <x v="2"/>
    <x v="3"/>
    <n v="6"/>
    <n v="32.42"/>
    <n v="0.12"/>
    <x v="2"/>
    <x v="4"/>
    <n v="3.8"/>
    <n v="171.18"/>
    <n v="171.17760000000001"/>
    <n v="17"/>
    <x v="9"/>
    <x v="1"/>
  </r>
  <r>
    <n v="10656"/>
    <d v="2023-10-18T00:00:00"/>
    <x v="464"/>
    <x v="2"/>
    <x v="0"/>
    <n v="3"/>
    <n v="561.11"/>
    <n v="0.05"/>
    <x v="0"/>
    <x v="7"/>
    <n v="1.3"/>
    <n v="1599.16"/>
    <n v="1599.1634999999999"/>
    <n v="18"/>
    <x v="9"/>
    <x v="1"/>
  </r>
  <r>
    <n v="10657"/>
    <d v="2023-10-19T00:00:00"/>
    <x v="465"/>
    <x v="0"/>
    <x v="3"/>
    <n v="7"/>
    <n v="323.14999999999998"/>
    <n v="0.25"/>
    <x v="2"/>
    <x v="4"/>
    <n v="5"/>
    <n v="1696.54"/>
    <n v="1696.5374999999999"/>
    <n v="19"/>
    <x v="9"/>
    <x v="1"/>
  </r>
  <r>
    <n v="10658"/>
    <d v="2023-10-20T00:00:00"/>
    <x v="166"/>
    <x v="2"/>
    <x v="2"/>
    <n v="3"/>
    <n v="329.64"/>
    <n v="0.06"/>
    <x v="0"/>
    <x v="3"/>
    <n v="3.5"/>
    <n v="929.58"/>
    <n v="929.58479999999997"/>
    <n v="20"/>
    <x v="9"/>
    <x v="1"/>
  </r>
  <r>
    <n v="10659"/>
    <d v="2023-10-21T00:00:00"/>
    <x v="435"/>
    <x v="1"/>
    <x v="1"/>
    <n v="1"/>
    <n v="471.72"/>
    <n v="0.25"/>
    <x v="0"/>
    <x v="2"/>
    <n v="4.5"/>
    <n v="353.79"/>
    <n v="353.79"/>
    <n v="21"/>
    <x v="9"/>
    <x v="1"/>
  </r>
  <r>
    <n v="10660"/>
    <d v="2023-10-22T00:00:00"/>
    <x v="466"/>
    <x v="2"/>
    <x v="3"/>
    <n v="6"/>
    <n v="199.09"/>
    <n v="0.24"/>
    <x v="1"/>
    <x v="5"/>
    <n v="4.3"/>
    <n v="907.85"/>
    <n v="907.85040000000004"/>
    <n v="22"/>
    <x v="9"/>
    <x v="1"/>
  </r>
  <r>
    <n v="10661"/>
    <d v="2023-10-23T00:00:00"/>
    <x v="467"/>
    <x v="2"/>
    <x v="2"/>
    <n v="1"/>
    <n v="296.92"/>
    <n v="0.16"/>
    <x v="1"/>
    <x v="8"/>
    <n v="4.0999999999999996"/>
    <n v="249.41"/>
    <n v="249.4128"/>
    <n v="23"/>
    <x v="9"/>
    <x v="1"/>
  </r>
  <r>
    <n v="10662"/>
    <d v="2023-10-24T00:00:00"/>
    <x v="282"/>
    <x v="1"/>
    <x v="1"/>
    <n v="7"/>
    <n v="581.66999999999996"/>
    <n v="0.05"/>
    <x v="2"/>
    <x v="3"/>
    <n v="1.2"/>
    <n v="3868.11"/>
    <n v="3868.1054999999997"/>
    <n v="24"/>
    <x v="9"/>
    <x v="1"/>
  </r>
  <r>
    <n v="10663"/>
    <d v="2023-10-25T00:00:00"/>
    <x v="468"/>
    <x v="1"/>
    <x v="0"/>
    <n v="1"/>
    <n v="408.21"/>
    <n v="0.11"/>
    <x v="2"/>
    <x v="2"/>
    <n v="3.1"/>
    <n v="363.31"/>
    <n v="363.30689999999998"/>
    <n v="25"/>
    <x v="9"/>
    <x v="1"/>
  </r>
  <r>
    <n v="10664"/>
    <d v="2023-10-26T00:00:00"/>
    <x v="137"/>
    <x v="2"/>
    <x v="3"/>
    <n v="6"/>
    <n v="104.94"/>
    <n v="0.11"/>
    <x v="1"/>
    <x v="1"/>
    <n v="2.2999999999999998"/>
    <n v="560.38"/>
    <n v="560.37959999999998"/>
    <n v="26"/>
    <x v="9"/>
    <x v="1"/>
  </r>
  <r>
    <n v="10665"/>
    <d v="2023-10-27T00:00:00"/>
    <x v="298"/>
    <x v="2"/>
    <x v="1"/>
    <n v="2"/>
    <n v="92.94"/>
    <n v="0.25"/>
    <x v="0"/>
    <x v="0"/>
    <n v="1.5"/>
    <n v="139.41"/>
    <n v="139.41"/>
    <n v="27"/>
    <x v="9"/>
    <x v="1"/>
  </r>
  <r>
    <n v="10666"/>
    <d v="2023-10-28T00:00:00"/>
    <x v="185"/>
    <x v="1"/>
    <x v="1"/>
    <n v="4"/>
    <n v="134.49"/>
    <n v="0.04"/>
    <x v="2"/>
    <x v="1"/>
    <n v="2.4"/>
    <n v="516.44000000000005"/>
    <n v="516.44159999999999"/>
    <n v="28"/>
    <x v="9"/>
    <x v="1"/>
  </r>
  <r>
    <n v="10667"/>
    <d v="2023-10-29T00:00:00"/>
    <x v="469"/>
    <x v="2"/>
    <x v="1"/>
    <n v="7"/>
    <n v="463.53"/>
    <n v="0.28999999999999998"/>
    <x v="1"/>
    <x v="5"/>
    <n v="3.6"/>
    <n v="2303.7399999999998"/>
    <n v="2303.7440999999999"/>
    <n v="29"/>
    <x v="9"/>
    <x v="1"/>
  </r>
  <r>
    <n v="10668"/>
    <d v="2023-10-30T00:00:00"/>
    <x v="470"/>
    <x v="2"/>
    <x v="1"/>
    <n v="3"/>
    <n v="187.8"/>
    <n v="0.27"/>
    <x v="2"/>
    <x v="1"/>
    <n v="1.9"/>
    <n v="411.28"/>
    <n v="411.2820000000001"/>
    <n v="30"/>
    <x v="9"/>
    <x v="1"/>
  </r>
  <r>
    <n v="10669"/>
    <d v="2023-10-31T00:00:00"/>
    <x v="471"/>
    <x v="0"/>
    <x v="3"/>
    <n v="5"/>
    <n v="27.51"/>
    <n v="7.0000000000000007E-2"/>
    <x v="1"/>
    <x v="2"/>
    <n v="2.8"/>
    <n v="127.92"/>
    <n v="127.92150000000001"/>
    <n v="31"/>
    <x v="9"/>
    <x v="1"/>
  </r>
  <r>
    <n v="10670"/>
    <d v="2023-11-01T00:00:00"/>
    <x v="472"/>
    <x v="1"/>
    <x v="1"/>
    <n v="7"/>
    <n v="567.34"/>
    <n v="0.25"/>
    <x v="2"/>
    <x v="10"/>
    <n v="2.6"/>
    <n v="2978.54"/>
    <n v="2978.5349999999999"/>
    <n v="1"/>
    <x v="10"/>
    <x v="1"/>
  </r>
  <r>
    <n v="10671"/>
    <d v="2023-11-02T00:00:00"/>
    <x v="473"/>
    <x v="1"/>
    <x v="2"/>
    <n v="1"/>
    <n v="114.28"/>
    <n v="0.23"/>
    <x v="0"/>
    <x v="6"/>
    <n v="1.2"/>
    <n v="88"/>
    <n v="87.995599999999996"/>
    <n v="2"/>
    <x v="10"/>
    <x v="1"/>
  </r>
  <r>
    <n v="10672"/>
    <d v="2023-11-03T00:00:00"/>
    <x v="257"/>
    <x v="1"/>
    <x v="3"/>
    <n v="2"/>
    <n v="20.59"/>
    <n v="0.26"/>
    <x v="0"/>
    <x v="6"/>
    <n v="3.5"/>
    <n v="30.47"/>
    <n v="30.473199999999999"/>
    <n v="3"/>
    <x v="10"/>
    <x v="1"/>
  </r>
  <r>
    <n v="10673"/>
    <d v="2023-11-04T00:00:00"/>
    <x v="16"/>
    <x v="1"/>
    <x v="1"/>
    <n v="6"/>
    <n v="153.72"/>
    <n v="7.0000000000000007E-2"/>
    <x v="1"/>
    <x v="1"/>
    <n v="3.5"/>
    <n v="857.76"/>
    <n v="857.75759999999991"/>
    <n v="4"/>
    <x v="10"/>
    <x v="1"/>
  </r>
  <r>
    <n v="10674"/>
    <d v="2023-11-05T00:00:00"/>
    <x v="443"/>
    <x v="1"/>
    <x v="3"/>
    <n v="2"/>
    <n v="152.49"/>
    <n v="0.06"/>
    <x v="2"/>
    <x v="0"/>
    <n v="4.9000000000000004"/>
    <n v="286.68"/>
    <n v="286.68119999999999"/>
    <n v="5"/>
    <x v="10"/>
    <x v="1"/>
  </r>
  <r>
    <n v="10675"/>
    <d v="2023-11-06T00:00:00"/>
    <x v="474"/>
    <x v="3"/>
    <x v="2"/>
    <n v="2"/>
    <n v="261.87"/>
    <n v="0.08"/>
    <x v="2"/>
    <x v="1"/>
    <n v="2.2000000000000002"/>
    <n v="481.84"/>
    <n v="481.8408"/>
    <n v="6"/>
    <x v="10"/>
    <x v="1"/>
  </r>
  <r>
    <n v="10676"/>
    <d v="2023-11-07T00:00:00"/>
    <x v="475"/>
    <x v="3"/>
    <x v="2"/>
    <n v="6"/>
    <n v="553.42999999999995"/>
    <n v="0.13"/>
    <x v="1"/>
    <x v="1"/>
    <n v="2.7"/>
    <n v="2888.9"/>
    <n v="2888.9045999999998"/>
    <n v="7"/>
    <x v="10"/>
    <x v="1"/>
  </r>
  <r>
    <n v="10677"/>
    <d v="2023-11-08T00:00:00"/>
    <x v="476"/>
    <x v="2"/>
    <x v="3"/>
    <n v="5"/>
    <n v="529.32000000000005"/>
    <n v="0.28000000000000003"/>
    <x v="1"/>
    <x v="2"/>
    <n v="2.6"/>
    <n v="1905.55"/>
    <n v="1905.5520000000001"/>
    <n v="8"/>
    <x v="10"/>
    <x v="1"/>
  </r>
  <r>
    <n v="10678"/>
    <d v="2023-11-09T00:00:00"/>
    <x v="471"/>
    <x v="1"/>
    <x v="1"/>
    <n v="6"/>
    <n v="282.27999999999997"/>
    <n v="0.26"/>
    <x v="2"/>
    <x v="3"/>
    <n v="4.7"/>
    <n v="1253.32"/>
    <n v="1253.3231999999998"/>
    <n v="9"/>
    <x v="10"/>
    <x v="1"/>
  </r>
  <r>
    <n v="10679"/>
    <d v="2023-11-10T00:00:00"/>
    <x v="303"/>
    <x v="1"/>
    <x v="1"/>
    <n v="5"/>
    <n v="255.38"/>
    <n v="0.32"/>
    <x v="2"/>
    <x v="4"/>
    <n v="2.6"/>
    <n v="868.29"/>
    <n v="868.29200000000014"/>
    <n v="10"/>
    <x v="10"/>
    <x v="1"/>
  </r>
  <r>
    <n v="10680"/>
    <d v="2023-11-11T00:00:00"/>
    <x v="232"/>
    <x v="0"/>
    <x v="2"/>
    <n v="6"/>
    <n v="339.68"/>
    <n v="0.02"/>
    <x v="1"/>
    <x v="3"/>
    <n v="2.8"/>
    <n v="1997.32"/>
    <n v="1997.3183999999999"/>
    <n v="11"/>
    <x v="10"/>
    <x v="1"/>
  </r>
  <r>
    <n v="10681"/>
    <d v="2023-11-12T00:00:00"/>
    <x v="226"/>
    <x v="1"/>
    <x v="1"/>
    <n v="1"/>
    <n v="157.41999999999999"/>
    <n v="0"/>
    <x v="1"/>
    <x v="3"/>
    <n v="2"/>
    <n v="157.41999999999999"/>
    <n v="157.41999999999999"/>
    <n v="12"/>
    <x v="10"/>
    <x v="1"/>
  </r>
  <r>
    <n v="10682"/>
    <d v="2023-11-13T00:00:00"/>
    <x v="164"/>
    <x v="1"/>
    <x v="2"/>
    <n v="5"/>
    <n v="45.53"/>
    <n v="0.24"/>
    <x v="1"/>
    <x v="9"/>
    <n v="1"/>
    <n v="173.01"/>
    <n v="173.01400000000001"/>
    <n v="13"/>
    <x v="10"/>
    <x v="1"/>
  </r>
  <r>
    <n v="10683"/>
    <d v="2023-11-14T00:00:00"/>
    <x v="477"/>
    <x v="2"/>
    <x v="1"/>
    <n v="1"/>
    <n v="564.45000000000005"/>
    <n v="0.1"/>
    <x v="1"/>
    <x v="3"/>
    <n v="1.4"/>
    <n v="508.01"/>
    <n v="508.00500000000005"/>
    <n v="14"/>
    <x v="10"/>
    <x v="1"/>
  </r>
  <r>
    <n v="10684"/>
    <d v="2023-11-15T00:00:00"/>
    <x v="348"/>
    <x v="1"/>
    <x v="2"/>
    <n v="7"/>
    <n v="124.22"/>
    <n v="0.12"/>
    <x v="2"/>
    <x v="8"/>
    <n v="3.8"/>
    <n v="765.2"/>
    <n v="765.1952"/>
    <n v="15"/>
    <x v="10"/>
    <x v="1"/>
  </r>
  <r>
    <n v="10685"/>
    <d v="2023-11-16T00:00:00"/>
    <x v="478"/>
    <x v="2"/>
    <x v="0"/>
    <n v="5"/>
    <n v="131.06"/>
    <n v="0.19"/>
    <x v="1"/>
    <x v="8"/>
    <n v="3.7"/>
    <n v="530.79"/>
    <n v="530.79299999999989"/>
    <n v="16"/>
    <x v="10"/>
    <x v="1"/>
  </r>
  <r>
    <n v="10686"/>
    <d v="2023-11-17T00:00:00"/>
    <x v="113"/>
    <x v="2"/>
    <x v="1"/>
    <n v="5"/>
    <n v="291.39"/>
    <n v="0.04"/>
    <x v="1"/>
    <x v="3"/>
    <n v="2.2999999999999998"/>
    <n v="1398.67"/>
    <n v="1398.6719999999998"/>
    <n v="17"/>
    <x v="10"/>
    <x v="1"/>
  </r>
  <r>
    <n v="10687"/>
    <d v="2023-11-18T00:00:00"/>
    <x v="479"/>
    <x v="2"/>
    <x v="1"/>
    <n v="6"/>
    <n v="302.58999999999997"/>
    <n v="0.22"/>
    <x v="0"/>
    <x v="0"/>
    <n v="2.9"/>
    <n v="1416.12"/>
    <n v="1416.1212"/>
    <n v="18"/>
    <x v="10"/>
    <x v="1"/>
  </r>
  <r>
    <n v="10688"/>
    <d v="2023-11-19T00:00:00"/>
    <x v="386"/>
    <x v="3"/>
    <x v="1"/>
    <n v="5"/>
    <n v="25.78"/>
    <n v="0.11"/>
    <x v="1"/>
    <x v="0"/>
    <n v="2.2000000000000002"/>
    <n v="114.72"/>
    <n v="114.721"/>
    <n v="19"/>
    <x v="10"/>
    <x v="1"/>
  </r>
  <r>
    <n v="10689"/>
    <d v="2023-11-20T00:00:00"/>
    <x v="480"/>
    <x v="2"/>
    <x v="3"/>
    <n v="1"/>
    <n v="101.55"/>
    <n v="0.22"/>
    <x v="2"/>
    <x v="1"/>
    <n v="3.9"/>
    <n v="79.209999999999994"/>
    <n v="79.209000000000003"/>
    <n v="20"/>
    <x v="10"/>
    <x v="1"/>
  </r>
  <r>
    <n v="10690"/>
    <d v="2023-11-21T00:00:00"/>
    <x v="231"/>
    <x v="1"/>
    <x v="1"/>
    <n v="7"/>
    <n v="236.22"/>
    <n v="0.28999999999999998"/>
    <x v="0"/>
    <x v="8"/>
    <n v="4.4000000000000004"/>
    <n v="1174.01"/>
    <n v="1174.0134"/>
    <n v="21"/>
    <x v="10"/>
    <x v="1"/>
  </r>
  <r>
    <n v="10691"/>
    <d v="2023-11-22T00:00:00"/>
    <x v="285"/>
    <x v="0"/>
    <x v="3"/>
    <n v="6"/>
    <n v="414.98"/>
    <n v="0.06"/>
    <x v="2"/>
    <x v="8"/>
    <n v="4.5999999999999996"/>
    <n v="2340.4899999999998"/>
    <n v="2340.4872"/>
    <n v="22"/>
    <x v="10"/>
    <x v="1"/>
  </r>
  <r>
    <n v="10692"/>
    <d v="2023-11-23T00:00:00"/>
    <x v="321"/>
    <x v="2"/>
    <x v="3"/>
    <n v="3"/>
    <n v="148.62"/>
    <n v="0.33"/>
    <x v="2"/>
    <x v="0"/>
    <n v="1.7"/>
    <n v="298.73"/>
    <n v="298.72620000000001"/>
    <n v="23"/>
    <x v="10"/>
    <x v="1"/>
  </r>
  <r>
    <n v="10693"/>
    <d v="2023-11-24T00:00:00"/>
    <x v="191"/>
    <x v="1"/>
    <x v="2"/>
    <n v="7"/>
    <n v="262.45999999999998"/>
    <n v="0.19"/>
    <x v="1"/>
    <x v="0"/>
    <n v="3.8"/>
    <n v="1488.15"/>
    <n v="1488.1481999999999"/>
    <n v="24"/>
    <x v="10"/>
    <x v="1"/>
  </r>
  <r>
    <n v="10694"/>
    <d v="2023-11-25T00:00:00"/>
    <x v="39"/>
    <x v="1"/>
    <x v="3"/>
    <n v="7"/>
    <n v="341.05"/>
    <n v="0.32"/>
    <x v="1"/>
    <x v="9"/>
    <n v="4.9000000000000004"/>
    <n v="1623.4"/>
    <n v="1623.3979999999997"/>
    <n v="25"/>
    <x v="10"/>
    <x v="1"/>
  </r>
  <r>
    <n v="10695"/>
    <d v="2023-11-26T00:00:00"/>
    <x v="316"/>
    <x v="2"/>
    <x v="3"/>
    <n v="1"/>
    <n v="534.83000000000004"/>
    <n v="7.0000000000000007E-2"/>
    <x v="2"/>
    <x v="9"/>
    <n v="3.6"/>
    <n v="497.39"/>
    <n v="497.39190000000002"/>
    <n v="26"/>
    <x v="10"/>
    <x v="1"/>
  </r>
  <r>
    <n v="10696"/>
    <d v="2023-11-27T00:00:00"/>
    <x v="18"/>
    <x v="3"/>
    <x v="0"/>
    <n v="7"/>
    <n v="205.75"/>
    <n v="0.21"/>
    <x v="2"/>
    <x v="8"/>
    <n v="2.4"/>
    <n v="1137.8"/>
    <n v="1137.7975000000001"/>
    <n v="27"/>
    <x v="10"/>
    <x v="1"/>
  </r>
  <r>
    <n v="10697"/>
    <d v="2023-11-28T00:00:00"/>
    <x v="439"/>
    <x v="2"/>
    <x v="1"/>
    <n v="3"/>
    <n v="93.13"/>
    <n v="0.14000000000000001"/>
    <x v="1"/>
    <x v="6"/>
    <n v="3.5"/>
    <n v="240.28"/>
    <n v="240.27539999999999"/>
    <n v="28"/>
    <x v="10"/>
    <x v="1"/>
  </r>
  <r>
    <n v="10698"/>
    <d v="2023-11-29T00:00:00"/>
    <x v="481"/>
    <x v="1"/>
    <x v="3"/>
    <n v="2"/>
    <n v="301.22000000000003"/>
    <n v="0.27"/>
    <x v="2"/>
    <x v="0"/>
    <n v="3.8"/>
    <n v="439.78"/>
    <n v="439.78120000000001"/>
    <n v="29"/>
    <x v="10"/>
    <x v="1"/>
  </r>
  <r>
    <n v="10699"/>
    <d v="2023-11-30T00:00:00"/>
    <x v="135"/>
    <x v="1"/>
    <x v="1"/>
    <n v="6"/>
    <n v="451.83"/>
    <n v="0.21"/>
    <x v="0"/>
    <x v="3"/>
    <n v="2.6"/>
    <n v="2141.67"/>
    <n v="2141.6741999999999"/>
    <n v="30"/>
    <x v="10"/>
    <x v="1"/>
  </r>
  <r>
    <n v="10700"/>
    <d v="2023-12-01T00:00:00"/>
    <x v="118"/>
    <x v="1"/>
    <x v="3"/>
    <n v="2"/>
    <n v="79.27"/>
    <n v="0.17"/>
    <x v="1"/>
    <x v="6"/>
    <n v="1.4"/>
    <n v="131.59"/>
    <n v="131.5882"/>
    <n v="1"/>
    <x v="11"/>
    <x v="1"/>
  </r>
  <r>
    <n v="10701"/>
    <d v="2023-12-02T00:00:00"/>
    <x v="482"/>
    <x v="3"/>
    <x v="2"/>
    <n v="6"/>
    <n v="263.44"/>
    <n v="0.32"/>
    <x v="2"/>
    <x v="2"/>
    <n v="3.4"/>
    <n v="1074.8399999999999"/>
    <n v="1074.8352"/>
    <n v="2"/>
    <x v="11"/>
    <x v="1"/>
  </r>
  <r>
    <n v="10702"/>
    <d v="2023-12-03T00:00:00"/>
    <x v="280"/>
    <x v="2"/>
    <x v="0"/>
    <n v="7"/>
    <n v="25.4"/>
    <n v="0.13"/>
    <x v="2"/>
    <x v="5"/>
    <n v="4.2"/>
    <n v="154.69"/>
    <n v="154.68599999999998"/>
    <n v="3"/>
    <x v="11"/>
    <x v="1"/>
  </r>
  <r>
    <n v="10703"/>
    <d v="2023-12-04T00:00:00"/>
    <x v="325"/>
    <x v="2"/>
    <x v="3"/>
    <n v="6"/>
    <n v="34.630000000000003"/>
    <n v="0.08"/>
    <x v="0"/>
    <x v="8"/>
    <n v="5"/>
    <n v="191.16"/>
    <n v="191.15760000000003"/>
    <n v="4"/>
    <x v="11"/>
    <x v="1"/>
  </r>
  <r>
    <n v="10704"/>
    <d v="2023-12-05T00:00:00"/>
    <x v="177"/>
    <x v="3"/>
    <x v="1"/>
    <n v="1"/>
    <n v="297.52999999999997"/>
    <n v="0.21"/>
    <x v="0"/>
    <x v="5"/>
    <n v="1.9"/>
    <n v="235.05"/>
    <n v="235.0487"/>
    <n v="5"/>
    <x v="11"/>
    <x v="1"/>
  </r>
  <r>
    <n v="10705"/>
    <d v="2023-12-06T00:00:00"/>
    <x v="483"/>
    <x v="1"/>
    <x v="2"/>
    <n v="3"/>
    <n v="189.45"/>
    <n v="0.22"/>
    <x v="2"/>
    <x v="4"/>
    <n v="3.8"/>
    <n v="443.31"/>
    <n v="443.31299999999993"/>
    <n v="6"/>
    <x v="11"/>
    <x v="1"/>
  </r>
  <r>
    <n v="10706"/>
    <d v="2023-12-07T00:00:00"/>
    <x v="162"/>
    <x v="3"/>
    <x v="1"/>
    <n v="6"/>
    <n v="509.39"/>
    <n v="0.15"/>
    <x v="1"/>
    <x v="10"/>
    <n v="1.1000000000000001"/>
    <n v="2597.89"/>
    <n v="2597.8890000000001"/>
    <n v="7"/>
    <x v="11"/>
    <x v="1"/>
  </r>
  <r>
    <n v="10707"/>
    <d v="2023-12-08T00:00:00"/>
    <x v="233"/>
    <x v="3"/>
    <x v="2"/>
    <n v="3"/>
    <n v="367.26"/>
    <n v="0.17"/>
    <x v="1"/>
    <x v="0"/>
    <n v="4.9000000000000004"/>
    <n v="914.48"/>
    <n v="914.47739999999999"/>
    <n v="8"/>
    <x v="11"/>
    <x v="1"/>
  </r>
  <r>
    <n v="10708"/>
    <d v="2023-12-09T00:00:00"/>
    <x v="484"/>
    <x v="3"/>
    <x v="0"/>
    <n v="6"/>
    <n v="280.55"/>
    <n v="0.34"/>
    <x v="1"/>
    <x v="9"/>
    <n v="1.1000000000000001"/>
    <n v="1110.98"/>
    <n v="1110.9780000000001"/>
    <n v="9"/>
    <x v="11"/>
    <x v="1"/>
  </r>
  <r>
    <n v="10709"/>
    <d v="2023-12-10T00:00:00"/>
    <x v="485"/>
    <x v="1"/>
    <x v="2"/>
    <n v="3"/>
    <n v="253.64"/>
    <n v="0.26"/>
    <x v="2"/>
    <x v="10"/>
    <n v="2.4"/>
    <n v="563.08000000000004"/>
    <n v="563.08079999999995"/>
    <n v="10"/>
    <x v="11"/>
    <x v="1"/>
  </r>
  <r>
    <n v="10710"/>
    <d v="2023-12-11T00:00:00"/>
    <x v="486"/>
    <x v="2"/>
    <x v="1"/>
    <n v="2"/>
    <n v="305.89"/>
    <n v="0.04"/>
    <x v="2"/>
    <x v="7"/>
    <n v="1.3"/>
    <n v="587.30999999999995"/>
    <n v="587.30880000000002"/>
    <n v="11"/>
    <x v="11"/>
    <x v="1"/>
  </r>
  <r>
    <n v="10711"/>
    <d v="2023-12-12T00:00:00"/>
    <x v="487"/>
    <x v="3"/>
    <x v="1"/>
    <n v="1"/>
    <n v="38.659999999999997"/>
    <n v="7.0000000000000007E-2"/>
    <x v="0"/>
    <x v="5"/>
    <n v="3.5"/>
    <n v="35.950000000000003"/>
    <n v="35.953799999999994"/>
    <n v="12"/>
    <x v="11"/>
    <x v="1"/>
  </r>
  <r>
    <n v="10712"/>
    <d v="2023-12-13T00:00:00"/>
    <x v="488"/>
    <x v="1"/>
    <x v="3"/>
    <n v="6"/>
    <n v="537.28"/>
    <n v="0.34"/>
    <x v="2"/>
    <x v="0"/>
    <n v="2.4"/>
    <n v="2127.63"/>
    <n v="2127.6287999999995"/>
    <n v="13"/>
    <x v="11"/>
    <x v="1"/>
  </r>
  <r>
    <n v="10713"/>
    <d v="2023-12-14T00:00:00"/>
    <x v="489"/>
    <x v="2"/>
    <x v="2"/>
    <n v="4"/>
    <n v="599.01"/>
    <n v="0.25"/>
    <x v="2"/>
    <x v="2"/>
    <n v="3.9"/>
    <n v="1797.03"/>
    <n v="1797.03"/>
    <n v="14"/>
    <x v="11"/>
    <x v="1"/>
  </r>
  <r>
    <n v="10714"/>
    <d v="2023-12-15T00:00:00"/>
    <x v="94"/>
    <x v="0"/>
    <x v="1"/>
    <n v="3"/>
    <n v="121.17"/>
    <n v="0.32"/>
    <x v="2"/>
    <x v="8"/>
    <n v="2.9"/>
    <n v="247.19"/>
    <n v="247.18680000000001"/>
    <n v="15"/>
    <x v="11"/>
    <x v="1"/>
  </r>
  <r>
    <n v="10715"/>
    <d v="2023-12-16T00:00:00"/>
    <x v="460"/>
    <x v="0"/>
    <x v="3"/>
    <n v="3"/>
    <n v="85.42"/>
    <n v="0.11"/>
    <x v="1"/>
    <x v="6"/>
    <n v="2.7"/>
    <n v="228.07"/>
    <n v="228.07139999999998"/>
    <n v="16"/>
    <x v="11"/>
    <x v="1"/>
  </r>
  <r>
    <n v="10716"/>
    <d v="2023-12-17T00:00:00"/>
    <x v="490"/>
    <x v="1"/>
    <x v="0"/>
    <n v="4"/>
    <n v="98.99"/>
    <n v="0.26"/>
    <x v="2"/>
    <x v="10"/>
    <n v="2.4"/>
    <n v="293.01"/>
    <n v="293.0104"/>
    <n v="17"/>
    <x v="11"/>
    <x v="1"/>
  </r>
  <r>
    <n v="10717"/>
    <d v="2023-12-18T00:00:00"/>
    <x v="491"/>
    <x v="2"/>
    <x v="1"/>
    <n v="1"/>
    <n v="401.7"/>
    <n v="0.25"/>
    <x v="2"/>
    <x v="2"/>
    <n v="1.3"/>
    <n v="301.27"/>
    <n v="301.27499999999998"/>
    <n v="18"/>
    <x v="11"/>
    <x v="1"/>
  </r>
  <r>
    <n v="10718"/>
    <d v="2023-12-19T00:00:00"/>
    <x v="358"/>
    <x v="1"/>
    <x v="3"/>
    <n v="3"/>
    <n v="401.94"/>
    <n v="0.1"/>
    <x v="0"/>
    <x v="10"/>
    <n v="1.8"/>
    <n v="1085.24"/>
    <n v="1085.2379999999998"/>
    <n v="19"/>
    <x v="11"/>
    <x v="1"/>
  </r>
  <r>
    <n v="10719"/>
    <d v="2023-12-20T00:00:00"/>
    <x v="356"/>
    <x v="3"/>
    <x v="1"/>
    <n v="1"/>
    <n v="511.04"/>
    <n v="0.19"/>
    <x v="1"/>
    <x v="6"/>
    <n v="3.6"/>
    <n v="413.94"/>
    <n v="413.94240000000002"/>
    <n v="20"/>
    <x v="11"/>
    <x v="1"/>
  </r>
  <r>
    <n v="10720"/>
    <d v="2023-12-21T00:00:00"/>
    <x v="70"/>
    <x v="0"/>
    <x v="2"/>
    <n v="3"/>
    <n v="454.82"/>
    <n v="0.22"/>
    <x v="0"/>
    <x v="10"/>
    <n v="3"/>
    <n v="1064.28"/>
    <n v="1064.2788"/>
    <n v="21"/>
    <x v="11"/>
    <x v="1"/>
  </r>
  <r>
    <n v="10721"/>
    <d v="2023-12-22T00:00:00"/>
    <x v="35"/>
    <x v="2"/>
    <x v="3"/>
    <n v="7"/>
    <n v="278.07"/>
    <n v="0.17"/>
    <x v="2"/>
    <x v="8"/>
    <n v="1.3"/>
    <n v="1615.59"/>
    <n v="1615.5867000000001"/>
    <n v="22"/>
    <x v="11"/>
    <x v="1"/>
  </r>
  <r>
    <n v="10722"/>
    <d v="2023-12-23T00:00:00"/>
    <x v="132"/>
    <x v="2"/>
    <x v="2"/>
    <n v="5"/>
    <n v="373.52"/>
    <n v="0.28999999999999998"/>
    <x v="1"/>
    <x v="6"/>
    <n v="3.2"/>
    <n v="1326"/>
    <n v="1325.9960000000001"/>
    <n v="23"/>
    <x v="11"/>
    <x v="1"/>
  </r>
  <r>
    <n v="10723"/>
    <d v="2023-12-24T00:00:00"/>
    <x v="492"/>
    <x v="0"/>
    <x v="0"/>
    <n v="7"/>
    <n v="417.65"/>
    <n v="0.28999999999999998"/>
    <x v="1"/>
    <x v="6"/>
    <n v="1.2"/>
    <n v="2075.7199999999998"/>
    <n v="2075.7204999999999"/>
    <n v="24"/>
    <x v="11"/>
    <x v="1"/>
  </r>
  <r>
    <n v="10724"/>
    <d v="2023-12-25T00:00:00"/>
    <x v="79"/>
    <x v="1"/>
    <x v="2"/>
    <n v="3"/>
    <n v="314.95"/>
    <n v="0.3"/>
    <x v="1"/>
    <x v="9"/>
    <n v="3"/>
    <n v="661.39"/>
    <n v="661.39499999999998"/>
    <n v="25"/>
    <x v="11"/>
    <x v="1"/>
  </r>
  <r>
    <n v="10725"/>
    <d v="2023-12-26T00:00:00"/>
    <x v="103"/>
    <x v="1"/>
    <x v="3"/>
    <n v="5"/>
    <n v="293.26"/>
    <n v="0.28000000000000003"/>
    <x v="2"/>
    <x v="8"/>
    <n v="4.9000000000000004"/>
    <n v="1055.74"/>
    <n v="1055.7359999999999"/>
    <n v="26"/>
    <x v="11"/>
    <x v="1"/>
  </r>
  <r>
    <n v="10726"/>
    <d v="2023-12-27T00:00:00"/>
    <x v="493"/>
    <x v="0"/>
    <x v="1"/>
    <n v="6"/>
    <n v="392.38"/>
    <n v="0.17"/>
    <x v="1"/>
    <x v="8"/>
    <n v="2.2000000000000002"/>
    <n v="1954.05"/>
    <n v="1954.0523999999998"/>
    <n v="27"/>
    <x v="11"/>
    <x v="1"/>
  </r>
  <r>
    <n v="10727"/>
    <d v="2023-12-28T00:00:00"/>
    <x v="494"/>
    <x v="2"/>
    <x v="3"/>
    <n v="1"/>
    <n v="341.12"/>
    <n v="0.13"/>
    <x v="1"/>
    <x v="1"/>
    <n v="3.9"/>
    <n v="296.77"/>
    <n v="296.77440000000001"/>
    <n v="28"/>
    <x v="11"/>
    <x v="1"/>
  </r>
  <r>
    <n v="10728"/>
    <d v="2023-12-29T00:00:00"/>
    <x v="77"/>
    <x v="1"/>
    <x v="2"/>
    <n v="3"/>
    <n v="391.71"/>
    <n v="0.28999999999999998"/>
    <x v="0"/>
    <x v="6"/>
    <n v="4"/>
    <n v="834.34"/>
    <n v="834.34229999999991"/>
    <n v="29"/>
    <x v="11"/>
    <x v="1"/>
  </r>
  <r>
    <n v="10729"/>
    <d v="2023-12-30T00:00:00"/>
    <x v="495"/>
    <x v="2"/>
    <x v="2"/>
    <n v="2"/>
    <n v="373.52"/>
    <n v="0.17"/>
    <x v="2"/>
    <x v="8"/>
    <n v="2.6"/>
    <n v="620.04"/>
    <n v="620.04319999999996"/>
    <n v="30"/>
    <x v="11"/>
    <x v="1"/>
  </r>
  <r>
    <n v="10730"/>
    <d v="2023-12-31T00:00:00"/>
    <x v="114"/>
    <x v="1"/>
    <x v="1"/>
    <n v="2"/>
    <n v="435.73"/>
    <n v="0.09"/>
    <x v="2"/>
    <x v="10"/>
    <n v="3.4"/>
    <n v="793.03"/>
    <n v="793.0286000000001"/>
    <n v="31"/>
    <x v="11"/>
    <x v="1"/>
  </r>
  <r>
    <n v="10731"/>
    <d v="2024-01-01T00:00:00"/>
    <x v="496"/>
    <x v="3"/>
    <x v="0"/>
    <n v="4"/>
    <n v="391.04"/>
    <n v="0.18"/>
    <x v="1"/>
    <x v="0"/>
    <n v="2.9"/>
    <n v="1282.6099999999999"/>
    <n v="1282.6112000000001"/>
    <n v="1"/>
    <x v="0"/>
    <x v="2"/>
  </r>
  <r>
    <n v="10732"/>
    <d v="2024-01-02T00:00:00"/>
    <x v="497"/>
    <x v="1"/>
    <x v="3"/>
    <n v="2"/>
    <n v="319.05"/>
    <n v="0.05"/>
    <x v="2"/>
    <x v="5"/>
    <n v="2.1"/>
    <n v="606.20000000000005"/>
    <n v="606.19500000000005"/>
    <n v="2"/>
    <x v="0"/>
    <x v="2"/>
  </r>
  <r>
    <n v="10733"/>
    <d v="2024-01-03T00:00:00"/>
    <x v="498"/>
    <x v="0"/>
    <x v="1"/>
    <n v="5"/>
    <n v="413.85"/>
    <n v="0.24"/>
    <x v="1"/>
    <x v="6"/>
    <n v="4"/>
    <n v="1572.63"/>
    <n v="1572.63"/>
    <n v="3"/>
    <x v="0"/>
    <x v="2"/>
  </r>
  <r>
    <n v="10734"/>
    <d v="2024-01-04T00:00:00"/>
    <x v="499"/>
    <x v="1"/>
    <x v="1"/>
    <n v="2"/>
    <n v="277.95"/>
    <n v="0.12"/>
    <x v="0"/>
    <x v="0"/>
    <n v="3.8"/>
    <n v="489.19"/>
    <n v="489.19200000000001"/>
    <n v="4"/>
    <x v="0"/>
    <x v="2"/>
  </r>
  <r>
    <n v="10735"/>
    <d v="2024-01-05T00:00:00"/>
    <x v="500"/>
    <x v="2"/>
    <x v="1"/>
    <n v="2"/>
    <n v="156.38"/>
    <n v="0.09"/>
    <x v="1"/>
    <x v="3"/>
    <n v="4.5999999999999996"/>
    <n v="284.61"/>
    <n v="284.61160000000001"/>
    <n v="5"/>
    <x v="0"/>
    <x v="2"/>
  </r>
  <r>
    <n v="10736"/>
    <d v="2024-01-06T00:00:00"/>
    <x v="393"/>
    <x v="2"/>
    <x v="3"/>
    <n v="2"/>
    <n v="15.83"/>
    <n v="0.33"/>
    <x v="2"/>
    <x v="0"/>
    <n v="3.5"/>
    <n v="21.21"/>
    <n v="21.212199999999999"/>
    <n v="6"/>
    <x v="0"/>
    <x v="2"/>
  </r>
  <r>
    <n v="10737"/>
    <d v="2024-01-07T00:00:00"/>
    <x v="417"/>
    <x v="1"/>
    <x v="3"/>
    <n v="3"/>
    <n v="342.58"/>
    <n v="0.27"/>
    <x v="2"/>
    <x v="7"/>
    <n v="2.6"/>
    <n v="750.25"/>
    <n v="750.25019999999995"/>
    <n v="7"/>
    <x v="0"/>
    <x v="2"/>
  </r>
  <r>
    <n v="10738"/>
    <d v="2024-01-08T00:00:00"/>
    <x v="501"/>
    <x v="1"/>
    <x v="3"/>
    <n v="4"/>
    <n v="360.53"/>
    <n v="0.28000000000000003"/>
    <x v="2"/>
    <x v="8"/>
    <n v="3.9"/>
    <n v="1038.33"/>
    <n v="1038.3263999999999"/>
    <n v="8"/>
    <x v="0"/>
    <x v="2"/>
  </r>
  <r>
    <n v="10739"/>
    <d v="2024-01-09T00:00:00"/>
    <x v="502"/>
    <x v="2"/>
    <x v="0"/>
    <n v="1"/>
    <n v="583.65"/>
    <n v="0.22"/>
    <x v="0"/>
    <x v="1"/>
    <n v="3.5"/>
    <n v="455.25"/>
    <n v="455.24699999999996"/>
    <n v="9"/>
    <x v="0"/>
    <x v="2"/>
  </r>
  <r>
    <n v="10740"/>
    <d v="2024-01-10T00:00:00"/>
    <x v="373"/>
    <x v="1"/>
    <x v="1"/>
    <n v="4"/>
    <n v="226.46"/>
    <n v="0.28999999999999998"/>
    <x v="1"/>
    <x v="7"/>
    <n v="3.5"/>
    <n v="643.15"/>
    <n v="643.14640000000009"/>
    <n v="10"/>
    <x v="0"/>
    <x v="2"/>
  </r>
  <r>
    <n v="10741"/>
    <d v="2024-01-11T00:00:00"/>
    <x v="119"/>
    <x v="1"/>
    <x v="2"/>
    <n v="5"/>
    <n v="245.57"/>
    <n v="0.27"/>
    <x v="1"/>
    <x v="2"/>
    <n v="4.4000000000000004"/>
    <n v="896.33"/>
    <n v="896.33049999999992"/>
    <n v="11"/>
    <x v="0"/>
    <x v="2"/>
  </r>
  <r>
    <n v="10742"/>
    <d v="2024-01-12T00:00:00"/>
    <x v="503"/>
    <x v="3"/>
    <x v="2"/>
    <n v="3"/>
    <n v="133.05000000000001"/>
    <n v="0.21"/>
    <x v="2"/>
    <x v="5"/>
    <n v="4.5999999999999996"/>
    <n v="315.33"/>
    <n v="315.32850000000002"/>
    <n v="12"/>
    <x v="0"/>
    <x v="2"/>
  </r>
  <r>
    <n v="10743"/>
    <d v="2024-01-13T00:00:00"/>
    <x v="504"/>
    <x v="3"/>
    <x v="1"/>
    <n v="6"/>
    <n v="56.26"/>
    <n v="0.34"/>
    <x v="2"/>
    <x v="6"/>
    <n v="1.7"/>
    <n v="222.79"/>
    <n v="222.78960000000001"/>
    <n v="13"/>
    <x v="0"/>
    <x v="2"/>
  </r>
  <r>
    <n v="10744"/>
    <d v="2024-01-14T00:00:00"/>
    <x v="505"/>
    <x v="3"/>
    <x v="2"/>
    <n v="3"/>
    <n v="467.09"/>
    <n v="7.0000000000000007E-2"/>
    <x v="1"/>
    <x v="4"/>
    <n v="2.2999999999999998"/>
    <n v="1303.18"/>
    <n v="1303.1811"/>
    <n v="14"/>
    <x v="0"/>
    <x v="2"/>
  </r>
  <r>
    <n v="10745"/>
    <d v="2024-01-15T00:00:00"/>
    <x v="313"/>
    <x v="2"/>
    <x v="0"/>
    <n v="7"/>
    <n v="161.06"/>
    <n v="0.33"/>
    <x v="1"/>
    <x v="6"/>
    <n v="3.6"/>
    <n v="755.37"/>
    <n v="755.37139999999999"/>
    <n v="15"/>
    <x v="0"/>
    <x v="2"/>
  </r>
  <r>
    <n v="10746"/>
    <d v="2024-01-16T00:00:00"/>
    <x v="506"/>
    <x v="2"/>
    <x v="0"/>
    <n v="2"/>
    <n v="371.21"/>
    <n v="0.14000000000000001"/>
    <x v="2"/>
    <x v="0"/>
    <n v="3.2"/>
    <n v="638.48"/>
    <n v="638.48119999999994"/>
    <n v="16"/>
    <x v="0"/>
    <x v="2"/>
  </r>
  <r>
    <n v="10747"/>
    <d v="2024-01-17T00:00:00"/>
    <x v="30"/>
    <x v="3"/>
    <x v="3"/>
    <n v="2"/>
    <n v="417.35"/>
    <n v="0.18"/>
    <x v="0"/>
    <x v="0"/>
    <n v="3.6"/>
    <n v="684.45"/>
    <n v="684.45400000000006"/>
    <n v="17"/>
    <x v="0"/>
    <x v="2"/>
  </r>
  <r>
    <n v="10748"/>
    <d v="2024-01-18T00:00:00"/>
    <x v="507"/>
    <x v="1"/>
    <x v="3"/>
    <n v="5"/>
    <n v="290.67"/>
    <n v="0.04"/>
    <x v="2"/>
    <x v="6"/>
    <n v="2.7"/>
    <n v="1395.22"/>
    <n v="1395.2160000000001"/>
    <n v="18"/>
    <x v="0"/>
    <x v="2"/>
  </r>
  <r>
    <n v="10749"/>
    <d v="2024-01-19T00:00:00"/>
    <x v="508"/>
    <x v="2"/>
    <x v="3"/>
    <n v="6"/>
    <n v="527.66999999999996"/>
    <n v="0.19"/>
    <x v="0"/>
    <x v="0"/>
    <n v="2.6"/>
    <n v="2564.48"/>
    <n v="2564.4761999999996"/>
    <n v="19"/>
    <x v="0"/>
    <x v="2"/>
  </r>
  <r>
    <n v="10750"/>
    <d v="2024-01-20T00:00:00"/>
    <x v="509"/>
    <x v="3"/>
    <x v="3"/>
    <n v="7"/>
    <n v="274.62"/>
    <n v="0.21"/>
    <x v="2"/>
    <x v="3"/>
    <n v="1.5"/>
    <n v="1518.65"/>
    <n v="1518.6486000000002"/>
    <n v="20"/>
    <x v="0"/>
    <x v="2"/>
  </r>
  <r>
    <n v="10751"/>
    <d v="2024-01-21T00:00:00"/>
    <x v="510"/>
    <x v="3"/>
    <x v="3"/>
    <n v="3"/>
    <n v="181.67"/>
    <n v="0.35"/>
    <x v="1"/>
    <x v="2"/>
    <n v="3.5"/>
    <n v="354.26"/>
    <n v="354.25650000000002"/>
    <n v="21"/>
    <x v="0"/>
    <x v="2"/>
  </r>
  <r>
    <n v="10752"/>
    <d v="2024-01-22T00:00:00"/>
    <x v="511"/>
    <x v="1"/>
    <x v="2"/>
    <n v="6"/>
    <n v="539.16999999999996"/>
    <n v="0.34"/>
    <x v="1"/>
    <x v="2"/>
    <n v="1.7"/>
    <n v="2135.11"/>
    <n v="2135.1131999999998"/>
    <n v="22"/>
    <x v="0"/>
    <x v="2"/>
  </r>
  <r>
    <n v="10753"/>
    <d v="2024-01-23T00:00:00"/>
    <x v="310"/>
    <x v="2"/>
    <x v="2"/>
    <n v="1"/>
    <n v="519.02"/>
    <n v="0.34"/>
    <x v="2"/>
    <x v="2"/>
    <n v="3.7"/>
    <n v="342.55"/>
    <n v="342.55319999999995"/>
    <n v="23"/>
    <x v="0"/>
    <x v="2"/>
  </r>
  <r>
    <n v="10754"/>
    <d v="2024-01-24T00:00:00"/>
    <x v="28"/>
    <x v="3"/>
    <x v="3"/>
    <n v="4"/>
    <n v="110.96"/>
    <n v="0.12"/>
    <x v="2"/>
    <x v="9"/>
    <n v="4.9000000000000004"/>
    <n v="390.58"/>
    <n v="390.57919999999996"/>
    <n v="24"/>
    <x v="0"/>
    <x v="2"/>
  </r>
  <r>
    <n v="10755"/>
    <d v="2024-01-25T00:00:00"/>
    <x v="161"/>
    <x v="1"/>
    <x v="0"/>
    <n v="3"/>
    <n v="30.19"/>
    <n v="0.35"/>
    <x v="2"/>
    <x v="1"/>
    <n v="2"/>
    <n v="58.87"/>
    <n v="58.870500000000007"/>
    <n v="25"/>
    <x v="0"/>
    <x v="2"/>
  </r>
  <r>
    <n v="10756"/>
    <d v="2024-01-26T00:00:00"/>
    <x v="512"/>
    <x v="3"/>
    <x v="2"/>
    <n v="6"/>
    <n v="67.64"/>
    <n v="0.16"/>
    <x v="2"/>
    <x v="0"/>
    <n v="1.6"/>
    <n v="340.91"/>
    <n v="340.90560000000005"/>
    <n v="26"/>
    <x v="0"/>
    <x v="2"/>
  </r>
  <r>
    <n v="10757"/>
    <d v="2024-01-27T00:00:00"/>
    <x v="155"/>
    <x v="3"/>
    <x v="0"/>
    <n v="1"/>
    <n v="182.63"/>
    <n v="0.3"/>
    <x v="0"/>
    <x v="9"/>
    <n v="1.1000000000000001"/>
    <n v="127.84"/>
    <n v="127.84100000000001"/>
    <n v="27"/>
    <x v="0"/>
    <x v="2"/>
  </r>
  <r>
    <n v="10758"/>
    <d v="2024-01-28T00:00:00"/>
    <x v="513"/>
    <x v="3"/>
    <x v="0"/>
    <n v="1"/>
    <n v="583.77"/>
    <n v="0.08"/>
    <x v="2"/>
    <x v="2"/>
    <n v="2.5"/>
    <n v="537.07000000000005"/>
    <n v="537.0684"/>
    <n v="28"/>
    <x v="0"/>
    <x v="2"/>
  </r>
  <r>
    <n v="10759"/>
    <d v="2024-01-29T00:00:00"/>
    <x v="514"/>
    <x v="1"/>
    <x v="1"/>
    <n v="7"/>
    <n v="341.73"/>
    <n v="0.18"/>
    <x v="1"/>
    <x v="6"/>
    <n v="1.9"/>
    <n v="1961.53"/>
    <n v="1961.5302000000001"/>
    <n v="29"/>
    <x v="0"/>
    <x v="2"/>
  </r>
  <r>
    <n v="10760"/>
    <d v="2024-01-30T00:00:00"/>
    <x v="451"/>
    <x v="2"/>
    <x v="1"/>
    <n v="7"/>
    <n v="233.36"/>
    <n v="0.34"/>
    <x v="1"/>
    <x v="0"/>
    <n v="3"/>
    <n v="1078.1199999999999"/>
    <n v="1078.1232"/>
    <n v="30"/>
    <x v="0"/>
    <x v="2"/>
  </r>
  <r>
    <n v="10761"/>
    <d v="2024-01-31T00:00:00"/>
    <x v="183"/>
    <x v="3"/>
    <x v="3"/>
    <n v="4"/>
    <n v="534.9"/>
    <n v="0.33"/>
    <x v="2"/>
    <x v="9"/>
    <n v="3.1"/>
    <n v="1433.53"/>
    <n v="1433.5319999999999"/>
    <n v="31"/>
    <x v="0"/>
    <x v="2"/>
  </r>
  <r>
    <n v="10762"/>
    <d v="2024-02-01T00:00:00"/>
    <x v="18"/>
    <x v="1"/>
    <x v="0"/>
    <n v="1"/>
    <n v="280.08"/>
    <n v="0.24"/>
    <x v="0"/>
    <x v="0"/>
    <n v="2.4"/>
    <n v="212.86"/>
    <n v="212.86079999999998"/>
    <n v="1"/>
    <x v="1"/>
    <x v="2"/>
  </r>
  <r>
    <n v="10763"/>
    <d v="2024-02-02T00:00:00"/>
    <x v="376"/>
    <x v="3"/>
    <x v="2"/>
    <n v="5"/>
    <n v="199.41"/>
    <n v="0.28000000000000003"/>
    <x v="1"/>
    <x v="3"/>
    <n v="4"/>
    <n v="717.88"/>
    <n v="717.87599999999998"/>
    <n v="2"/>
    <x v="1"/>
    <x v="2"/>
  </r>
  <r>
    <n v="10764"/>
    <d v="2024-02-03T00:00:00"/>
    <x v="47"/>
    <x v="2"/>
    <x v="1"/>
    <n v="1"/>
    <n v="565.61"/>
    <n v="0.06"/>
    <x v="0"/>
    <x v="3"/>
    <n v="4.5999999999999996"/>
    <n v="531.66999999999996"/>
    <n v="531.67340000000002"/>
    <n v="3"/>
    <x v="1"/>
    <x v="2"/>
  </r>
  <r>
    <n v="10765"/>
    <d v="2024-02-04T00:00:00"/>
    <x v="243"/>
    <x v="2"/>
    <x v="1"/>
    <n v="6"/>
    <n v="511.97"/>
    <n v="0.25"/>
    <x v="0"/>
    <x v="1"/>
    <n v="1.8"/>
    <n v="2303.87"/>
    <n v="2303.8650000000002"/>
    <n v="4"/>
    <x v="1"/>
    <x v="2"/>
  </r>
  <r>
    <n v="10766"/>
    <d v="2024-02-05T00:00:00"/>
    <x v="301"/>
    <x v="0"/>
    <x v="0"/>
    <n v="7"/>
    <n v="508.55"/>
    <n v="0.22"/>
    <x v="2"/>
    <x v="8"/>
    <n v="4.3"/>
    <n v="2776.68"/>
    <n v="2776.683"/>
    <n v="5"/>
    <x v="1"/>
    <x v="2"/>
  </r>
  <r>
    <n v="10767"/>
    <d v="2024-02-06T00:00:00"/>
    <x v="146"/>
    <x v="3"/>
    <x v="1"/>
    <n v="5"/>
    <n v="314.69"/>
    <n v="0.03"/>
    <x v="1"/>
    <x v="4"/>
    <n v="1.5"/>
    <n v="1526.25"/>
    <n v="1526.2465"/>
    <n v="6"/>
    <x v="1"/>
    <x v="2"/>
  </r>
  <r>
    <n v="10768"/>
    <d v="2024-02-07T00:00:00"/>
    <x v="515"/>
    <x v="0"/>
    <x v="1"/>
    <n v="7"/>
    <n v="476.82"/>
    <n v="0.04"/>
    <x v="1"/>
    <x v="2"/>
    <n v="1.9"/>
    <n v="3204.23"/>
    <n v="3204.2303999999999"/>
    <n v="7"/>
    <x v="1"/>
    <x v="2"/>
  </r>
  <r>
    <n v="10769"/>
    <d v="2024-02-08T00:00:00"/>
    <x v="516"/>
    <x v="3"/>
    <x v="2"/>
    <n v="7"/>
    <n v="119.92"/>
    <n v="0.04"/>
    <x v="1"/>
    <x v="8"/>
    <n v="3.2"/>
    <n v="805.86"/>
    <n v="805.86240000000009"/>
    <n v="8"/>
    <x v="1"/>
    <x v="2"/>
  </r>
  <r>
    <n v="10770"/>
    <d v="2024-02-09T00:00:00"/>
    <x v="190"/>
    <x v="1"/>
    <x v="0"/>
    <n v="7"/>
    <n v="350.34"/>
    <n v="0.25"/>
    <x v="1"/>
    <x v="1"/>
    <n v="2.2000000000000002"/>
    <n v="1839.28"/>
    <n v="1839.2849999999999"/>
    <n v="9"/>
    <x v="1"/>
    <x v="2"/>
  </r>
  <r>
    <n v="10771"/>
    <d v="2024-02-10T00:00:00"/>
    <x v="517"/>
    <x v="3"/>
    <x v="1"/>
    <n v="1"/>
    <n v="590.54999999999995"/>
    <n v="0.05"/>
    <x v="2"/>
    <x v="5"/>
    <n v="1.2"/>
    <n v="561.02"/>
    <n v="561.02249999999992"/>
    <n v="10"/>
    <x v="1"/>
    <x v="2"/>
  </r>
  <r>
    <n v="10772"/>
    <d v="2024-02-11T00:00:00"/>
    <x v="115"/>
    <x v="0"/>
    <x v="0"/>
    <n v="2"/>
    <n v="185.21"/>
    <n v="0.16"/>
    <x v="1"/>
    <x v="8"/>
    <n v="2.2000000000000002"/>
    <n v="311.14999999999998"/>
    <n v="311.15280000000001"/>
    <n v="11"/>
    <x v="1"/>
    <x v="2"/>
  </r>
  <r>
    <n v="10773"/>
    <d v="2024-02-12T00:00:00"/>
    <x v="388"/>
    <x v="1"/>
    <x v="1"/>
    <n v="1"/>
    <n v="479.7"/>
    <n v="0.12"/>
    <x v="2"/>
    <x v="4"/>
    <n v="4.5999999999999996"/>
    <n v="422.14"/>
    <n v="422.13599999999997"/>
    <n v="12"/>
    <x v="1"/>
    <x v="2"/>
  </r>
  <r>
    <n v="10774"/>
    <d v="2024-02-13T00:00:00"/>
    <x v="518"/>
    <x v="1"/>
    <x v="2"/>
    <n v="7"/>
    <n v="301.93"/>
    <n v="0.19"/>
    <x v="1"/>
    <x v="4"/>
    <n v="1.7"/>
    <n v="1711.94"/>
    <n v="1711.9431000000002"/>
    <n v="13"/>
    <x v="1"/>
    <x v="2"/>
  </r>
  <r>
    <n v="10775"/>
    <d v="2024-02-14T00:00:00"/>
    <x v="201"/>
    <x v="2"/>
    <x v="0"/>
    <n v="5"/>
    <n v="38.29"/>
    <n v="0.25"/>
    <x v="1"/>
    <x v="6"/>
    <n v="4.0999999999999996"/>
    <n v="143.59"/>
    <n v="143.58749999999998"/>
    <n v="14"/>
    <x v="1"/>
    <x v="2"/>
  </r>
  <r>
    <n v="10776"/>
    <d v="2024-02-15T00:00:00"/>
    <x v="519"/>
    <x v="1"/>
    <x v="1"/>
    <n v="1"/>
    <n v="461.37"/>
    <n v="0.24"/>
    <x v="2"/>
    <x v="0"/>
    <n v="3.9"/>
    <n v="350.64"/>
    <n v="350.64120000000003"/>
    <n v="15"/>
    <x v="1"/>
    <x v="2"/>
  </r>
  <r>
    <n v="10777"/>
    <d v="2024-02-16T00:00:00"/>
    <x v="295"/>
    <x v="3"/>
    <x v="2"/>
    <n v="7"/>
    <n v="113.61"/>
    <n v="0.18"/>
    <x v="0"/>
    <x v="3"/>
    <n v="1.4"/>
    <n v="652.12"/>
    <n v="652.12139999999999"/>
    <n v="16"/>
    <x v="1"/>
    <x v="2"/>
  </r>
  <r>
    <n v="10778"/>
    <d v="2024-02-17T00:00:00"/>
    <x v="520"/>
    <x v="2"/>
    <x v="1"/>
    <n v="7"/>
    <n v="384.41"/>
    <n v="0.16"/>
    <x v="2"/>
    <x v="8"/>
    <n v="2.2999999999999998"/>
    <n v="2260.33"/>
    <n v="2260.3308000000002"/>
    <n v="17"/>
    <x v="1"/>
    <x v="2"/>
  </r>
  <r>
    <n v="10779"/>
    <d v="2024-02-18T00:00:00"/>
    <x v="521"/>
    <x v="2"/>
    <x v="0"/>
    <n v="1"/>
    <n v="65.11"/>
    <n v="0.14000000000000001"/>
    <x v="2"/>
    <x v="9"/>
    <n v="1.8"/>
    <n v="55.99"/>
    <n v="55.994599999999998"/>
    <n v="18"/>
    <x v="1"/>
    <x v="2"/>
  </r>
  <r>
    <n v="10780"/>
    <d v="2024-02-19T00:00:00"/>
    <x v="522"/>
    <x v="2"/>
    <x v="1"/>
    <n v="1"/>
    <n v="568.91999999999996"/>
    <n v="0.3"/>
    <x v="2"/>
    <x v="8"/>
    <n v="1.1000000000000001"/>
    <n v="398.24"/>
    <n v="398.24399999999997"/>
    <n v="19"/>
    <x v="1"/>
    <x v="2"/>
  </r>
  <r>
    <n v="10781"/>
    <d v="2024-02-20T00:00:00"/>
    <x v="506"/>
    <x v="2"/>
    <x v="0"/>
    <n v="5"/>
    <n v="185.66"/>
    <n v="0.12"/>
    <x v="2"/>
    <x v="4"/>
    <n v="1.7"/>
    <n v="816.9"/>
    <n v="816.904"/>
    <n v="20"/>
    <x v="1"/>
    <x v="2"/>
  </r>
  <r>
    <n v="10782"/>
    <d v="2024-02-21T00:00:00"/>
    <x v="412"/>
    <x v="2"/>
    <x v="0"/>
    <n v="1"/>
    <n v="147.47999999999999"/>
    <n v="0.09"/>
    <x v="0"/>
    <x v="4"/>
    <n v="1.8"/>
    <n v="134.21"/>
    <n v="134.20679999999999"/>
    <n v="21"/>
    <x v="1"/>
    <x v="2"/>
  </r>
  <r>
    <n v="10783"/>
    <d v="2024-02-22T00:00:00"/>
    <x v="490"/>
    <x v="1"/>
    <x v="1"/>
    <n v="4"/>
    <n v="90.54"/>
    <n v="0.26"/>
    <x v="1"/>
    <x v="1"/>
    <n v="1.7"/>
    <n v="268"/>
    <n v="267.9984"/>
    <n v="22"/>
    <x v="1"/>
    <x v="2"/>
  </r>
  <r>
    <n v="10784"/>
    <d v="2024-02-23T00:00:00"/>
    <x v="192"/>
    <x v="0"/>
    <x v="2"/>
    <n v="6"/>
    <n v="568.41"/>
    <n v="0.13"/>
    <x v="0"/>
    <x v="4"/>
    <n v="1.4"/>
    <n v="2967.1"/>
    <n v="2967.1001999999999"/>
    <n v="23"/>
    <x v="1"/>
    <x v="2"/>
  </r>
  <r>
    <n v="10785"/>
    <d v="2024-02-24T00:00:00"/>
    <x v="523"/>
    <x v="1"/>
    <x v="3"/>
    <n v="4"/>
    <n v="431.46"/>
    <n v="0.3"/>
    <x v="1"/>
    <x v="8"/>
    <n v="3.1"/>
    <n v="1208.0899999999999"/>
    <n v="1208.088"/>
    <n v="24"/>
    <x v="1"/>
    <x v="2"/>
  </r>
  <r>
    <n v="10786"/>
    <d v="2024-02-25T00:00:00"/>
    <x v="524"/>
    <x v="2"/>
    <x v="2"/>
    <n v="5"/>
    <n v="448.87"/>
    <n v="0.11"/>
    <x v="0"/>
    <x v="1"/>
    <n v="2.2999999999999998"/>
    <n v="1997.47"/>
    <n v="1997.4714999999999"/>
    <n v="25"/>
    <x v="1"/>
    <x v="2"/>
  </r>
  <r>
    <n v="10787"/>
    <d v="2024-02-26T00:00:00"/>
    <x v="468"/>
    <x v="2"/>
    <x v="2"/>
    <n v="2"/>
    <n v="307.14999999999998"/>
    <n v="0.25"/>
    <x v="1"/>
    <x v="10"/>
    <n v="4.5999999999999996"/>
    <n v="460.72"/>
    <n v="460.72499999999997"/>
    <n v="26"/>
    <x v="1"/>
    <x v="2"/>
  </r>
  <r>
    <n v="10788"/>
    <d v="2024-02-27T00:00:00"/>
    <x v="525"/>
    <x v="3"/>
    <x v="1"/>
    <n v="4"/>
    <n v="292.72000000000003"/>
    <n v="0.02"/>
    <x v="0"/>
    <x v="1"/>
    <n v="1.7"/>
    <n v="1147.46"/>
    <n v="1147.4624000000001"/>
    <n v="27"/>
    <x v="1"/>
    <x v="2"/>
  </r>
  <r>
    <n v="10789"/>
    <d v="2024-02-28T00:00:00"/>
    <x v="526"/>
    <x v="1"/>
    <x v="2"/>
    <n v="7"/>
    <n v="79.36"/>
    <n v="0.13"/>
    <x v="0"/>
    <x v="2"/>
    <n v="3.4"/>
    <n v="483.3"/>
    <n v="483.30239999999998"/>
    <n v="28"/>
    <x v="1"/>
    <x v="2"/>
  </r>
  <r>
    <n v="10790"/>
    <d v="2024-02-29T00:00:00"/>
    <x v="227"/>
    <x v="3"/>
    <x v="2"/>
    <n v="6"/>
    <n v="342.51"/>
    <n v="0.12"/>
    <x v="1"/>
    <x v="4"/>
    <n v="4.5999999999999996"/>
    <n v="1808.45"/>
    <n v="1808.4528"/>
    <n v="29"/>
    <x v="1"/>
    <x v="2"/>
  </r>
  <r>
    <n v="10791"/>
    <d v="2024-03-01T00:00:00"/>
    <x v="527"/>
    <x v="3"/>
    <x v="3"/>
    <n v="3"/>
    <n v="159.44999999999999"/>
    <n v="0.28999999999999998"/>
    <x v="0"/>
    <x v="6"/>
    <n v="1.2"/>
    <n v="339.63"/>
    <n v="339.62850000000003"/>
    <n v="1"/>
    <x v="2"/>
    <x v="2"/>
  </r>
  <r>
    <n v="10792"/>
    <d v="2024-03-02T00:00:00"/>
    <x v="456"/>
    <x v="3"/>
    <x v="2"/>
    <n v="6"/>
    <n v="586.63"/>
    <n v="0.34"/>
    <x v="1"/>
    <x v="0"/>
    <n v="3.1"/>
    <n v="2323.0500000000002"/>
    <n v="2323.0547999999999"/>
    <n v="2"/>
    <x v="2"/>
    <x v="2"/>
  </r>
  <r>
    <n v="10793"/>
    <d v="2024-03-03T00:00:00"/>
    <x v="528"/>
    <x v="2"/>
    <x v="3"/>
    <n v="4"/>
    <n v="481"/>
    <n v="0.16"/>
    <x v="1"/>
    <x v="9"/>
    <n v="2.8"/>
    <n v="1616.16"/>
    <n v="1616.1599999999999"/>
    <n v="3"/>
    <x v="2"/>
    <x v="2"/>
  </r>
  <r>
    <n v="10794"/>
    <d v="2024-03-04T00:00:00"/>
    <x v="74"/>
    <x v="3"/>
    <x v="1"/>
    <n v="3"/>
    <n v="256.60000000000002"/>
    <n v="0.28999999999999998"/>
    <x v="1"/>
    <x v="2"/>
    <n v="4.7"/>
    <n v="546.55999999999995"/>
    <n v="546.55799999999999"/>
    <n v="4"/>
    <x v="2"/>
    <x v="2"/>
  </r>
  <r>
    <n v="10795"/>
    <d v="2024-03-05T00:00:00"/>
    <x v="195"/>
    <x v="2"/>
    <x v="3"/>
    <n v="5"/>
    <n v="103.53"/>
    <n v="0.24"/>
    <x v="0"/>
    <x v="2"/>
    <n v="3.7"/>
    <n v="393.41"/>
    <n v="393.41399999999999"/>
    <n v="5"/>
    <x v="2"/>
    <x v="2"/>
  </r>
  <r>
    <n v="10796"/>
    <d v="2024-03-06T00:00:00"/>
    <x v="529"/>
    <x v="0"/>
    <x v="0"/>
    <n v="6"/>
    <n v="474.42"/>
    <n v="0.34"/>
    <x v="2"/>
    <x v="9"/>
    <n v="2.4"/>
    <n v="1878.7"/>
    <n v="1878.7031999999999"/>
    <n v="6"/>
    <x v="2"/>
    <x v="2"/>
  </r>
  <r>
    <n v="10797"/>
    <d v="2024-03-07T00:00:00"/>
    <x v="370"/>
    <x v="1"/>
    <x v="0"/>
    <n v="2"/>
    <n v="86.4"/>
    <n v="0.28000000000000003"/>
    <x v="2"/>
    <x v="2"/>
    <n v="3.8"/>
    <n v="124.42"/>
    <n v="124.416"/>
    <n v="7"/>
    <x v="2"/>
    <x v="2"/>
  </r>
  <r>
    <n v="10798"/>
    <d v="2024-03-08T00:00:00"/>
    <x v="530"/>
    <x v="2"/>
    <x v="3"/>
    <n v="3"/>
    <n v="125.76"/>
    <n v="0.03"/>
    <x v="2"/>
    <x v="0"/>
    <n v="3.3"/>
    <n v="365.96"/>
    <n v="365.96160000000003"/>
    <n v="8"/>
    <x v="2"/>
    <x v="2"/>
  </r>
  <r>
    <n v="10799"/>
    <d v="2024-03-09T00:00:00"/>
    <x v="182"/>
    <x v="2"/>
    <x v="0"/>
    <n v="3"/>
    <n v="138.74"/>
    <n v="0.25"/>
    <x v="0"/>
    <x v="2"/>
    <n v="2.4"/>
    <n v="312.17"/>
    <n v="312.16500000000002"/>
    <n v="9"/>
    <x v="2"/>
    <x v="2"/>
  </r>
  <r>
    <n v="10800"/>
    <d v="2024-03-10T00:00:00"/>
    <x v="531"/>
    <x v="2"/>
    <x v="1"/>
    <n v="6"/>
    <n v="340.78"/>
    <n v="0.19"/>
    <x v="2"/>
    <x v="8"/>
    <n v="4.0999999999999996"/>
    <n v="1656.19"/>
    <n v="1656.1907999999999"/>
    <n v="10"/>
    <x v="2"/>
    <x v="2"/>
  </r>
  <r>
    <n v="10801"/>
    <d v="2024-03-11T00:00:00"/>
    <x v="203"/>
    <x v="3"/>
    <x v="0"/>
    <n v="4"/>
    <n v="475.43"/>
    <n v="0.01"/>
    <x v="1"/>
    <x v="7"/>
    <n v="3.7"/>
    <n v="1882.7"/>
    <n v="1882.7028"/>
    <n v="11"/>
    <x v="2"/>
    <x v="2"/>
  </r>
  <r>
    <n v="10802"/>
    <d v="2024-03-12T00:00:00"/>
    <x v="73"/>
    <x v="2"/>
    <x v="3"/>
    <n v="3"/>
    <n v="198.87"/>
    <n v="0.09"/>
    <x v="1"/>
    <x v="2"/>
    <n v="1"/>
    <n v="542.91999999999996"/>
    <n v="542.91510000000005"/>
    <n v="12"/>
    <x v="2"/>
    <x v="2"/>
  </r>
  <r>
    <n v="10803"/>
    <d v="2024-03-13T00:00:00"/>
    <x v="264"/>
    <x v="1"/>
    <x v="1"/>
    <n v="5"/>
    <n v="64.53"/>
    <n v="0.32"/>
    <x v="1"/>
    <x v="9"/>
    <n v="4.5"/>
    <n v="219.4"/>
    <n v="219.40199999999999"/>
    <n v="13"/>
    <x v="2"/>
    <x v="2"/>
  </r>
  <r>
    <n v="10804"/>
    <d v="2024-03-14T00:00:00"/>
    <x v="448"/>
    <x v="2"/>
    <x v="0"/>
    <n v="6"/>
    <n v="286.76"/>
    <n v="0.32"/>
    <x v="2"/>
    <x v="7"/>
    <n v="2.6"/>
    <n v="1169.98"/>
    <n v="1169.9807999999998"/>
    <n v="14"/>
    <x v="2"/>
    <x v="2"/>
  </r>
  <r>
    <n v="10805"/>
    <d v="2024-03-15T00:00:00"/>
    <x v="462"/>
    <x v="3"/>
    <x v="1"/>
    <n v="5"/>
    <n v="452.64"/>
    <n v="0.28000000000000003"/>
    <x v="1"/>
    <x v="8"/>
    <n v="3.6"/>
    <n v="1629.5"/>
    <n v="1629.5039999999999"/>
    <n v="15"/>
    <x v="2"/>
    <x v="2"/>
  </r>
  <r>
    <n v="10806"/>
    <d v="2024-03-16T00:00:00"/>
    <x v="155"/>
    <x v="3"/>
    <x v="3"/>
    <n v="6"/>
    <n v="144.66999999999999"/>
    <n v="0.34"/>
    <x v="1"/>
    <x v="10"/>
    <n v="2.6"/>
    <n v="572.89"/>
    <n v="572.89319999999998"/>
    <n v="16"/>
    <x v="2"/>
    <x v="2"/>
  </r>
  <r>
    <n v="10807"/>
    <d v="2024-03-17T00:00:00"/>
    <x v="525"/>
    <x v="3"/>
    <x v="0"/>
    <n v="5"/>
    <n v="143.66"/>
    <n v="0.28000000000000003"/>
    <x v="0"/>
    <x v="9"/>
    <n v="4.5"/>
    <n v="517.17999999999995"/>
    <n v="517.17599999999993"/>
    <n v="17"/>
    <x v="2"/>
    <x v="2"/>
  </r>
  <r>
    <n v="10808"/>
    <d v="2024-03-18T00:00:00"/>
    <x v="532"/>
    <x v="3"/>
    <x v="1"/>
    <n v="4"/>
    <n v="569.13"/>
    <n v="0"/>
    <x v="1"/>
    <x v="8"/>
    <n v="3.6"/>
    <n v="2276.52"/>
    <n v="2276.52"/>
    <n v="18"/>
    <x v="2"/>
    <x v="2"/>
  </r>
  <r>
    <n v="10809"/>
    <d v="2024-03-19T00:00:00"/>
    <x v="533"/>
    <x v="2"/>
    <x v="1"/>
    <n v="6"/>
    <n v="573.17999999999995"/>
    <n v="0.1"/>
    <x v="2"/>
    <x v="0"/>
    <n v="3.3"/>
    <n v="3095.17"/>
    <n v="3095.172"/>
    <n v="19"/>
    <x v="2"/>
    <x v="2"/>
  </r>
  <r>
    <n v="10810"/>
    <d v="2024-03-20T00:00:00"/>
    <x v="534"/>
    <x v="2"/>
    <x v="0"/>
    <n v="7"/>
    <n v="594.41999999999996"/>
    <n v="0.01"/>
    <x v="1"/>
    <x v="2"/>
    <n v="4.9000000000000004"/>
    <n v="4119.33"/>
    <n v="4119.3305999999993"/>
    <n v="20"/>
    <x v="2"/>
    <x v="2"/>
  </r>
  <r>
    <n v="10811"/>
    <d v="2024-03-21T00:00:00"/>
    <x v="535"/>
    <x v="3"/>
    <x v="1"/>
    <n v="2"/>
    <n v="487.48"/>
    <n v="0.03"/>
    <x v="1"/>
    <x v="2"/>
    <n v="2.1"/>
    <n v="945.71"/>
    <n v="945.71120000000008"/>
    <n v="21"/>
    <x v="2"/>
    <x v="2"/>
  </r>
  <r>
    <n v="10812"/>
    <d v="2024-03-22T00:00:00"/>
    <x v="536"/>
    <x v="1"/>
    <x v="1"/>
    <n v="4"/>
    <n v="125.09"/>
    <n v="0.08"/>
    <x v="1"/>
    <x v="4"/>
    <n v="1.3"/>
    <n v="460.33"/>
    <n v="460.33120000000002"/>
    <n v="22"/>
    <x v="2"/>
    <x v="2"/>
  </r>
  <r>
    <n v="10813"/>
    <d v="2024-03-23T00:00:00"/>
    <x v="69"/>
    <x v="1"/>
    <x v="3"/>
    <n v="5"/>
    <n v="139.01"/>
    <n v="0.18"/>
    <x v="1"/>
    <x v="2"/>
    <n v="3.1"/>
    <n v="569.94000000000005"/>
    <n v="569.94099999999992"/>
    <n v="23"/>
    <x v="2"/>
    <x v="2"/>
  </r>
  <r>
    <n v="10814"/>
    <d v="2024-03-24T00:00:00"/>
    <x v="287"/>
    <x v="2"/>
    <x v="3"/>
    <n v="6"/>
    <n v="214.03"/>
    <n v="0.3"/>
    <x v="0"/>
    <x v="8"/>
    <n v="2.7"/>
    <n v="898.93"/>
    <n v="898.92600000000004"/>
    <n v="24"/>
    <x v="2"/>
    <x v="2"/>
  </r>
  <r>
    <n v="10815"/>
    <d v="2024-03-25T00:00:00"/>
    <x v="264"/>
    <x v="2"/>
    <x v="3"/>
    <n v="4"/>
    <n v="201.11"/>
    <n v="0.3"/>
    <x v="1"/>
    <x v="10"/>
    <n v="2.8"/>
    <n v="563.11"/>
    <n v="563.10800000000006"/>
    <n v="25"/>
    <x v="2"/>
    <x v="2"/>
  </r>
  <r>
    <n v="10816"/>
    <d v="2024-03-26T00:00:00"/>
    <x v="537"/>
    <x v="2"/>
    <x v="3"/>
    <n v="5"/>
    <n v="574.57000000000005"/>
    <n v="0.22"/>
    <x v="1"/>
    <x v="1"/>
    <n v="3.5"/>
    <n v="2240.8200000000002"/>
    <n v="2240.8230000000003"/>
    <n v="26"/>
    <x v="2"/>
    <x v="2"/>
  </r>
  <r>
    <n v="10817"/>
    <d v="2024-03-27T00:00:00"/>
    <x v="385"/>
    <x v="0"/>
    <x v="3"/>
    <n v="1"/>
    <n v="476.61"/>
    <n v="0.32"/>
    <x v="2"/>
    <x v="2"/>
    <n v="3.5"/>
    <n v="324.08999999999997"/>
    <n v="324.09479999999996"/>
    <n v="27"/>
    <x v="2"/>
    <x v="2"/>
  </r>
  <r>
    <n v="10818"/>
    <d v="2024-03-28T00:00:00"/>
    <x v="538"/>
    <x v="2"/>
    <x v="3"/>
    <n v="1"/>
    <n v="438.55"/>
    <n v="0.18"/>
    <x v="2"/>
    <x v="10"/>
    <n v="2.6"/>
    <n v="359.61"/>
    <n v="359.61099999999999"/>
    <n v="28"/>
    <x v="2"/>
    <x v="2"/>
  </r>
  <r>
    <n v="10819"/>
    <d v="2024-03-29T00:00:00"/>
    <x v="539"/>
    <x v="1"/>
    <x v="0"/>
    <n v="3"/>
    <n v="123.79"/>
    <n v="0.31"/>
    <x v="2"/>
    <x v="0"/>
    <n v="4.5"/>
    <n v="256.25"/>
    <n v="256.24529999999999"/>
    <n v="29"/>
    <x v="2"/>
    <x v="2"/>
  </r>
  <r>
    <n v="10820"/>
    <d v="2024-03-30T00:00:00"/>
    <x v="540"/>
    <x v="2"/>
    <x v="3"/>
    <n v="2"/>
    <n v="547.07000000000005"/>
    <n v="0.16"/>
    <x v="0"/>
    <x v="8"/>
    <n v="3.6"/>
    <n v="919.08"/>
    <n v="919.07760000000007"/>
    <n v="30"/>
    <x v="2"/>
    <x v="2"/>
  </r>
  <r>
    <n v="10821"/>
    <d v="2024-03-31T00:00:00"/>
    <x v="541"/>
    <x v="3"/>
    <x v="1"/>
    <n v="1"/>
    <n v="499.3"/>
    <n v="0.1"/>
    <x v="2"/>
    <x v="9"/>
    <n v="4.5999999999999996"/>
    <n v="449.37"/>
    <n v="449.37"/>
    <n v="31"/>
    <x v="2"/>
    <x v="2"/>
  </r>
  <r>
    <n v="10822"/>
    <d v="2024-04-01T00:00:00"/>
    <x v="542"/>
    <x v="2"/>
    <x v="0"/>
    <n v="7"/>
    <n v="110.73"/>
    <n v="0.32"/>
    <x v="1"/>
    <x v="3"/>
    <n v="4.7"/>
    <n v="527.07000000000005"/>
    <n v="527.07479999999998"/>
    <n v="1"/>
    <x v="3"/>
    <x v="2"/>
  </r>
  <r>
    <n v="10823"/>
    <d v="2024-04-02T00:00:00"/>
    <x v="168"/>
    <x v="0"/>
    <x v="1"/>
    <n v="5"/>
    <n v="524.63"/>
    <n v="0.14000000000000001"/>
    <x v="0"/>
    <x v="0"/>
    <n v="1.7"/>
    <n v="2255.91"/>
    <n v="2255.9090000000001"/>
    <n v="2"/>
    <x v="3"/>
    <x v="2"/>
  </r>
  <r>
    <n v="10824"/>
    <d v="2024-04-03T00:00:00"/>
    <x v="475"/>
    <x v="0"/>
    <x v="3"/>
    <n v="4"/>
    <n v="174.26"/>
    <n v="0.18"/>
    <x v="2"/>
    <x v="2"/>
    <n v="3.7"/>
    <n v="571.57000000000005"/>
    <n v="571.57279999999992"/>
    <n v="3"/>
    <x v="3"/>
    <x v="2"/>
  </r>
  <r>
    <n v="10825"/>
    <d v="2024-04-04T00:00:00"/>
    <x v="440"/>
    <x v="2"/>
    <x v="3"/>
    <n v="6"/>
    <n v="62.31"/>
    <n v="0.12"/>
    <x v="1"/>
    <x v="4"/>
    <n v="2.2999999999999998"/>
    <n v="329"/>
    <n v="328.99680000000001"/>
    <n v="4"/>
    <x v="3"/>
    <x v="2"/>
  </r>
  <r>
    <n v="10826"/>
    <d v="2024-04-05T00:00:00"/>
    <x v="543"/>
    <x v="0"/>
    <x v="1"/>
    <n v="4"/>
    <n v="399.24"/>
    <n v="0.23"/>
    <x v="1"/>
    <x v="7"/>
    <n v="4.3"/>
    <n v="1229.6600000000001"/>
    <n v="1229.6592000000001"/>
    <n v="5"/>
    <x v="3"/>
    <x v="2"/>
  </r>
  <r>
    <n v="10827"/>
    <d v="2024-04-06T00:00:00"/>
    <x v="324"/>
    <x v="0"/>
    <x v="1"/>
    <n v="3"/>
    <n v="397.48"/>
    <n v="0.35"/>
    <x v="1"/>
    <x v="10"/>
    <n v="3.9"/>
    <n v="775.09"/>
    <n v="775.08600000000001"/>
    <n v="6"/>
    <x v="3"/>
    <x v="2"/>
  </r>
  <r>
    <n v="10828"/>
    <d v="2024-04-07T00:00:00"/>
    <x v="11"/>
    <x v="3"/>
    <x v="1"/>
    <n v="4"/>
    <n v="70.540000000000006"/>
    <n v="0.01"/>
    <x v="1"/>
    <x v="2"/>
    <n v="1.8"/>
    <n v="279.33999999999997"/>
    <n v="279.33840000000004"/>
    <n v="7"/>
    <x v="3"/>
    <x v="2"/>
  </r>
  <r>
    <n v="10829"/>
    <d v="2024-04-08T00:00:00"/>
    <x v="544"/>
    <x v="3"/>
    <x v="2"/>
    <n v="1"/>
    <n v="201.53"/>
    <n v="0.31"/>
    <x v="1"/>
    <x v="1"/>
    <n v="4.8"/>
    <n v="139.06"/>
    <n v="139.0557"/>
    <n v="8"/>
    <x v="3"/>
    <x v="2"/>
  </r>
  <r>
    <n v="10830"/>
    <d v="2024-04-09T00:00:00"/>
    <x v="545"/>
    <x v="2"/>
    <x v="2"/>
    <n v="4"/>
    <n v="595.79999999999995"/>
    <n v="0"/>
    <x v="1"/>
    <x v="1"/>
    <n v="3.7"/>
    <n v="2383.1999999999998"/>
    <n v="2383.1999999999998"/>
    <n v="9"/>
    <x v="3"/>
    <x v="2"/>
  </r>
  <r>
    <n v="10831"/>
    <d v="2024-04-10T00:00:00"/>
    <x v="546"/>
    <x v="1"/>
    <x v="2"/>
    <n v="1"/>
    <n v="411.88"/>
    <n v="0.13"/>
    <x v="0"/>
    <x v="0"/>
    <n v="4.8"/>
    <n v="358.34"/>
    <n v="358.3356"/>
    <n v="10"/>
    <x v="3"/>
    <x v="2"/>
  </r>
  <r>
    <n v="10832"/>
    <d v="2024-04-11T00:00:00"/>
    <x v="547"/>
    <x v="2"/>
    <x v="2"/>
    <n v="1"/>
    <n v="442.09"/>
    <n v="0.06"/>
    <x v="0"/>
    <x v="1"/>
    <n v="1.8"/>
    <n v="415.56"/>
    <n v="415.56459999999998"/>
    <n v="11"/>
    <x v="3"/>
    <x v="2"/>
  </r>
  <r>
    <n v="10833"/>
    <d v="2024-04-12T00:00:00"/>
    <x v="442"/>
    <x v="2"/>
    <x v="0"/>
    <n v="2"/>
    <n v="139.56"/>
    <n v="0.27"/>
    <x v="2"/>
    <x v="3"/>
    <n v="4.5"/>
    <n v="203.76"/>
    <n v="203.7576"/>
    <n v="12"/>
    <x v="3"/>
    <x v="2"/>
  </r>
  <r>
    <n v="10834"/>
    <d v="2024-04-13T00:00:00"/>
    <x v="548"/>
    <x v="0"/>
    <x v="3"/>
    <n v="3"/>
    <n v="61.09"/>
    <n v="0.02"/>
    <x v="0"/>
    <x v="6"/>
    <n v="3.7"/>
    <n v="179.6"/>
    <n v="179.6046"/>
    <n v="13"/>
    <x v="3"/>
    <x v="2"/>
  </r>
  <r>
    <n v="10835"/>
    <d v="2024-04-14T00:00:00"/>
    <x v="302"/>
    <x v="2"/>
    <x v="1"/>
    <n v="7"/>
    <n v="176.99"/>
    <n v="0.19"/>
    <x v="1"/>
    <x v="3"/>
    <n v="3.2"/>
    <n v="1003.53"/>
    <n v="1003.5333000000001"/>
    <n v="14"/>
    <x v="3"/>
    <x v="2"/>
  </r>
  <r>
    <n v="10836"/>
    <d v="2024-04-15T00:00:00"/>
    <x v="549"/>
    <x v="3"/>
    <x v="3"/>
    <n v="7"/>
    <n v="160.61000000000001"/>
    <n v="0.1"/>
    <x v="0"/>
    <x v="1"/>
    <n v="4.3"/>
    <n v="1011.84"/>
    <n v="1011.843"/>
    <n v="15"/>
    <x v="3"/>
    <x v="2"/>
  </r>
  <r>
    <n v="10837"/>
    <d v="2024-04-16T00:00:00"/>
    <x v="550"/>
    <x v="3"/>
    <x v="1"/>
    <n v="5"/>
    <n v="152.21"/>
    <n v="0.05"/>
    <x v="2"/>
    <x v="0"/>
    <n v="3.5"/>
    <n v="723"/>
    <n v="722.99750000000006"/>
    <n v="16"/>
    <x v="3"/>
    <x v="2"/>
  </r>
  <r>
    <n v="10838"/>
    <d v="2024-04-17T00:00:00"/>
    <x v="24"/>
    <x v="0"/>
    <x v="3"/>
    <n v="7"/>
    <n v="127.76"/>
    <n v="0.27"/>
    <x v="1"/>
    <x v="4"/>
    <n v="3.7"/>
    <n v="652.85"/>
    <n v="652.85360000000003"/>
    <n v="17"/>
    <x v="3"/>
    <x v="2"/>
  </r>
  <r>
    <n v="10839"/>
    <d v="2024-04-18T00:00:00"/>
    <x v="551"/>
    <x v="0"/>
    <x v="0"/>
    <n v="1"/>
    <n v="351.23"/>
    <n v="0.08"/>
    <x v="1"/>
    <x v="8"/>
    <n v="2"/>
    <n v="323.13"/>
    <n v="323.13159999999999"/>
    <n v="18"/>
    <x v="3"/>
    <x v="2"/>
  </r>
  <r>
    <n v="10840"/>
    <d v="2024-04-19T00:00:00"/>
    <x v="35"/>
    <x v="2"/>
    <x v="2"/>
    <n v="6"/>
    <n v="206.94"/>
    <n v="0.08"/>
    <x v="1"/>
    <x v="6"/>
    <n v="4.3"/>
    <n v="1142.31"/>
    <n v="1142.3087999999998"/>
    <n v="19"/>
    <x v="3"/>
    <x v="2"/>
  </r>
  <r>
    <n v="10841"/>
    <d v="2024-04-20T00:00:00"/>
    <x v="339"/>
    <x v="2"/>
    <x v="3"/>
    <n v="3"/>
    <n v="494.9"/>
    <n v="0.1"/>
    <x v="1"/>
    <x v="9"/>
    <n v="3.6"/>
    <n v="1336.23"/>
    <n v="1336.2299999999998"/>
    <n v="20"/>
    <x v="3"/>
    <x v="2"/>
  </r>
  <r>
    <n v="10842"/>
    <d v="2024-04-21T00:00:00"/>
    <x v="552"/>
    <x v="1"/>
    <x v="1"/>
    <n v="5"/>
    <n v="122.61"/>
    <n v="0.21"/>
    <x v="1"/>
    <x v="3"/>
    <n v="4.4000000000000004"/>
    <n v="484.31"/>
    <n v="484.30949999999996"/>
    <n v="21"/>
    <x v="3"/>
    <x v="2"/>
  </r>
  <r>
    <n v="10843"/>
    <d v="2024-04-22T00:00:00"/>
    <x v="553"/>
    <x v="2"/>
    <x v="3"/>
    <n v="7"/>
    <n v="286.81"/>
    <n v="0.23"/>
    <x v="1"/>
    <x v="8"/>
    <n v="2.4"/>
    <n v="1545.91"/>
    <n v="1545.9059"/>
    <n v="22"/>
    <x v="3"/>
    <x v="2"/>
  </r>
  <r>
    <n v="10844"/>
    <d v="2024-04-23T00:00:00"/>
    <x v="554"/>
    <x v="2"/>
    <x v="0"/>
    <n v="7"/>
    <n v="22.99"/>
    <n v="0.01"/>
    <x v="1"/>
    <x v="5"/>
    <n v="2.2999999999999998"/>
    <n v="159.32"/>
    <n v="159.32069999999999"/>
    <n v="23"/>
    <x v="3"/>
    <x v="2"/>
  </r>
  <r>
    <n v="10845"/>
    <d v="2024-04-24T00:00:00"/>
    <x v="487"/>
    <x v="1"/>
    <x v="0"/>
    <n v="6"/>
    <n v="296.77999999999997"/>
    <n v="0.08"/>
    <x v="1"/>
    <x v="9"/>
    <n v="1.1000000000000001"/>
    <n v="1638.23"/>
    <n v="1638.2255999999998"/>
    <n v="24"/>
    <x v="3"/>
    <x v="2"/>
  </r>
  <r>
    <n v="10846"/>
    <d v="2024-04-25T00:00:00"/>
    <x v="555"/>
    <x v="3"/>
    <x v="3"/>
    <n v="4"/>
    <n v="47.67"/>
    <n v="0.15"/>
    <x v="0"/>
    <x v="4"/>
    <n v="4.0999999999999996"/>
    <n v="162.08000000000001"/>
    <n v="162.078"/>
    <n v="25"/>
    <x v="3"/>
    <x v="2"/>
  </r>
  <r>
    <n v="10847"/>
    <d v="2024-04-26T00:00:00"/>
    <x v="171"/>
    <x v="1"/>
    <x v="2"/>
    <n v="3"/>
    <n v="586.97"/>
    <n v="0.12"/>
    <x v="1"/>
    <x v="0"/>
    <n v="2.2999999999999998"/>
    <n v="1549.6"/>
    <n v="1549.6008000000002"/>
    <n v="26"/>
    <x v="3"/>
    <x v="2"/>
  </r>
  <r>
    <n v="10848"/>
    <d v="2024-04-27T00:00:00"/>
    <x v="286"/>
    <x v="2"/>
    <x v="1"/>
    <n v="6"/>
    <n v="477.5"/>
    <n v="0.31"/>
    <x v="1"/>
    <x v="6"/>
    <n v="2.2999999999999998"/>
    <n v="1976.85"/>
    <n v="1976.85"/>
    <n v="27"/>
    <x v="3"/>
    <x v="2"/>
  </r>
  <r>
    <n v="10849"/>
    <d v="2024-04-28T00:00:00"/>
    <x v="170"/>
    <x v="3"/>
    <x v="0"/>
    <n v="7"/>
    <n v="301.72000000000003"/>
    <n v="0.28000000000000003"/>
    <x v="2"/>
    <x v="0"/>
    <n v="3.8"/>
    <n v="1520.67"/>
    <n v="1520.6687999999999"/>
    <n v="28"/>
    <x v="3"/>
    <x v="2"/>
  </r>
  <r>
    <n v="10850"/>
    <d v="2024-04-29T00:00:00"/>
    <x v="440"/>
    <x v="2"/>
    <x v="0"/>
    <n v="3"/>
    <n v="65.650000000000006"/>
    <n v="0.22"/>
    <x v="0"/>
    <x v="4"/>
    <n v="2"/>
    <n v="153.62"/>
    <n v="153.62100000000001"/>
    <n v="29"/>
    <x v="3"/>
    <x v="2"/>
  </r>
  <r>
    <n v="10851"/>
    <d v="2024-04-30T00:00:00"/>
    <x v="556"/>
    <x v="2"/>
    <x v="3"/>
    <n v="3"/>
    <n v="361.58"/>
    <n v="0.12"/>
    <x v="1"/>
    <x v="1"/>
    <n v="4.5999999999999996"/>
    <n v="954.57"/>
    <n v="954.57120000000009"/>
    <n v="30"/>
    <x v="3"/>
    <x v="2"/>
  </r>
  <r>
    <n v="10852"/>
    <d v="2024-05-01T00:00:00"/>
    <x v="557"/>
    <x v="3"/>
    <x v="0"/>
    <n v="7"/>
    <n v="458.88"/>
    <n v="0.25"/>
    <x v="0"/>
    <x v="4"/>
    <n v="3.2"/>
    <n v="2409.12"/>
    <n v="2409.12"/>
    <n v="1"/>
    <x v="4"/>
    <x v="2"/>
  </r>
  <r>
    <n v="10853"/>
    <d v="2024-05-02T00:00:00"/>
    <x v="558"/>
    <x v="1"/>
    <x v="0"/>
    <n v="4"/>
    <n v="126.57"/>
    <n v="0.3"/>
    <x v="1"/>
    <x v="2"/>
    <n v="4.9000000000000004"/>
    <n v="354.4"/>
    <n v="354.39599999999996"/>
    <n v="2"/>
    <x v="4"/>
    <x v="2"/>
  </r>
  <r>
    <n v="10854"/>
    <d v="2024-05-03T00:00:00"/>
    <x v="559"/>
    <x v="3"/>
    <x v="1"/>
    <n v="4"/>
    <n v="347.4"/>
    <n v="0.21"/>
    <x v="1"/>
    <x v="6"/>
    <n v="1.3"/>
    <n v="1097.78"/>
    <n v="1097.7839999999999"/>
    <n v="3"/>
    <x v="4"/>
    <x v="2"/>
  </r>
  <r>
    <n v="10855"/>
    <d v="2024-05-04T00:00:00"/>
    <x v="314"/>
    <x v="2"/>
    <x v="2"/>
    <n v="7"/>
    <n v="491.31"/>
    <n v="0.27"/>
    <x v="1"/>
    <x v="5"/>
    <n v="2.2999999999999998"/>
    <n v="2510.59"/>
    <n v="2510.5941000000003"/>
    <n v="4"/>
    <x v="4"/>
    <x v="2"/>
  </r>
  <r>
    <n v="10856"/>
    <d v="2024-05-05T00:00:00"/>
    <x v="560"/>
    <x v="3"/>
    <x v="1"/>
    <n v="3"/>
    <n v="464.42"/>
    <n v="0.26"/>
    <x v="2"/>
    <x v="3"/>
    <n v="2.5"/>
    <n v="1031.01"/>
    <n v="1031.0124000000001"/>
    <n v="5"/>
    <x v="4"/>
    <x v="2"/>
  </r>
  <r>
    <n v="10857"/>
    <d v="2024-05-06T00:00:00"/>
    <x v="128"/>
    <x v="1"/>
    <x v="2"/>
    <n v="6"/>
    <n v="484.75"/>
    <n v="0.2"/>
    <x v="1"/>
    <x v="2"/>
    <n v="3.9"/>
    <n v="2326.8000000000002"/>
    <n v="2326.8000000000002"/>
    <n v="6"/>
    <x v="4"/>
    <x v="2"/>
  </r>
  <r>
    <n v="10858"/>
    <d v="2024-05-07T00:00:00"/>
    <x v="561"/>
    <x v="1"/>
    <x v="1"/>
    <n v="2"/>
    <n v="529.4"/>
    <n v="0.11"/>
    <x v="2"/>
    <x v="1"/>
    <n v="1.9"/>
    <n v="942.33"/>
    <n v="942.33199999999999"/>
    <n v="7"/>
    <x v="4"/>
    <x v="2"/>
  </r>
  <r>
    <n v="10859"/>
    <d v="2024-05-08T00:00:00"/>
    <x v="340"/>
    <x v="1"/>
    <x v="3"/>
    <n v="1"/>
    <n v="563.54"/>
    <n v="0.26"/>
    <x v="1"/>
    <x v="9"/>
    <n v="2.5"/>
    <n v="417.02"/>
    <n v="417.01959999999997"/>
    <n v="8"/>
    <x v="4"/>
    <x v="2"/>
  </r>
  <r>
    <n v="10860"/>
    <d v="2024-05-09T00:00:00"/>
    <x v="562"/>
    <x v="0"/>
    <x v="0"/>
    <n v="4"/>
    <n v="252.23"/>
    <n v="7.0000000000000007E-2"/>
    <x v="2"/>
    <x v="2"/>
    <n v="4.5999999999999996"/>
    <n v="938.3"/>
    <n v="938.29559999999992"/>
    <n v="9"/>
    <x v="4"/>
    <x v="2"/>
  </r>
  <r>
    <n v="10861"/>
    <d v="2024-05-10T00:00:00"/>
    <x v="412"/>
    <x v="1"/>
    <x v="2"/>
    <n v="7"/>
    <n v="347.73"/>
    <n v="0.27"/>
    <x v="1"/>
    <x v="1"/>
    <n v="1.5"/>
    <n v="1776.9"/>
    <n v="1776.9003"/>
    <n v="10"/>
    <x v="4"/>
    <x v="2"/>
  </r>
  <r>
    <n v="10862"/>
    <d v="2024-05-11T00:00:00"/>
    <x v="563"/>
    <x v="1"/>
    <x v="3"/>
    <n v="2"/>
    <n v="477.54"/>
    <n v="0.28000000000000003"/>
    <x v="2"/>
    <x v="6"/>
    <n v="4"/>
    <n v="687.66"/>
    <n v="687.6576"/>
    <n v="11"/>
    <x v="4"/>
    <x v="2"/>
  </r>
  <r>
    <n v="10863"/>
    <d v="2024-05-12T00:00:00"/>
    <x v="428"/>
    <x v="0"/>
    <x v="0"/>
    <n v="4"/>
    <n v="422.83"/>
    <n v="0.28999999999999998"/>
    <x v="2"/>
    <x v="2"/>
    <n v="3.8"/>
    <n v="1200.8399999999999"/>
    <n v="1200.8371999999999"/>
    <n v="12"/>
    <x v="4"/>
    <x v="2"/>
  </r>
  <r>
    <n v="10864"/>
    <d v="2024-05-13T00:00:00"/>
    <x v="41"/>
    <x v="3"/>
    <x v="0"/>
    <n v="3"/>
    <n v="597.38"/>
    <n v="0.17"/>
    <x v="2"/>
    <x v="1"/>
    <n v="1.5"/>
    <n v="1487.48"/>
    <n v="1487.4761999999998"/>
    <n v="13"/>
    <x v="4"/>
    <x v="2"/>
  </r>
  <r>
    <n v="10865"/>
    <d v="2024-05-14T00:00:00"/>
    <x v="564"/>
    <x v="1"/>
    <x v="0"/>
    <n v="7"/>
    <n v="23"/>
    <n v="7.0000000000000007E-2"/>
    <x v="1"/>
    <x v="3"/>
    <n v="3.8"/>
    <n v="149.72999999999999"/>
    <n v="149.72999999999999"/>
    <n v="14"/>
    <x v="4"/>
    <x v="2"/>
  </r>
  <r>
    <n v="10866"/>
    <d v="2024-05-15T00:00:00"/>
    <x v="115"/>
    <x v="3"/>
    <x v="1"/>
    <n v="2"/>
    <n v="222.75"/>
    <n v="0.03"/>
    <x v="0"/>
    <x v="10"/>
    <n v="3.3"/>
    <n v="432.14"/>
    <n v="432.13499999999999"/>
    <n v="15"/>
    <x v="4"/>
    <x v="2"/>
  </r>
  <r>
    <n v="10867"/>
    <d v="2024-05-16T00:00:00"/>
    <x v="565"/>
    <x v="1"/>
    <x v="3"/>
    <n v="7"/>
    <n v="179.4"/>
    <n v="0.26"/>
    <x v="2"/>
    <x v="7"/>
    <n v="2.2000000000000002"/>
    <n v="929.29"/>
    <n v="929.29199999999992"/>
    <n v="16"/>
    <x v="4"/>
    <x v="2"/>
  </r>
  <r>
    <n v="10868"/>
    <d v="2024-05-17T00:00:00"/>
    <x v="566"/>
    <x v="2"/>
    <x v="3"/>
    <n v="6"/>
    <n v="168.45"/>
    <n v="0.31"/>
    <x v="1"/>
    <x v="0"/>
    <n v="2.2000000000000002"/>
    <n v="697.38"/>
    <n v="697.38299999999992"/>
    <n v="17"/>
    <x v="4"/>
    <x v="2"/>
  </r>
  <r>
    <n v="10869"/>
    <d v="2024-05-18T00:00:00"/>
    <x v="567"/>
    <x v="1"/>
    <x v="0"/>
    <n v="6"/>
    <n v="145.18"/>
    <n v="0.23"/>
    <x v="0"/>
    <x v="2"/>
    <n v="4.3"/>
    <n v="670.73"/>
    <n v="670.73160000000007"/>
    <n v="18"/>
    <x v="4"/>
    <x v="2"/>
  </r>
  <r>
    <n v="10870"/>
    <d v="2024-05-19T00:00:00"/>
    <x v="568"/>
    <x v="0"/>
    <x v="2"/>
    <n v="5"/>
    <n v="429.84"/>
    <n v="0.05"/>
    <x v="2"/>
    <x v="6"/>
    <n v="1.9"/>
    <n v="2041.74"/>
    <n v="2041.7399999999998"/>
    <n v="19"/>
    <x v="4"/>
    <x v="2"/>
  </r>
  <r>
    <n v="10871"/>
    <d v="2024-05-20T00:00:00"/>
    <x v="104"/>
    <x v="0"/>
    <x v="3"/>
    <n v="1"/>
    <n v="64.58"/>
    <n v="0.33"/>
    <x v="2"/>
    <x v="1"/>
    <n v="3.1"/>
    <n v="43.27"/>
    <n v="43.268599999999999"/>
    <n v="20"/>
    <x v="4"/>
    <x v="2"/>
  </r>
  <r>
    <n v="10872"/>
    <d v="2024-05-21T00:00:00"/>
    <x v="288"/>
    <x v="2"/>
    <x v="1"/>
    <n v="1"/>
    <n v="448.84"/>
    <n v="0.35"/>
    <x v="1"/>
    <x v="6"/>
    <n v="3.7"/>
    <n v="291.75"/>
    <n v="291.74599999999998"/>
    <n v="21"/>
    <x v="4"/>
    <x v="2"/>
  </r>
  <r>
    <n v="10873"/>
    <d v="2024-05-22T00:00:00"/>
    <x v="430"/>
    <x v="1"/>
    <x v="2"/>
    <n v="4"/>
    <n v="420.65"/>
    <n v="0.15"/>
    <x v="2"/>
    <x v="1"/>
    <n v="1.5"/>
    <n v="1430.21"/>
    <n v="1430.21"/>
    <n v="22"/>
    <x v="4"/>
    <x v="2"/>
  </r>
  <r>
    <n v="10874"/>
    <d v="2024-05-23T00:00:00"/>
    <x v="526"/>
    <x v="2"/>
    <x v="2"/>
    <n v="1"/>
    <n v="161.72"/>
    <n v="0.21"/>
    <x v="1"/>
    <x v="5"/>
    <n v="4.7"/>
    <n v="127.76"/>
    <n v="127.75880000000001"/>
    <n v="23"/>
    <x v="4"/>
    <x v="2"/>
  </r>
  <r>
    <n v="10875"/>
    <d v="2024-05-24T00:00:00"/>
    <x v="51"/>
    <x v="0"/>
    <x v="2"/>
    <n v="7"/>
    <n v="162.91"/>
    <n v="0.27"/>
    <x v="1"/>
    <x v="6"/>
    <n v="2"/>
    <n v="832.47"/>
    <n v="832.47009999999989"/>
    <n v="24"/>
    <x v="4"/>
    <x v="2"/>
  </r>
  <r>
    <n v="10876"/>
    <d v="2024-05-25T00:00:00"/>
    <x v="569"/>
    <x v="0"/>
    <x v="2"/>
    <n v="7"/>
    <n v="382.88"/>
    <n v="0.26"/>
    <x v="1"/>
    <x v="8"/>
    <n v="2.2999999999999998"/>
    <n v="1983.32"/>
    <n v="1983.3183999999999"/>
    <n v="25"/>
    <x v="4"/>
    <x v="2"/>
  </r>
  <r>
    <n v="10877"/>
    <d v="2024-05-26T00:00:00"/>
    <x v="60"/>
    <x v="1"/>
    <x v="3"/>
    <n v="5"/>
    <n v="460.87"/>
    <n v="0.34"/>
    <x v="2"/>
    <x v="6"/>
    <n v="3.7"/>
    <n v="1520.87"/>
    <n v="1520.8709999999999"/>
    <n v="26"/>
    <x v="4"/>
    <x v="2"/>
  </r>
  <r>
    <n v="10878"/>
    <d v="2024-05-27T00:00:00"/>
    <x v="570"/>
    <x v="3"/>
    <x v="0"/>
    <n v="6"/>
    <n v="527.74"/>
    <n v="0.04"/>
    <x v="1"/>
    <x v="2"/>
    <n v="1.3"/>
    <n v="3039.78"/>
    <n v="3039.7824000000001"/>
    <n v="27"/>
    <x v="4"/>
    <x v="2"/>
  </r>
  <r>
    <n v="10879"/>
    <d v="2024-05-28T00:00:00"/>
    <x v="571"/>
    <x v="3"/>
    <x v="2"/>
    <n v="2"/>
    <n v="513.5"/>
    <n v="0.2"/>
    <x v="0"/>
    <x v="2"/>
    <n v="3.5"/>
    <n v="821.6"/>
    <n v="821.6"/>
    <n v="28"/>
    <x v="4"/>
    <x v="2"/>
  </r>
  <r>
    <n v="10880"/>
    <d v="2024-05-29T00:00:00"/>
    <x v="173"/>
    <x v="1"/>
    <x v="1"/>
    <n v="2"/>
    <n v="579.46"/>
    <n v="0.24"/>
    <x v="1"/>
    <x v="10"/>
    <n v="4.7"/>
    <n v="880.78"/>
    <n v="880.77920000000006"/>
    <n v="29"/>
    <x v="4"/>
    <x v="2"/>
  </r>
  <r>
    <n v="10881"/>
    <d v="2024-05-30T00:00:00"/>
    <x v="572"/>
    <x v="2"/>
    <x v="1"/>
    <n v="6"/>
    <n v="355.11"/>
    <n v="0.31"/>
    <x v="1"/>
    <x v="9"/>
    <n v="2"/>
    <n v="1470.16"/>
    <n v="1470.1553999999999"/>
    <n v="30"/>
    <x v="4"/>
    <x v="2"/>
  </r>
  <r>
    <n v="10882"/>
    <d v="2024-05-31T00:00:00"/>
    <x v="385"/>
    <x v="1"/>
    <x v="0"/>
    <n v="3"/>
    <n v="546.55999999999995"/>
    <n v="0.31"/>
    <x v="2"/>
    <x v="10"/>
    <n v="2.4"/>
    <n v="1131.3800000000001"/>
    <n v="1131.3791999999999"/>
    <n v="31"/>
    <x v="4"/>
    <x v="2"/>
  </r>
  <r>
    <n v="10883"/>
    <d v="2024-06-01T00:00:00"/>
    <x v="573"/>
    <x v="3"/>
    <x v="3"/>
    <n v="6"/>
    <n v="487.98"/>
    <n v="0.34"/>
    <x v="2"/>
    <x v="5"/>
    <n v="1.9"/>
    <n v="1932.4"/>
    <n v="1932.4007999999999"/>
    <n v="1"/>
    <x v="5"/>
    <x v="2"/>
  </r>
  <r>
    <n v="10884"/>
    <d v="2024-06-02T00:00:00"/>
    <x v="574"/>
    <x v="3"/>
    <x v="0"/>
    <n v="2"/>
    <n v="538.38"/>
    <n v="0.18"/>
    <x v="1"/>
    <x v="10"/>
    <n v="4.3"/>
    <n v="882.94"/>
    <n v="882.94319999999993"/>
    <n v="2"/>
    <x v="5"/>
    <x v="2"/>
  </r>
  <r>
    <n v="10885"/>
    <d v="2024-06-03T00:00:00"/>
    <x v="575"/>
    <x v="1"/>
    <x v="2"/>
    <n v="4"/>
    <n v="21.8"/>
    <n v="0.28999999999999998"/>
    <x v="1"/>
    <x v="3"/>
    <n v="1.7"/>
    <n v="61.91"/>
    <n v="61.912000000000006"/>
    <n v="3"/>
    <x v="5"/>
    <x v="2"/>
  </r>
  <r>
    <n v="10886"/>
    <d v="2024-06-04T00:00:00"/>
    <x v="554"/>
    <x v="0"/>
    <x v="3"/>
    <n v="5"/>
    <n v="580.04999999999995"/>
    <n v="0.15"/>
    <x v="1"/>
    <x v="0"/>
    <n v="2.4"/>
    <n v="2465.21"/>
    <n v="2465.2125000000001"/>
    <n v="4"/>
    <x v="5"/>
    <x v="2"/>
  </r>
  <r>
    <n v="10887"/>
    <d v="2024-06-05T00:00:00"/>
    <x v="492"/>
    <x v="2"/>
    <x v="3"/>
    <n v="6"/>
    <n v="292.02"/>
    <n v="0.15"/>
    <x v="2"/>
    <x v="8"/>
    <n v="3.4"/>
    <n v="1489.3"/>
    <n v="1489.3019999999999"/>
    <n v="5"/>
    <x v="5"/>
    <x v="2"/>
  </r>
  <r>
    <n v="10888"/>
    <d v="2024-06-06T00:00:00"/>
    <x v="240"/>
    <x v="1"/>
    <x v="2"/>
    <n v="3"/>
    <n v="481.94"/>
    <n v="0.09"/>
    <x v="1"/>
    <x v="0"/>
    <n v="2.6"/>
    <n v="1315.7"/>
    <n v="1315.6961999999999"/>
    <n v="6"/>
    <x v="5"/>
    <x v="2"/>
  </r>
  <r>
    <n v="10889"/>
    <d v="2024-06-07T00:00:00"/>
    <x v="245"/>
    <x v="3"/>
    <x v="1"/>
    <n v="4"/>
    <n v="89.41"/>
    <n v="0.28999999999999998"/>
    <x v="2"/>
    <x v="0"/>
    <n v="1.3"/>
    <n v="253.92"/>
    <n v="253.92439999999999"/>
    <n v="7"/>
    <x v="5"/>
    <x v="2"/>
  </r>
  <r>
    <n v="10890"/>
    <d v="2024-06-08T00:00:00"/>
    <x v="432"/>
    <x v="3"/>
    <x v="2"/>
    <n v="6"/>
    <n v="246.63"/>
    <n v="0.35"/>
    <x v="2"/>
    <x v="5"/>
    <n v="4.8"/>
    <n v="961.86"/>
    <n v="961.85699999999997"/>
    <n v="8"/>
    <x v="5"/>
    <x v="2"/>
  </r>
  <r>
    <n v="10891"/>
    <d v="2024-06-09T00:00:00"/>
    <x v="272"/>
    <x v="1"/>
    <x v="0"/>
    <n v="4"/>
    <n v="173.8"/>
    <n v="0.09"/>
    <x v="1"/>
    <x v="7"/>
    <n v="2.4"/>
    <n v="632.63"/>
    <n v="632.63200000000006"/>
    <n v="9"/>
    <x v="5"/>
    <x v="2"/>
  </r>
  <r>
    <n v="10892"/>
    <d v="2024-06-10T00:00:00"/>
    <x v="43"/>
    <x v="2"/>
    <x v="2"/>
    <n v="6"/>
    <n v="185.62"/>
    <n v="0.02"/>
    <x v="1"/>
    <x v="2"/>
    <n v="2.8"/>
    <n v="1091.45"/>
    <n v="1091.4456"/>
    <n v="10"/>
    <x v="5"/>
    <x v="2"/>
  </r>
  <r>
    <n v="10893"/>
    <d v="2024-06-11T00:00:00"/>
    <x v="101"/>
    <x v="2"/>
    <x v="1"/>
    <n v="4"/>
    <n v="87.1"/>
    <n v="0.28999999999999998"/>
    <x v="1"/>
    <x v="10"/>
    <n v="1.7"/>
    <n v="247.36"/>
    <n v="247.36399999999998"/>
    <n v="11"/>
    <x v="5"/>
    <x v="2"/>
  </r>
  <r>
    <n v="10894"/>
    <d v="2024-06-12T00:00:00"/>
    <x v="347"/>
    <x v="1"/>
    <x v="2"/>
    <n v="7"/>
    <n v="486.37"/>
    <n v="0.22"/>
    <x v="1"/>
    <x v="2"/>
    <n v="4.5"/>
    <n v="2655.58"/>
    <n v="2655.5802000000003"/>
    <n v="12"/>
    <x v="5"/>
    <x v="2"/>
  </r>
  <r>
    <n v="10895"/>
    <d v="2024-06-13T00:00:00"/>
    <x v="576"/>
    <x v="1"/>
    <x v="0"/>
    <n v="1"/>
    <n v="20.41"/>
    <n v="0.34"/>
    <x v="2"/>
    <x v="10"/>
    <n v="2.2000000000000002"/>
    <n v="13.47"/>
    <n v="13.470599999999999"/>
    <n v="13"/>
    <x v="5"/>
    <x v="2"/>
  </r>
  <r>
    <n v="10896"/>
    <d v="2024-06-14T00:00:00"/>
    <x v="577"/>
    <x v="2"/>
    <x v="0"/>
    <n v="4"/>
    <n v="197.82"/>
    <n v="0.09"/>
    <x v="2"/>
    <x v="0"/>
    <n v="1.1000000000000001"/>
    <n v="720.06"/>
    <n v="720.06479999999999"/>
    <n v="14"/>
    <x v="5"/>
    <x v="2"/>
  </r>
  <r>
    <n v="10897"/>
    <d v="2024-06-15T00:00:00"/>
    <x v="542"/>
    <x v="3"/>
    <x v="1"/>
    <n v="7"/>
    <n v="117.03"/>
    <n v="0.02"/>
    <x v="2"/>
    <x v="7"/>
    <n v="2.2999999999999998"/>
    <n v="802.83"/>
    <n v="802.82580000000007"/>
    <n v="15"/>
    <x v="5"/>
    <x v="2"/>
  </r>
  <r>
    <n v="10898"/>
    <d v="2024-06-16T00:00:00"/>
    <x v="578"/>
    <x v="1"/>
    <x v="0"/>
    <n v="1"/>
    <n v="359.59"/>
    <n v="0.17"/>
    <x v="1"/>
    <x v="2"/>
    <n v="4.9000000000000004"/>
    <n v="298.45999999999998"/>
    <n v="298.4597"/>
    <n v="16"/>
    <x v="5"/>
    <x v="2"/>
  </r>
  <r>
    <n v="10899"/>
    <d v="2024-06-17T00:00:00"/>
    <x v="236"/>
    <x v="3"/>
    <x v="0"/>
    <n v="2"/>
    <n v="163.74"/>
    <n v="0.03"/>
    <x v="0"/>
    <x v="3"/>
    <n v="1.6"/>
    <n v="317.66000000000003"/>
    <n v="317.65559999999999"/>
    <n v="17"/>
    <x v="5"/>
    <x v="2"/>
  </r>
  <r>
    <n v="10900"/>
    <d v="2024-06-18T00:00:00"/>
    <x v="212"/>
    <x v="3"/>
    <x v="2"/>
    <n v="1"/>
    <n v="166.51"/>
    <n v="0.09"/>
    <x v="1"/>
    <x v="4"/>
    <n v="1.1000000000000001"/>
    <n v="151.52000000000001"/>
    <n v="151.5241"/>
    <n v="18"/>
    <x v="5"/>
    <x v="2"/>
  </r>
  <r>
    <n v="10901"/>
    <d v="2024-06-19T00:00:00"/>
    <x v="204"/>
    <x v="2"/>
    <x v="3"/>
    <n v="4"/>
    <n v="300.68"/>
    <n v="0.04"/>
    <x v="1"/>
    <x v="2"/>
    <n v="3.3"/>
    <n v="1154.6099999999999"/>
    <n v="1154.6112000000001"/>
    <n v="19"/>
    <x v="5"/>
    <x v="2"/>
  </r>
  <r>
    <n v="10902"/>
    <d v="2024-06-20T00:00:00"/>
    <x v="47"/>
    <x v="2"/>
    <x v="0"/>
    <n v="5"/>
    <n v="396.82"/>
    <n v="0.08"/>
    <x v="2"/>
    <x v="9"/>
    <n v="2.5"/>
    <n v="1825.37"/>
    <n v="1825.3719999999998"/>
    <n v="20"/>
    <x v="5"/>
    <x v="2"/>
  </r>
  <r>
    <n v="10903"/>
    <d v="2024-06-21T00:00:00"/>
    <x v="55"/>
    <x v="3"/>
    <x v="0"/>
    <n v="5"/>
    <n v="85.96"/>
    <n v="0.04"/>
    <x v="0"/>
    <x v="4"/>
    <n v="4.2"/>
    <n v="412.61"/>
    <n v="412.60799999999995"/>
    <n v="21"/>
    <x v="5"/>
    <x v="2"/>
  </r>
  <r>
    <n v="10904"/>
    <d v="2024-06-22T00:00:00"/>
    <x v="361"/>
    <x v="1"/>
    <x v="1"/>
    <n v="2"/>
    <n v="117.67"/>
    <n v="0.33"/>
    <x v="1"/>
    <x v="6"/>
    <n v="3.9"/>
    <n v="157.68"/>
    <n v="157.67779999999999"/>
    <n v="22"/>
    <x v="5"/>
    <x v="2"/>
  </r>
  <r>
    <n v="10905"/>
    <d v="2024-06-23T00:00:00"/>
    <x v="579"/>
    <x v="3"/>
    <x v="1"/>
    <n v="4"/>
    <n v="159.6"/>
    <n v="0.1"/>
    <x v="2"/>
    <x v="3"/>
    <n v="1.7"/>
    <n v="574.55999999999995"/>
    <n v="574.55999999999995"/>
    <n v="23"/>
    <x v="5"/>
    <x v="2"/>
  </r>
  <r>
    <n v="10906"/>
    <d v="2024-06-24T00:00:00"/>
    <x v="515"/>
    <x v="3"/>
    <x v="2"/>
    <n v="1"/>
    <n v="584.64"/>
    <n v="0.16"/>
    <x v="0"/>
    <x v="8"/>
    <n v="3.3"/>
    <n v="491.1"/>
    <n v="491.0976"/>
    <n v="24"/>
    <x v="5"/>
    <x v="2"/>
  </r>
  <r>
    <n v="10907"/>
    <d v="2024-06-25T00:00:00"/>
    <x v="580"/>
    <x v="3"/>
    <x v="2"/>
    <n v="5"/>
    <n v="247.33"/>
    <n v="0.31"/>
    <x v="2"/>
    <x v="1"/>
    <n v="1.1000000000000001"/>
    <n v="853.29"/>
    <n v="853.28850000000011"/>
    <n v="25"/>
    <x v="5"/>
    <x v="2"/>
  </r>
  <r>
    <n v="10908"/>
    <d v="2024-06-26T00:00:00"/>
    <x v="581"/>
    <x v="0"/>
    <x v="0"/>
    <n v="6"/>
    <n v="365.41"/>
    <n v="0.24"/>
    <x v="1"/>
    <x v="4"/>
    <n v="2.8"/>
    <n v="1666.27"/>
    <n v="1666.2696000000001"/>
    <n v="26"/>
    <x v="5"/>
    <x v="2"/>
  </r>
  <r>
    <n v="10909"/>
    <d v="2024-06-27T00:00:00"/>
    <x v="280"/>
    <x v="1"/>
    <x v="3"/>
    <n v="3"/>
    <n v="156.30000000000001"/>
    <n v="0.22"/>
    <x v="0"/>
    <x v="0"/>
    <n v="3.9"/>
    <n v="365.74"/>
    <n v="365.74200000000002"/>
    <n v="27"/>
    <x v="5"/>
    <x v="2"/>
  </r>
  <r>
    <n v="10910"/>
    <d v="2024-06-28T00:00:00"/>
    <x v="582"/>
    <x v="1"/>
    <x v="3"/>
    <n v="4"/>
    <n v="301.92"/>
    <n v="0.25"/>
    <x v="2"/>
    <x v="10"/>
    <n v="2.7"/>
    <n v="905.76"/>
    <n v="905.76"/>
    <n v="28"/>
    <x v="5"/>
    <x v="2"/>
  </r>
  <r>
    <n v="10911"/>
    <d v="2024-06-29T00:00:00"/>
    <x v="436"/>
    <x v="1"/>
    <x v="2"/>
    <n v="7"/>
    <n v="58.36"/>
    <n v="0.28999999999999998"/>
    <x v="2"/>
    <x v="8"/>
    <n v="1.5"/>
    <n v="290.05"/>
    <n v="290.04919999999998"/>
    <n v="29"/>
    <x v="5"/>
    <x v="2"/>
  </r>
  <r>
    <n v="10912"/>
    <d v="2024-06-30T00:00:00"/>
    <x v="583"/>
    <x v="2"/>
    <x v="1"/>
    <n v="7"/>
    <n v="35.32"/>
    <n v="0.31"/>
    <x v="2"/>
    <x v="7"/>
    <n v="1.2"/>
    <n v="170.6"/>
    <n v="170.59560000000002"/>
    <n v="30"/>
    <x v="5"/>
    <x v="2"/>
  </r>
  <r>
    <n v="10913"/>
    <d v="2024-07-01T00:00:00"/>
    <x v="432"/>
    <x v="1"/>
    <x v="0"/>
    <n v="6"/>
    <n v="289.20999999999998"/>
    <n v="0.22"/>
    <x v="0"/>
    <x v="3"/>
    <n v="4.4000000000000004"/>
    <n v="1353.5"/>
    <n v="1353.5027999999998"/>
    <n v="1"/>
    <x v="6"/>
    <x v="2"/>
  </r>
  <r>
    <n v="10914"/>
    <d v="2024-07-02T00:00:00"/>
    <x v="94"/>
    <x v="2"/>
    <x v="0"/>
    <n v="6"/>
    <n v="248.22"/>
    <n v="0.31"/>
    <x v="1"/>
    <x v="2"/>
    <n v="4.5999999999999996"/>
    <n v="1027.6300000000001"/>
    <n v="1027.6307999999999"/>
    <n v="2"/>
    <x v="6"/>
    <x v="2"/>
  </r>
  <r>
    <n v="10915"/>
    <d v="2024-07-03T00:00:00"/>
    <x v="395"/>
    <x v="0"/>
    <x v="3"/>
    <n v="4"/>
    <n v="95.07"/>
    <n v="0.19"/>
    <x v="1"/>
    <x v="6"/>
    <n v="2.4"/>
    <n v="308.02999999999997"/>
    <n v="308.02679999999998"/>
    <n v="3"/>
    <x v="6"/>
    <x v="2"/>
  </r>
  <r>
    <n v="10916"/>
    <d v="2024-07-04T00:00:00"/>
    <x v="225"/>
    <x v="1"/>
    <x v="2"/>
    <n v="3"/>
    <n v="417.25"/>
    <n v="0.1"/>
    <x v="2"/>
    <x v="7"/>
    <n v="1.7"/>
    <n v="1126.58"/>
    <n v="1126.575"/>
    <n v="4"/>
    <x v="6"/>
    <x v="2"/>
  </r>
  <r>
    <n v="10917"/>
    <d v="2024-07-05T00:00:00"/>
    <x v="575"/>
    <x v="1"/>
    <x v="3"/>
    <n v="5"/>
    <n v="595.85"/>
    <n v="0.31"/>
    <x v="1"/>
    <x v="1"/>
    <n v="4.9000000000000004"/>
    <n v="2055.6799999999998"/>
    <n v="2055.6824999999999"/>
    <n v="5"/>
    <x v="6"/>
    <x v="2"/>
  </r>
  <r>
    <n v="10918"/>
    <d v="2024-07-06T00:00:00"/>
    <x v="347"/>
    <x v="1"/>
    <x v="3"/>
    <n v="3"/>
    <n v="246.45"/>
    <n v="0.19"/>
    <x v="1"/>
    <x v="6"/>
    <n v="3.2"/>
    <n v="598.87"/>
    <n v="598.87349999999992"/>
    <n v="6"/>
    <x v="6"/>
    <x v="2"/>
  </r>
  <r>
    <n v="10919"/>
    <d v="2024-07-07T00:00:00"/>
    <x v="584"/>
    <x v="2"/>
    <x v="2"/>
    <n v="2"/>
    <n v="380.37"/>
    <n v="0.32"/>
    <x v="2"/>
    <x v="9"/>
    <n v="2.9"/>
    <n v="517.29999999999995"/>
    <n v="517.30320000000006"/>
    <n v="7"/>
    <x v="6"/>
    <x v="2"/>
  </r>
  <r>
    <n v="10920"/>
    <d v="2024-07-08T00:00:00"/>
    <x v="585"/>
    <x v="2"/>
    <x v="1"/>
    <n v="1"/>
    <n v="578.34"/>
    <n v="0.01"/>
    <x v="1"/>
    <x v="9"/>
    <n v="4"/>
    <n v="572.55999999999995"/>
    <n v="572.5566"/>
    <n v="8"/>
    <x v="6"/>
    <x v="2"/>
  </r>
  <r>
    <n v="10921"/>
    <d v="2024-07-09T00:00:00"/>
    <x v="586"/>
    <x v="1"/>
    <x v="0"/>
    <n v="1"/>
    <n v="501.45"/>
    <n v="0.14000000000000001"/>
    <x v="2"/>
    <x v="5"/>
    <n v="1.7"/>
    <n v="431.25"/>
    <n v="431.24699999999996"/>
    <n v="9"/>
    <x v="6"/>
    <x v="2"/>
  </r>
  <r>
    <n v="10922"/>
    <d v="2024-07-10T00:00:00"/>
    <x v="587"/>
    <x v="2"/>
    <x v="1"/>
    <n v="6"/>
    <n v="286.18"/>
    <n v="0.33"/>
    <x v="0"/>
    <x v="3"/>
    <n v="3.3"/>
    <n v="1150.44"/>
    <n v="1150.4435999999998"/>
    <n v="10"/>
    <x v="6"/>
    <x v="2"/>
  </r>
  <r>
    <n v="10923"/>
    <d v="2024-07-11T00:00:00"/>
    <x v="588"/>
    <x v="1"/>
    <x v="2"/>
    <n v="5"/>
    <n v="446.43"/>
    <n v="0.09"/>
    <x v="1"/>
    <x v="2"/>
    <n v="4.5999999999999996"/>
    <n v="2031.26"/>
    <n v="2031.2565000000002"/>
    <n v="11"/>
    <x v="6"/>
    <x v="2"/>
  </r>
  <r>
    <n v="10924"/>
    <d v="2024-07-12T00:00:00"/>
    <x v="251"/>
    <x v="0"/>
    <x v="2"/>
    <n v="3"/>
    <n v="89.96"/>
    <n v="0.33"/>
    <x v="0"/>
    <x v="1"/>
    <n v="1.1000000000000001"/>
    <n v="180.82"/>
    <n v="180.81960000000001"/>
    <n v="12"/>
    <x v="6"/>
    <x v="2"/>
  </r>
  <r>
    <n v="10925"/>
    <d v="2024-07-13T00:00:00"/>
    <x v="116"/>
    <x v="0"/>
    <x v="0"/>
    <n v="6"/>
    <n v="314.58"/>
    <n v="0.33"/>
    <x v="1"/>
    <x v="10"/>
    <n v="3.7"/>
    <n v="1264.6099999999999"/>
    <n v="1264.6116"/>
    <n v="13"/>
    <x v="6"/>
    <x v="2"/>
  </r>
  <r>
    <n v="10926"/>
    <d v="2024-07-14T00:00:00"/>
    <x v="589"/>
    <x v="3"/>
    <x v="1"/>
    <n v="4"/>
    <n v="178.25"/>
    <n v="0.31"/>
    <x v="0"/>
    <x v="1"/>
    <n v="3.2"/>
    <n v="491.97"/>
    <n v="491.97"/>
    <n v="14"/>
    <x v="6"/>
    <x v="2"/>
  </r>
  <r>
    <n v="10927"/>
    <d v="2024-07-15T00:00:00"/>
    <x v="508"/>
    <x v="2"/>
    <x v="0"/>
    <n v="6"/>
    <n v="109.28"/>
    <n v="0.2"/>
    <x v="0"/>
    <x v="7"/>
    <n v="4.8"/>
    <n v="524.54"/>
    <n v="524.5440000000001"/>
    <n v="15"/>
    <x v="6"/>
    <x v="2"/>
  </r>
  <r>
    <n v="10928"/>
    <d v="2024-07-16T00:00:00"/>
    <x v="317"/>
    <x v="0"/>
    <x v="3"/>
    <n v="4"/>
    <n v="264.37"/>
    <n v="0.23"/>
    <x v="1"/>
    <x v="8"/>
    <n v="2"/>
    <n v="814.26"/>
    <n v="814.25959999999998"/>
    <n v="16"/>
    <x v="6"/>
    <x v="2"/>
  </r>
  <r>
    <n v="10929"/>
    <d v="2024-07-17T00:00:00"/>
    <x v="303"/>
    <x v="0"/>
    <x v="3"/>
    <n v="4"/>
    <n v="91.64"/>
    <n v="0.3"/>
    <x v="1"/>
    <x v="5"/>
    <n v="4.4000000000000004"/>
    <n v="256.58999999999997"/>
    <n v="256.59199999999998"/>
    <n v="17"/>
    <x v="6"/>
    <x v="2"/>
  </r>
  <r>
    <n v="10930"/>
    <d v="2024-07-18T00:00:00"/>
    <x v="590"/>
    <x v="2"/>
    <x v="3"/>
    <n v="2"/>
    <n v="423.91"/>
    <n v="0.27"/>
    <x v="1"/>
    <x v="1"/>
    <n v="2.2000000000000002"/>
    <n v="618.91"/>
    <n v="618.90859999999998"/>
    <n v="18"/>
    <x v="6"/>
    <x v="2"/>
  </r>
  <r>
    <n v="10931"/>
    <d v="2024-07-19T00:00:00"/>
    <x v="591"/>
    <x v="3"/>
    <x v="1"/>
    <n v="2"/>
    <n v="281.89999999999998"/>
    <n v="0.22"/>
    <x v="0"/>
    <x v="9"/>
    <n v="2.7"/>
    <n v="439.76"/>
    <n v="439.76399999999995"/>
    <n v="19"/>
    <x v="6"/>
    <x v="2"/>
  </r>
  <r>
    <n v="10932"/>
    <d v="2024-07-20T00:00:00"/>
    <x v="92"/>
    <x v="2"/>
    <x v="3"/>
    <n v="4"/>
    <n v="325.72000000000003"/>
    <n v="0.34"/>
    <x v="0"/>
    <x v="10"/>
    <n v="1.9"/>
    <n v="859.9"/>
    <n v="859.90080000000012"/>
    <n v="20"/>
    <x v="6"/>
    <x v="2"/>
  </r>
  <r>
    <n v="10933"/>
    <d v="2024-07-21T00:00:00"/>
    <x v="422"/>
    <x v="3"/>
    <x v="0"/>
    <n v="5"/>
    <n v="100.63"/>
    <n v="0.24"/>
    <x v="1"/>
    <x v="4"/>
    <n v="4.5"/>
    <n v="382.39"/>
    <n v="382.39400000000001"/>
    <n v="21"/>
    <x v="6"/>
    <x v="2"/>
  </r>
  <r>
    <n v="10934"/>
    <d v="2024-07-22T00:00:00"/>
    <x v="227"/>
    <x v="0"/>
    <x v="1"/>
    <n v="2"/>
    <n v="96.77"/>
    <n v="0.34"/>
    <x v="2"/>
    <x v="8"/>
    <n v="1.8"/>
    <n v="127.74"/>
    <n v="127.73639999999999"/>
    <n v="22"/>
    <x v="6"/>
    <x v="2"/>
  </r>
  <r>
    <n v="10935"/>
    <d v="2024-07-23T00:00:00"/>
    <x v="413"/>
    <x v="2"/>
    <x v="0"/>
    <n v="2"/>
    <n v="356.3"/>
    <n v="0.02"/>
    <x v="1"/>
    <x v="2"/>
    <n v="4.4000000000000004"/>
    <n v="698.35"/>
    <n v="698.34800000000007"/>
    <n v="23"/>
    <x v="6"/>
    <x v="2"/>
  </r>
  <r>
    <n v="10936"/>
    <d v="2024-07-24T00:00:00"/>
    <x v="592"/>
    <x v="0"/>
    <x v="2"/>
    <n v="1"/>
    <n v="591.23"/>
    <n v="0.05"/>
    <x v="2"/>
    <x v="8"/>
    <n v="2.8"/>
    <n v="561.66999999999996"/>
    <n v="561.66849999999999"/>
    <n v="24"/>
    <x v="6"/>
    <x v="2"/>
  </r>
  <r>
    <n v="10937"/>
    <d v="2024-07-25T00:00:00"/>
    <x v="402"/>
    <x v="1"/>
    <x v="1"/>
    <n v="6"/>
    <n v="71.31"/>
    <n v="0.16"/>
    <x v="0"/>
    <x v="2"/>
    <n v="4.3"/>
    <n v="359.4"/>
    <n v="359.4024"/>
    <n v="25"/>
    <x v="6"/>
    <x v="2"/>
  </r>
  <r>
    <n v="10938"/>
    <d v="2024-07-26T00:00:00"/>
    <x v="288"/>
    <x v="0"/>
    <x v="0"/>
    <n v="1"/>
    <n v="182.15"/>
    <n v="0.13"/>
    <x v="1"/>
    <x v="7"/>
    <n v="2.1"/>
    <n v="158.47"/>
    <n v="158.47050000000002"/>
    <n v="26"/>
    <x v="6"/>
    <x v="2"/>
  </r>
  <r>
    <n v="10939"/>
    <d v="2024-07-27T00:00:00"/>
    <x v="441"/>
    <x v="1"/>
    <x v="0"/>
    <n v="5"/>
    <n v="523.63"/>
    <n v="0.27"/>
    <x v="0"/>
    <x v="8"/>
    <n v="1.5"/>
    <n v="1911.25"/>
    <n v="1911.2495000000001"/>
    <n v="27"/>
    <x v="6"/>
    <x v="2"/>
  </r>
  <r>
    <n v="10940"/>
    <d v="2024-07-28T00:00:00"/>
    <x v="15"/>
    <x v="3"/>
    <x v="1"/>
    <n v="2"/>
    <n v="57.28"/>
    <n v="0.06"/>
    <x v="0"/>
    <x v="9"/>
    <n v="3.2"/>
    <n v="107.69"/>
    <n v="107.68640000000001"/>
    <n v="28"/>
    <x v="6"/>
    <x v="2"/>
  </r>
  <r>
    <n v="10941"/>
    <d v="2024-07-29T00:00:00"/>
    <x v="86"/>
    <x v="2"/>
    <x v="2"/>
    <n v="7"/>
    <n v="527.39"/>
    <n v="0.34"/>
    <x v="0"/>
    <x v="10"/>
    <n v="3"/>
    <n v="2436.54"/>
    <n v="2436.5418"/>
    <n v="29"/>
    <x v="6"/>
    <x v="2"/>
  </r>
  <r>
    <n v="10942"/>
    <d v="2024-07-30T00:00:00"/>
    <x v="587"/>
    <x v="2"/>
    <x v="1"/>
    <n v="2"/>
    <n v="321.70999999999998"/>
    <n v="0.11"/>
    <x v="1"/>
    <x v="10"/>
    <n v="2.4"/>
    <n v="572.64"/>
    <n v="572.64379999999994"/>
    <n v="30"/>
    <x v="6"/>
    <x v="2"/>
  </r>
  <r>
    <n v="10943"/>
    <d v="2024-07-31T00:00:00"/>
    <x v="214"/>
    <x v="2"/>
    <x v="3"/>
    <n v="3"/>
    <n v="253.84"/>
    <n v="0.15"/>
    <x v="1"/>
    <x v="5"/>
    <n v="3.7"/>
    <n v="647.29"/>
    <n v="647.29199999999992"/>
    <n v="31"/>
    <x v="6"/>
    <x v="2"/>
  </r>
  <r>
    <n v="10944"/>
    <d v="2024-08-01T00:00:00"/>
    <x v="424"/>
    <x v="0"/>
    <x v="3"/>
    <n v="5"/>
    <n v="196.16"/>
    <n v="0.1"/>
    <x v="1"/>
    <x v="9"/>
    <n v="1.4"/>
    <n v="882.72"/>
    <n v="882.71999999999991"/>
    <n v="1"/>
    <x v="7"/>
    <x v="2"/>
  </r>
  <r>
    <n v="10945"/>
    <d v="2024-08-02T00:00:00"/>
    <x v="401"/>
    <x v="3"/>
    <x v="2"/>
    <n v="7"/>
    <n v="188.81"/>
    <n v="0.2"/>
    <x v="2"/>
    <x v="7"/>
    <n v="3.5"/>
    <n v="1057.3399999999999"/>
    <n v="1057.336"/>
    <n v="2"/>
    <x v="7"/>
    <x v="2"/>
  </r>
  <r>
    <n v="10946"/>
    <d v="2024-08-03T00:00:00"/>
    <x v="198"/>
    <x v="0"/>
    <x v="0"/>
    <n v="6"/>
    <n v="193.89"/>
    <n v="0.02"/>
    <x v="2"/>
    <x v="2"/>
    <n v="1.8"/>
    <n v="1140.07"/>
    <n v="1140.0731999999998"/>
    <n v="3"/>
    <x v="7"/>
    <x v="2"/>
  </r>
  <r>
    <n v="10947"/>
    <d v="2024-08-04T00:00:00"/>
    <x v="593"/>
    <x v="0"/>
    <x v="0"/>
    <n v="6"/>
    <n v="532.61"/>
    <n v="0.05"/>
    <x v="1"/>
    <x v="3"/>
    <n v="1.5"/>
    <n v="3035.88"/>
    <n v="3035.877"/>
    <n v="4"/>
    <x v="7"/>
    <x v="2"/>
  </r>
  <r>
    <n v="10948"/>
    <d v="2024-08-05T00:00:00"/>
    <x v="491"/>
    <x v="2"/>
    <x v="0"/>
    <n v="7"/>
    <n v="438.42"/>
    <n v="0.26"/>
    <x v="2"/>
    <x v="5"/>
    <n v="4.5999999999999996"/>
    <n v="2271.02"/>
    <n v="2271.0155999999997"/>
    <n v="5"/>
    <x v="7"/>
    <x v="2"/>
  </r>
  <r>
    <n v="10949"/>
    <d v="2024-08-06T00:00:00"/>
    <x v="594"/>
    <x v="1"/>
    <x v="1"/>
    <n v="6"/>
    <n v="406.79"/>
    <n v="7.0000000000000007E-2"/>
    <x v="1"/>
    <x v="3"/>
    <n v="2.8"/>
    <n v="2269.89"/>
    <n v="2269.8882000000003"/>
    <n v="6"/>
    <x v="7"/>
    <x v="2"/>
  </r>
  <r>
    <n v="10950"/>
    <d v="2024-08-07T00:00:00"/>
    <x v="243"/>
    <x v="2"/>
    <x v="1"/>
    <n v="7"/>
    <n v="482.27"/>
    <n v="0.08"/>
    <x v="1"/>
    <x v="2"/>
    <n v="4.0999999999999996"/>
    <n v="3105.82"/>
    <n v="3105.8188"/>
    <n v="7"/>
    <x v="7"/>
    <x v="2"/>
  </r>
  <r>
    <n v="10951"/>
    <d v="2024-08-08T00:00:00"/>
    <x v="595"/>
    <x v="2"/>
    <x v="2"/>
    <n v="5"/>
    <n v="165.41"/>
    <n v="0.28000000000000003"/>
    <x v="1"/>
    <x v="9"/>
    <n v="1.4"/>
    <n v="595.48"/>
    <n v="595.47599999999989"/>
    <n v="8"/>
    <x v="7"/>
    <x v="2"/>
  </r>
  <r>
    <n v="10952"/>
    <d v="2024-08-09T00:00:00"/>
    <x v="312"/>
    <x v="2"/>
    <x v="3"/>
    <n v="7"/>
    <n v="376.56"/>
    <n v="0.03"/>
    <x v="1"/>
    <x v="1"/>
    <n v="1.2"/>
    <n v="2556.84"/>
    <n v="2556.8424"/>
    <n v="9"/>
    <x v="7"/>
    <x v="2"/>
  </r>
  <r>
    <n v="10953"/>
    <d v="2024-08-10T00:00:00"/>
    <x v="596"/>
    <x v="1"/>
    <x v="0"/>
    <n v="7"/>
    <n v="284.14"/>
    <n v="0.15"/>
    <x v="1"/>
    <x v="0"/>
    <n v="3"/>
    <n v="1690.63"/>
    <n v="1690.633"/>
    <n v="10"/>
    <x v="7"/>
    <x v="2"/>
  </r>
  <r>
    <n v="10954"/>
    <d v="2024-08-11T00:00:00"/>
    <x v="400"/>
    <x v="2"/>
    <x v="3"/>
    <n v="3"/>
    <n v="472.73"/>
    <n v="0.01"/>
    <x v="1"/>
    <x v="10"/>
    <n v="2.2999999999999998"/>
    <n v="1404.01"/>
    <n v="1404.0081"/>
    <n v="11"/>
    <x v="7"/>
    <x v="2"/>
  </r>
  <r>
    <n v="10955"/>
    <d v="2024-08-12T00:00:00"/>
    <x v="391"/>
    <x v="2"/>
    <x v="1"/>
    <n v="3"/>
    <n v="195.91"/>
    <n v="0.12"/>
    <x v="0"/>
    <x v="9"/>
    <n v="1"/>
    <n v="517.20000000000005"/>
    <n v="517.20240000000001"/>
    <n v="12"/>
    <x v="7"/>
    <x v="2"/>
  </r>
  <r>
    <n v="10956"/>
    <d v="2024-08-13T00:00:00"/>
    <x v="597"/>
    <x v="2"/>
    <x v="1"/>
    <n v="1"/>
    <n v="391.26"/>
    <n v="0.24"/>
    <x v="2"/>
    <x v="8"/>
    <n v="1.7"/>
    <n v="297.36"/>
    <n v="297.35759999999999"/>
    <n v="13"/>
    <x v="7"/>
    <x v="2"/>
  </r>
  <r>
    <n v="10957"/>
    <d v="2024-08-14T00:00:00"/>
    <x v="15"/>
    <x v="2"/>
    <x v="1"/>
    <n v="5"/>
    <n v="531.09"/>
    <n v="0.03"/>
    <x v="1"/>
    <x v="1"/>
    <n v="1.9"/>
    <n v="2575.79"/>
    <n v="2575.7865000000002"/>
    <n v="14"/>
    <x v="7"/>
    <x v="2"/>
  </r>
  <r>
    <n v="10958"/>
    <d v="2024-08-15T00:00:00"/>
    <x v="598"/>
    <x v="0"/>
    <x v="3"/>
    <n v="5"/>
    <n v="250.26"/>
    <n v="0.31"/>
    <x v="2"/>
    <x v="3"/>
    <n v="2.2000000000000002"/>
    <n v="863.4"/>
    <n v="863.39699999999993"/>
    <n v="15"/>
    <x v="7"/>
    <x v="2"/>
  </r>
  <r>
    <n v="10959"/>
    <d v="2024-08-16T00:00:00"/>
    <x v="9"/>
    <x v="3"/>
    <x v="2"/>
    <n v="3"/>
    <n v="53.97"/>
    <n v="0.32"/>
    <x v="2"/>
    <x v="6"/>
    <n v="4.5"/>
    <n v="110.1"/>
    <n v="110.0988"/>
    <n v="16"/>
    <x v="7"/>
    <x v="2"/>
  </r>
  <r>
    <n v="10960"/>
    <d v="2024-08-17T00:00:00"/>
    <x v="204"/>
    <x v="0"/>
    <x v="2"/>
    <n v="4"/>
    <n v="316.89"/>
    <n v="0.04"/>
    <x v="1"/>
    <x v="0"/>
    <n v="2.7"/>
    <n v="1216.8599999999999"/>
    <n v="1216.8576"/>
    <n v="17"/>
    <x v="7"/>
    <x v="2"/>
  </r>
  <r>
    <n v="10961"/>
    <d v="2024-08-18T00:00:00"/>
    <x v="508"/>
    <x v="1"/>
    <x v="1"/>
    <n v="4"/>
    <n v="217.39"/>
    <n v="0.35"/>
    <x v="2"/>
    <x v="1"/>
    <n v="3.7"/>
    <n v="565.21"/>
    <n v="565.21399999999994"/>
    <n v="18"/>
    <x v="7"/>
    <x v="2"/>
  </r>
  <r>
    <n v="10962"/>
    <d v="2024-08-19T00:00:00"/>
    <x v="494"/>
    <x v="2"/>
    <x v="0"/>
    <n v="1"/>
    <n v="408.25"/>
    <n v="0.1"/>
    <x v="2"/>
    <x v="7"/>
    <n v="1.1000000000000001"/>
    <n v="367.42"/>
    <n v="367.42500000000001"/>
    <n v="19"/>
    <x v="7"/>
    <x v="2"/>
  </r>
  <r>
    <n v="10963"/>
    <d v="2024-08-20T00:00:00"/>
    <x v="128"/>
    <x v="3"/>
    <x v="3"/>
    <n v="4"/>
    <n v="571.35"/>
    <n v="0.03"/>
    <x v="2"/>
    <x v="8"/>
    <n v="4.3"/>
    <n v="2216.84"/>
    <n v="2216.8380000000002"/>
    <n v="20"/>
    <x v="7"/>
    <x v="2"/>
  </r>
  <r>
    <n v="10964"/>
    <d v="2024-08-21T00:00:00"/>
    <x v="409"/>
    <x v="2"/>
    <x v="1"/>
    <n v="4"/>
    <n v="299.08"/>
    <n v="0"/>
    <x v="2"/>
    <x v="1"/>
    <n v="2"/>
    <n v="1196.32"/>
    <n v="1196.32"/>
    <n v="21"/>
    <x v="7"/>
    <x v="2"/>
  </r>
  <r>
    <n v="10965"/>
    <d v="2024-08-22T00:00:00"/>
    <x v="64"/>
    <x v="2"/>
    <x v="3"/>
    <n v="4"/>
    <n v="287.72000000000003"/>
    <n v="0.14000000000000001"/>
    <x v="2"/>
    <x v="7"/>
    <n v="2.2000000000000002"/>
    <n v="989.76"/>
    <n v="989.75680000000011"/>
    <n v="22"/>
    <x v="7"/>
    <x v="2"/>
  </r>
  <r>
    <n v="10966"/>
    <d v="2024-08-23T00:00:00"/>
    <x v="599"/>
    <x v="2"/>
    <x v="3"/>
    <n v="2"/>
    <n v="397.93"/>
    <n v="0.22"/>
    <x v="1"/>
    <x v="0"/>
    <n v="1.2"/>
    <n v="620.77"/>
    <n v="620.77080000000001"/>
    <n v="23"/>
    <x v="7"/>
    <x v="2"/>
  </r>
  <r>
    <n v="10967"/>
    <d v="2024-08-24T00:00:00"/>
    <x v="600"/>
    <x v="2"/>
    <x v="2"/>
    <n v="1"/>
    <n v="75.55"/>
    <n v="0.12"/>
    <x v="0"/>
    <x v="2"/>
    <n v="2.6"/>
    <n v="66.48"/>
    <n v="66.483999999999995"/>
    <n v="24"/>
    <x v="7"/>
    <x v="2"/>
  </r>
  <r>
    <n v="10968"/>
    <d v="2024-08-25T00:00:00"/>
    <x v="601"/>
    <x v="2"/>
    <x v="1"/>
    <n v="3"/>
    <n v="163.30000000000001"/>
    <n v="0.28999999999999998"/>
    <x v="1"/>
    <x v="0"/>
    <n v="4.4000000000000004"/>
    <n v="347.83"/>
    <n v="347.82900000000006"/>
    <n v="25"/>
    <x v="7"/>
    <x v="2"/>
  </r>
  <r>
    <n v="10969"/>
    <d v="2024-08-26T00:00:00"/>
    <x v="510"/>
    <x v="1"/>
    <x v="2"/>
    <n v="4"/>
    <n v="552.6"/>
    <n v="0.25"/>
    <x v="0"/>
    <x v="6"/>
    <n v="2.5"/>
    <n v="1657.8"/>
    <n v="1657.8000000000002"/>
    <n v="26"/>
    <x v="7"/>
    <x v="2"/>
  </r>
  <r>
    <n v="10970"/>
    <d v="2024-08-27T00:00:00"/>
    <x v="120"/>
    <x v="3"/>
    <x v="1"/>
    <n v="6"/>
    <n v="406.92"/>
    <n v="0.12"/>
    <x v="1"/>
    <x v="6"/>
    <n v="4.5999999999999996"/>
    <n v="2148.54"/>
    <n v="2148.5376000000001"/>
    <n v="27"/>
    <x v="7"/>
    <x v="2"/>
  </r>
  <r>
    <n v="10971"/>
    <d v="2024-08-28T00:00:00"/>
    <x v="602"/>
    <x v="2"/>
    <x v="3"/>
    <n v="7"/>
    <n v="22.86"/>
    <n v="0.26"/>
    <x v="1"/>
    <x v="7"/>
    <n v="4.5"/>
    <n v="118.41"/>
    <n v="118.41479999999999"/>
    <n v="28"/>
    <x v="7"/>
    <x v="2"/>
  </r>
  <r>
    <n v="10972"/>
    <d v="2024-08-29T00:00:00"/>
    <x v="452"/>
    <x v="2"/>
    <x v="2"/>
    <n v="2"/>
    <n v="134.71"/>
    <n v="0.33"/>
    <x v="2"/>
    <x v="8"/>
    <n v="1.2"/>
    <n v="180.51"/>
    <n v="180.51140000000001"/>
    <n v="29"/>
    <x v="7"/>
    <x v="2"/>
  </r>
  <r>
    <n v="10973"/>
    <d v="2024-08-30T00:00:00"/>
    <x v="603"/>
    <x v="3"/>
    <x v="3"/>
    <n v="4"/>
    <n v="414.46"/>
    <n v="0.03"/>
    <x v="1"/>
    <x v="5"/>
    <n v="2.2000000000000002"/>
    <n v="1608.1"/>
    <n v="1608.1047999999998"/>
    <n v="30"/>
    <x v="7"/>
    <x v="2"/>
  </r>
  <r>
    <n v="10974"/>
    <d v="2024-08-31T00:00:00"/>
    <x v="604"/>
    <x v="2"/>
    <x v="1"/>
    <n v="7"/>
    <n v="462.17"/>
    <n v="0.11"/>
    <x v="0"/>
    <x v="7"/>
    <n v="4.5999999999999996"/>
    <n v="2879.32"/>
    <n v="2879.3191000000002"/>
    <n v="31"/>
    <x v="7"/>
    <x v="2"/>
  </r>
  <r>
    <n v="10975"/>
    <d v="2024-09-01T00:00:00"/>
    <x v="406"/>
    <x v="2"/>
    <x v="0"/>
    <n v="7"/>
    <n v="506.32"/>
    <n v="0.16"/>
    <x v="1"/>
    <x v="1"/>
    <n v="1.1000000000000001"/>
    <n v="2977.16"/>
    <n v="2977.1615999999999"/>
    <n v="1"/>
    <x v="8"/>
    <x v="2"/>
  </r>
  <r>
    <n v="10976"/>
    <d v="2024-09-02T00:00:00"/>
    <x v="605"/>
    <x v="0"/>
    <x v="2"/>
    <n v="2"/>
    <n v="185.92"/>
    <n v="0.17"/>
    <x v="2"/>
    <x v="3"/>
    <n v="4.0999999999999996"/>
    <n v="308.63"/>
    <n v="308.62719999999996"/>
    <n v="2"/>
    <x v="8"/>
    <x v="2"/>
  </r>
  <r>
    <n v="10977"/>
    <d v="2024-09-03T00:00:00"/>
    <x v="144"/>
    <x v="2"/>
    <x v="2"/>
    <n v="1"/>
    <n v="559.65"/>
    <n v="0.19"/>
    <x v="1"/>
    <x v="8"/>
    <n v="4.5999999999999996"/>
    <n v="453.32"/>
    <n v="453.31649999999996"/>
    <n v="3"/>
    <x v="8"/>
    <x v="2"/>
  </r>
  <r>
    <n v="10978"/>
    <d v="2024-09-04T00:00:00"/>
    <x v="280"/>
    <x v="2"/>
    <x v="3"/>
    <n v="6"/>
    <n v="338.47"/>
    <n v="0.11"/>
    <x v="1"/>
    <x v="2"/>
    <n v="4.0999999999999996"/>
    <n v="1807.43"/>
    <n v="1807.4298000000001"/>
    <n v="4"/>
    <x v="8"/>
    <x v="2"/>
  </r>
  <r>
    <n v="10979"/>
    <d v="2024-09-05T00:00:00"/>
    <x v="606"/>
    <x v="1"/>
    <x v="3"/>
    <n v="6"/>
    <n v="422.48"/>
    <n v="0.23"/>
    <x v="1"/>
    <x v="2"/>
    <n v="4"/>
    <n v="1951.86"/>
    <n v="1951.8576"/>
    <n v="5"/>
    <x v="8"/>
    <x v="2"/>
  </r>
  <r>
    <n v="10980"/>
    <d v="2024-09-06T00:00:00"/>
    <x v="176"/>
    <x v="2"/>
    <x v="0"/>
    <n v="6"/>
    <n v="364.09"/>
    <n v="0.23"/>
    <x v="2"/>
    <x v="5"/>
    <n v="4.4000000000000004"/>
    <n v="1682.1"/>
    <n v="1682.0958000000001"/>
    <n v="6"/>
    <x v="8"/>
    <x v="2"/>
  </r>
  <r>
    <n v="10981"/>
    <d v="2024-09-07T00:00:00"/>
    <x v="601"/>
    <x v="1"/>
    <x v="2"/>
    <n v="4"/>
    <n v="86.8"/>
    <n v="0.2"/>
    <x v="2"/>
    <x v="1"/>
    <n v="3.7"/>
    <n v="277.76"/>
    <n v="277.76"/>
    <n v="7"/>
    <x v="8"/>
    <x v="2"/>
  </r>
  <r>
    <n v="10982"/>
    <d v="2024-09-08T00:00:00"/>
    <x v="263"/>
    <x v="3"/>
    <x v="1"/>
    <n v="2"/>
    <n v="578.41999999999996"/>
    <n v="0.04"/>
    <x v="2"/>
    <x v="1"/>
    <n v="2.7"/>
    <n v="1110.57"/>
    <n v="1110.5663999999999"/>
    <n v="8"/>
    <x v="8"/>
    <x v="2"/>
  </r>
  <r>
    <n v="10983"/>
    <d v="2024-09-09T00:00:00"/>
    <x v="607"/>
    <x v="2"/>
    <x v="1"/>
    <n v="6"/>
    <n v="86.88"/>
    <n v="0.17"/>
    <x v="0"/>
    <x v="4"/>
    <n v="1.3"/>
    <n v="432.66"/>
    <n v="432.66239999999993"/>
    <n v="9"/>
    <x v="8"/>
    <x v="2"/>
  </r>
  <r>
    <n v="10984"/>
    <d v="2024-09-10T00:00:00"/>
    <x v="608"/>
    <x v="1"/>
    <x v="2"/>
    <n v="7"/>
    <n v="164.11"/>
    <n v="0.12"/>
    <x v="2"/>
    <x v="8"/>
    <n v="4.2"/>
    <n v="1010.92"/>
    <n v="1010.9176"/>
    <n v="10"/>
    <x v="8"/>
    <x v="2"/>
  </r>
  <r>
    <n v="10985"/>
    <d v="2024-09-11T00:00:00"/>
    <x v="609"/>
    <x v="1"/>
    <x v="2"/>
    <n v="7"/>
    <n v="490.97"/>
    <n v="0.17"/>
    <x v="0"/>
    <x v="3"/>
    <n v="4.5999999999999996"/>
    <n v="2852.54"/>
    <n v="2852.5356999999999"/>
    <n v="11"/>
    <x v="8"/>
    <x v="2"/>
  </r>
  <r>
    <n v="10986"/>
    <d v="2024-09-12T00:00:00"/>
    <x v="159"/>
    <x v="2"/>
    <x v="2"/>
    <n v="5"/>
    <n v="376.88"/>
    <n v="0.32"/>
    <x v="1"/>
    <x v="4"/>
    <n v="3"/>
    <n v="1281.3900000000001"/>
    <n v="1281.3920000000001"/>
    <n v="12"/>
    <x v="8"/>
    <x v="2"/>
  </r>
  <r>
    <n v="10987"/>
    <d v="2024-09-13T00:00:00"/>
    <x v="35"/>
    <x v="1"/>
    <x v="0"/>
    <n v="5"/>
    <n v="505.32"/>
    <n v="0.17"/>
    <x v="1"/>
    <x v="0"/>
    <n v="3.1"/>
    <n v="2097.08"/>
    <n v="2097.078"/>
    <n v="13"/>
    <x v="8"/>
    <x v="2"/>
  </r>
  <r>
    <n v="10988"/>
    <d v="2024-09-14T00:00:00"/>
    <x v="85"/>
    <x v="2"/>
    <x v="1"/>
    <n v="2"/>
    <n v="316.70999999999998"/>
    <n v="0"/>
    <x v="1"/>
    <x v="4"/>
    <n v="2.6"/>
    <n v="633.41999999999996"/>
    <n v="633.41999999999996"/>
    <n v="14"/>
    <x v="8"/>
    <x v="2"/>
  </r>
  <r>
    <n v="10989"/>
    <d v="2024-09-15T00:00:00"/>
    <x v="610"/>
    <x v="1"/>
    <x v="1"/>
    <n v="4"/>
    <n v="235.54"/>
    <n v="0.15"/>
    <x v="1"/>
    <x v="4"/>
    <n v="4.4000000000000004"/>
    <n v="800.84"/>
    <n v="800.83600000000001"/>
    <n v="15"/>
    <x v="8"/>
    <x v="2"/>
  </r>
  <r>
    <n v="10990"/>
    <d v="2024-09-16T00:00:00"/>
    <x v="333"/>
    <x v="2"/>
    <x v="3"/>
    <n v="4"/>
    <n v="554.28"/>
    <n v="0.28999999999999998"/>
    <x v="2"/>
    <x v="10"/>
    <n v="1.1000000000000001"/>
    <n v="1574.16"/>
    <n v="1574.1551999999999"/>
    <n v="16"/>
    <x v="8"/>
    <x v="2"/>
  </r>
  <r>
    <n v="10991"/>
    <d v="2024-09-17T00:00:00"/>
    <x v="365"/>
    <x v="1"/>
    <x v="3"/>
    <n v="1"/>
    <n v="36.21"/>
    <n v="0.27"/>
    <x v="2"/>
    <x v="10"/>
    <n v="3.5"/>
    <n v="26.43"/>
    <n v="26.433299999999999"/>
    <n v="17"/>
    <x v="8"/>
    <x v="2"/>
  </r>
  <r>
    <n v="10992"/>
    <d v="2024-09-18T00:00:00"/>
    <x v="611"/>
    <x v="2"/>
    <x v="2"/>
    <n v="1"/>
    <n v="515.84"/>
    <n v="0.18"/>
    <x v="2"/>
    <x v="4"/>
    <n v="4.5999999999999996"/>
    <n v="422.99"/>
    <n v="422.98880000000003"/>
    <n v="18"/>
    <x v="8"/>
    <x v="2"/>
  </r>
  <r>
    <n v="10993"/>
    <d v="2024-09-19T00:00:00"/>
    <x v="584"/>
    <x v="3"/>
    <x v="3"/>
    <n v="6"/>
    <n v="150.03"/>
    <n v="0.09"/>
    <x v="2"/>
    <x v="10"/>
    <n v="1.4"/>
    <n v="819.16"/>
    <n v="819.16380000000004"/>
    <n v="19"/>
    <x v="8"/>
    <x v="2"/>
  </r>
  <r>
    <n v="10994"/>
    <d v="2024-09-20T00:00:00"/>
    <x v="390"/>
    <x v="2"/>
    <x v="0"/>
    <n v="3"/>
    <n v="511.51"/>
    <n v="0.16"/>
    <x v="0"/>
    <x v="6"/>
    <n v="4.8"/>
    <n v="1289.01"/>
    <n v="1289.0052000000001"/>
    <n v="20"/>
    <x v="8"/>
    <x v="2"/>
  </r>
  <r>
    <n v="10995"/>
    <d v="2024-09-21T00:00:00"/>
    <x v="612"/>
    <x v="1"/>
    <x v="1"/>
    <n v="7"/>
    <n v="96.43"/>
    <n v="0.2"/>
    <x v="0"/>
    <x v="10"/>
    <n v="4.9000000000000004"/>
    <n v="540.01"/>
    <n v="540.00800000000004"/>
    <n v="21"/>
    <x v="8"/>
    <x v="2"/>
  </r>
  <r>
    <n v="10996"/>
    <d v="2024-09-22T00:00:00"/>
    <x v="613"/>
    <x v="1"/>
    <x v="1"/>
    <n v="1"/>
    <n v="354.43"/>
    <n v="0.35"/>
    <x v="1"/>
    <x v="9"/>
    <n v="4.7"/>
    <n v="230.38"/>
    <n v="230.37950000000001"/>
    <n v="22"/>
    <x v="8"/>
    <x v="2"/>
  </r>
  <r>
    <n v="10997"/>
    <d v="2024-09-23T00:00:00"/>
    <x v="581"/>
    <x v="3"/>
    <x v="3"/>
    <n v="4"/>
    <n v="534.54"/>
    <n v="0.23"/>
    <x v="1"/>
    <x v="2"/>
    <n v="2.9"/>
    <n v="1646.38"/>
    <n v="1646.3831999999998"/>
    <n v="23"/>
    <x v="8"/>
    <x v="2"/>
  </r>
  <r>
    <n v="10998"/>
    <d v="2024-09-24T00:00:00"/>
    <x v="201"/>
    <x v="1"/>
    <x v="2"/>
    <n v="7"/>
    <n v="292.02"/>
    <n v="0.24"/>
    <x v="1"/>
    <x v="9"/>
    <n v="2.5"/>
    <n v="1553.55"/>
    <n v="1553.5463999999999"/>
    <n v="24"/>
    <x v="8"/>
    <x v="2"/>
  </r>
  <r>
    <n v="10999"/>
    <d v="2024-09-25T00:00:00"/>
    <x v="66"/>
    <x v="3"/>
    <x v="3"/>
    <n v="3"/>
    <n v="451.74"/>
    <n v="0.17"/>
    <x v="1"/>
    <x v="8"/>
    <n v="3.8"/>
    <n v="1124.83"/>
    <n v="1124.8326"/>
    <n v="25"/>
    <x v="8"/>
    <x v="2"/>
  </r>
  <r>
    <n v="11000"/>
    <d v="2024-09-26T00:00:00"/>
    <x v="614"/>
    <x v="3"/>
    <x v="2"/>
    <n v="1"/>
    <n v="485.73"/>
    <n v="0.12"/>
    <x v="2"/>
    <x v="4"/>
    <n v="2.2999999999999998"/>
    <n v="427.44"/>
    <n v="427.44240000000002"/>
    <n v="26"/>
    <x v="8"/>
    <x v="2"/>
  </r>
  <r>
    <n v="11001"/>
    <d v="2024-09-27T00:00:00"/>
    <x v="419"/>
    <x v="0"/>
    <x v="0"/>
    <n v="2"/>
    <n v="445.85"/>
    <n v="0.28000000000000003"/>
    <x v="2"/>
    <x v="2"/>
    <n v="1.3"/>
    <n v="642.02"/>
    <n v="642.024"/>
    <n v="27"/>
    <x v="8"/>
    <x v="2"/>
  </r>
  <r>
    <n v="11002"/>
    <d v="2024-09-28T00:00:00"/>
    <x v="165"/>
    <x v="2"/>
    <x v="1"/>
    <n v="5"/>
    <n v="556.32000000000005"/>
    <n v="0.17"/>
    <x v="1"/>
    <x v="6"/>
    <n v="4.5999999999999996"/>
    <n v="2308.73"/>
    <n v="2308.7280000000001"/>
    <n v="28"/>
    <x v="8"/>
    <x v="2"/>
  </r>
  <r>
    <n v="11003"/>
    <d v="2024-09-29T00:00:00"/>
    <x v="615"/>
    <x v="1"/>
    <x v="0"/>
    <n v="1"/>
    <n v="276.39999999999998"/>
    <n v="0.35"/>
    <x v="2"/>
    <x v="4"/>
    <n v="3.5"/>
    <n v="179.66"/>
    <n v="179.66"/>
    <n v="29"/>
    <x v="8"/>
    <x v="2"/>
  </r>
  <r>
    <n v="11004"/>
    <d v="2024-09-30T00:00:00"/>
    <x v="328"/>
    <x v="3"/>
    <x v="1"/>
    <n v="1"/>
    <n v="116.28"/>
    <n v="0.16"/>
    <x v="2"/>
    <x v="8"/>
    <n v="1.8"/>
    <n v="97.68"/>
    <n v="97.675200000000004"/>
    <n v="30"/>
    <x v="8"/>
    <x v="2"/>
  </r>
  <r>
    <n v="11005"/>
    <d v="2024-10-01T00:00:00"/>
    <x v="224"/>
    <x v="0"/>
    <x v="0"/>
    <n v="2"/>
    <n v="42.97"/>
    <n v="0.02"/>
    <x v="1"/>
    <x v="7"/>
    <n v="1.1000000000000001"/>
    <n v="84.22"/>
    <n v="84.221199999999996"/>
    <n v="1"/>
    <x v="9"/>
    <x v="2"/>
  </r>
  <r>
    <n v="11006"/>
    <d v="2024-10-02T00:00:00"/>
    <x v="124"/>
    <x v="0"/>
    <x v="3"/>
    <n v="4"/>
    <n v="159.18"/>
    <n v="0.24"/>
    <x v="1"/>
    <x v="5"/>
    <n v="3.9"/>
    <n v="483.91"/>
    <n v="483.90719999999999"/>
    <n v="2"/>
    <x v="9"/>
    <x v="2"/>
  </r>
  <r>
    <n v="11007"/>
    <d v="2024-10-03T00:00:00"/>
    <x v="616"/>
    <x v="1"/>
    <x v="0"/>
    <n v="6"/>
    <n v="98.77"/>
    <n v="0.02"/>
    <x v="0"/>
    <x v="8"/>
    <n v="4.4000000000000004"/>
    <n v="580.77"/>
    <n v="580.76760000000002"/>
    <n v="3"/>
    <x v="9"/>
    <x v="2"/>
  </r>
  <r>
    <n v="11008"/>
    <d v="2024-10-04T00:00:00"/>
    <x v="617"/>
    <x v="2"/>
    <x v="0"/>
    <n v="2"/>
    <n v="341.4"/>
    <n v="0.09"/>
    <x v="2"/>
    <x v="7"/>
    <n v="2.6"/>
    <n v="621.35"/>
    <n v="621.34799999999996"/>
    <n v="4"/>
    <x v="9"/>
    <x v="2"/>
  </r>
  <r>
    <n v="11009"/>
    <d v="2024-10-05T00:00:00"/>
    <x v="618"/>
    <x v="1"/>
    <x v="3"/>
    <n v="6"/>
    <n v="123.19"/>
    <n v="0.12"/>
    <x v="1"/>
    <x v="2"/>
    <n v="1.3"/>
    <n v="650.44000000000005"/>
    <n v="650.44319999999993"/>
    <n v="5"/>
    <x v="9"/>
    <x v="2"/>
  </r>
  <r>
    <n v="11010"/>
    <d v="2024-10-06T00:00:00"/>
    <x v="524"/>
    <x v="3"/>
    <x v="1"/>
    <n v="1"/>
    <n v="37.78"/>
    <n v="0.26"/>
    <x v="1"/>
    <x v="8"/>
    <n v="3.6"/>
    <n v="27.96"/>
    <n v="27.9572"/>
    <n v="6"/>
    <x v="9"/>
    <x v="2"/>
  </r>
  <r>
    <n v="11011"/>
    <d v="2024-10-07T00:00:00"/>
    <x v="284"/>
    <x v="1"/>
    <x v="1"/>
    <n v="4"/>
    <n v="36.049999999999997"/>
    <n v="0.17"/>
    <x v="1"/>
    <x v="4"/>
    <n v="2.2000000000000002"/>
    <n v="119.69"/>
    <n v="119.68599999999999"/>
    <n v="7"/>
    <x v="9"/>
    <x v="2"/>
  </r>
  <r>
    <n v="11012"/>
    <d v="2024-10-08T00:00:00"/>
    <x v="619"/>
    <x v="1"/>
    <x v="3"/>
    <n v="3"/>
    <n v="501.47"/>
    <n v="0.01"/>
    <x v="1"/>
    <x v="10"/>
    <n v="1.6"/>
    <n v="1489.37"/>
    <n v="1489.3659"/>
    <n v="8"/>
    <x v="9"/>
    <x v="2"/>
  </r>
  <r>
    <n v="11013"/>
    <d v="2024-10-09T00:00:00"/>
    <x v="620"/>
    <x v="3"/>
    <x v="0"/>
    <n v="1"/>
    <n v="361"/>
    <n v="0.22"/>
    <x v="0"/>
    <x v="9"/>
    <n v="3"/>
    <n v="281.58"/>
    <n v="281.58"/>
    <n v="9"/>
    <x v="9"/>
    <x v="2"/>
  </r>
  <r>
    <n v="11014"/>
    <d v="2024-10-10T00:00:00"/>
    <x v="130"/>
    <x v="1"/>
    <x v="0"/>
    <n v="2"/>
    <n v="224.48"/>
    <n v="0.14000000000000001"/>
    <x v="1"/>
    <x v="6"/>
    <n v="2.9"/>
    <n v="386.11"/>
    <n v="386.10559999999998"/>
    <n v="10"/>
    <x v="9"/>
    <x v="2"/>
  </r>
  <r>
    <n v="11015"/>
    <d v="2024-10-11T00:00:00"/>
    <x v="115"/>
    <x v="0"/>
    <x v="0"/>
    <n v="3"/>
    <n v="538.12"/>
    <n v="0.32"/>
    <x v="1"/>
    <x v="3"/>
    <n v="3.1"/>
    <n v="1097.76"/>
    <n v="1097.7648000000002"/>
    <n v="11"/>
    <x v="9"/>
    <x v="2"/>
  </r>
  <r>
    <n v="11016"/>
    <d v="2024-10-12T00:00:00"/>
    <x v="375"/>
    <x v="1"/>
    <x v="2"/>
    <n v="5"/>
    <n v="56.07"/>
    <n v="0.17"/>
    <x v="1"/>
    <x v="2"/>
    <n v="4.3"/>
    <n v="232.69"/>
    <n v="232.69050000000001"/>
    <n v="12"/>
    <x v="9"/>
    <x v="2"/>
  </r>
  <r>
    <n v="11017"/>
    <d v="2024-10-13T00:00:00"/>
    <x v="223"/>
    <x v="2"/>
    <x v="1"/>
    <n v="3"/>
    <n v="588.49"/>
    <n v="0.25"/>
    <x v="2"/>
    <x v="0"/>
    <n v="2.9"/>
    <n v="1324.1"/>
    <n v="1324.1025"/>
    <n v="13"/>
    <x v="9"/>
    <x v="2"/>
  </r>
  <r>
    <n v="11018"/>
    <d v="2024-10-14T00:00:00"/>
    <x v="170"/>
    <x v="1"/>
    <x v="0"/>
    <n v="2"/>
    <n v="375.53"/>
    <n v="0.08"/>
    <x v="1"/>
    <x v="6"/>
    <n v="4.5999999999999996"/>
    <n v="690.98"/>
    <n v="690.97519999999997"/>
    <n v="14"/>
    <x v="9"/>
    <x v="2"/>
  </r>
  <r>
    <n v="11019"/>
    <d v="2024-10-15T00:00:00"/>
    <x v="512"/>
    <x v="3"/>
    <x v="1"/>
    <n v="7"/>
    <n v="122.33"/>
    <n v="0.27"/>
    <x v="1"/>
    <x v="1"/>
    <n v="4.4000000000000004"/>
    <n v="625.11"/>
    <n v="625.10629999999992"/>
    <n v="15"/>
    <x v="9"/>
    <x v="2"/>
  </r>
  <r>
    <n v="11020"/>
    <d v="2024-10-16T00:00:00"/>
    <x v="176"/>
    <x v="2"/>
    <x v="0"/>
    <n v="3"/>
    <n v="412.26"/>
    <n v="0.25"/>
    <x v="2"/>
    <x v="2"/>
    <n v="3.6"/>
    <n v="927.58"/>
    <n v="927.58500000000004"/>
    <n v="16"/>
    <x v="9"/>
    <x v="2"/>
  </r>
  <r>
    <n v="11021"/>
    <d v="2024-10-17T00:00:00"/>
    <x v="280"/>
    <x v="2"/>
    <x v="3"/>
    <n v="2"/>
    <n v="461.58"/>
    <n v="0.32"/>
    <x v="1"/>
    <x v="3"/>
    <n v="1.2"/>
    <n v="627.75"/>
    <n v="627.74879999999996"/>
    <n v="17"/>
    <x v="9"/>
    <x v="2"/>
  </r>
  <r>
    <n v="11022"/>
    <d v="2024-10-18T00:00:00"/>
    <x v="259"/>
    <x v="0"/>
    <x v="3"/>
    <n v="7"/>
    <n v="266.17"/>
    <n v="0.01"/>
    <x v="1"/>
    <x v="7"/>
    <n v="4.5"/>
    <n v="1844.56"/>
    <n v="1844.5581"/>
    <n v="18"/>
    <x v="9"/>
    <x v="2"/>
  </r>
  <r>
    <n v="11023"/>
    <d v="2024-10-19T00:00:00"/>
    <x v="621"/>
    <x v="2"/>
    <x v="1"/>
    <n v="1"/>
    <n v="519.05999999999995"/>
    <n v="0.16"/>
    <x v="1"/>
    <x v="5"/>
    <n v="4.5999999999999996"/>
    <n v="436.01"/>
    <n v="436.01039999999995"/>
    <n v="19"/>
    <x v="9"/>
    <x v="2"/>
  </r>
  <r>
    <n v="11024"/>
    <d v="2024-10-20T00:00:00"/>
    <x v="155"/>
    <x v="1"/>
    <x v="1"/>
    <n v="7"/>
    <n v="103.18"/>
    <n v="0.24"/>
    <x v="2"/>
    <x v="0"/>
    <n v="2.5"/>
    <n v="548.91999999999996"/>
    <n v="548.91759999999999"/>
    <n v="20"/>
    <x v="9"/>
    <x v="2"/>
  </r>
  <r>
    <n v="11025"/>
    <d v="2024-10-21T00:00:00"/>
    <x v="41"/>
    <x v="1"/>
    <x v="3"/>
    <n v="4"/>
    <n v="178.12"/>
    <n v="0.03"/>
    <x v="0"/>
    <x v="9"/>
    <n v="3.1"/>
    <n v="691.11"/>
    <n v="691.10559999999998"/>
    <n v="21"/>
    <x v="9"/>
    <x v="2"/>
  </r>
  <r>
    <n v="11026"/>
    <d v="2024-10-22T00:00:00"/>
    <x v="207"/>
    <x v="1"/>
    <x v="2"/>
    <n v="5"/>
    <n v="69.69"/>
    <n v="0.14000000000000001"/>
    <x v="1"/>
    <x v="3"/>
    <n v="2.1"/>
    <n v="299.67"/>
    <n v="299.66699999999997"/>
    <n v="22"/>
    <x v="9"/>
    <x v="2"/>
  </r>
  <r>
    <n v="11027"/>
    <d v="2024-10-23T00:00:00"/>
    <x v="622"/>
    <x v="1"/>
    <x v="3"/>
    <n v="7"/>
    <n v="138.36000000000001"/>
    <n v="0.33"/>
    <x v="1"/>
    <x v="6"/>
    <n v="1.1000000000000001"/>
    <n v="648.91"/>
    <n v="648.90840000000003"/>
    <n v="23"/>
    <x v="9"/>
    <x v="2"/>
  </r>
  <r>
    <n v="11028"/>
    <d v="2024-10-24T00:00:00"/>
    <x v="423"/>
    <x v="2"/>
    <x v="0"/>
    <n v="4"/>
    <n v="154.66"/>
    <n v="0.15"/>
    <x v="1"/>
    <x v="4"/>
    <n v="2.9"/>
    <n v="525.84"/>
    <n v="525.84400000000005"/>
    <n v="24"/>
    <x v="9"/>
    <x v="2"/>
  </r>
  <r>
    <n v="11029"/>
    <d v="2024-10-25T00:00:00"/>
    <x v="355"/>
    <x v="1"/>
    <x v="2"/>
    <n v="4"/>
    <n v="551.82000000000005"/>
    <n v="0.34"/>
    <x v="2"/>
    <x v="8"/>
    <n v="1.5"/>
    <n v="1456.8"/>
    <n v="1456.8048000000001"/>
    <n v="25"/>
    <x v="9"/>
    <x v="2"/>
  </r>
  <r>
    <n v="11030"/>
    <d v="2024-10-26T00:00:00"/>
    <x v="43"/>
    <x v="1"/>
    <x v="3"/>
    <n v="4"/>
    <n v="60.69"/>
    <n v="0.02"/>
    <x v="2"/>
    <x v="4"/>
    <n v="1.7"/>
    <n v="237.9"/>
    <n v="237.90479999999999"/>
    <n v="26"/>
    <x v="9"/>
    <x v="2"/>
  </r>
  <r>
    <n v="11031"/>
    <d v="2024-10-27T00:00:00"/>
    <x v="623"/>
    <x v="3"/>
    <x v="2"/>
    <n v="7"/>
    <n v="265.04000000000002"/>
    <n v="0.25"/>
    <x v="2"/>
    <x v="5"/>
    <n v="2.9"/>
    <n v="1391.46"/>
    <n v="1391.46"/>
    <n v="27"/>
    <x v="9"/>
    <x v="2"/>
  </r>
  <r>
    <n v="11032"/>
    <d v="2024-10-28T00:00:00"/>
    <x v="611"/>
    <x v="2"/>
    <x v="2"/>
    <n v="2"/>
    <n v="326.45"/>
    <n v="0.2"/>
    <x v="2"/>
    <x v="4"/>
    <n v="4.5"/>
    <n v="522.32000000000005"/>
    <n v="522.31999999999994"/>
    <n v="28"/>
    <x v="9"/>
    <x v="2"/>
  </r>
  <r>
    <n v="11033"/>
    <d v="2024-10-29T00:00:00"/>
    <x v="99"/>
    <x v="1"/>
    <x v="2"/>
    <n v="2"/>
    <n v="540.74"/>
    <n v="0.18"/>
    <x v="0"/>
    <x v="2"/>
    <n v="4.4000000000000004"/>
    <n v="886.81"/>
    <n v="886.81359999999995"/>
    <n v="29"/>
    <x v="9"/>
    <x v="2"/>
  </r>
  <r>
    <n v="11034"/>
    <d v="2024-10-30T00:00:00"/>
    <x v="624"/>
    <x v="2"/>
    <x v="1"/>
    <n v="5"/>
    <n v="598.65"/>
    <n v="0.34"/>
    <x v="0"/>
    <x v="5"/>
    <n v="4.9000000000000004"/>
    <n v="1975.54"/>
    <n v="1975.5450000000001"/>
    <n v="30"/>
    <x v="9"/>
    <x v="2"/>
  </r>
  <r>
    <n v="11035"/>
    <d v="2024-10-31T00:00:00"/>
    <x v="625"/>
    <x v="2"/>
    <x v="3"/>
    <n v="2"/>
    <n v="455.73"/>
    <n v="0.05"/>
    <x v="2"/>
    <x v="4"/>
    <n v="2.9"/>
    <n v="865.89"/>
    <n v="865.88700000000006"/>
    <n v="31"/>
    <x v="9"/>
    <x v="2"/>
  </r>
  <r>
    <n v="11036"/>
    <d v="2024-11-01T00:00:00"/>
    <x v="271"/>
    <x v="2"/>
    <x v="1"/>
    <n v="6"/>
    <n v="582.91"/>
    <n v="0.31"/>
    <x v="2"/>
    <x v="4"/>
    <n v="3.2"/>
    <n v="2413.25"/>
    <n v="2413.2474000000002"/>
    <n v="1"/>
    <x v="10"/>
    <x v="2"/>
  </r>
  <r>
    <n v="11037"/>
    <d v="2024-11-02T00:00:00"/>
    <x v="626"/>
    <x v="2"/>
    <x v="1"/>
    <n v="2"/>
    <n v="475.45"/>
    <n v="0.24"/>
    <x v="1"/>
    <x v="5"/>
    <n v="4.3"/>
    <n v="722.68"/>
    <n v="722.68399999999997"/>
    <n v="2"/>
    <x v="10"/>
    <x v="2"/>
  </r>
  <r>
    <n v="11038"/>
    <d v="2024-11-03T00:00:00"/>
    <x v="470"/>
    <x v="3"/>
    <x v="0"/>
    <n v="2"/>
    <n v="578.47"/>
    <n v="0.09"/>
    <x v="2"/>
    <x v="1"/>
    <n v="3.8"/>
    <n v="1052.82"/>
    <n v="1052.8154"/>
    <n v="3"/>
    <x v="10"/>
    <x v="2"/>
  </r>
  <r>
    <n v="11039"/>
    <d v="2024-11-04T00:00:00"/>
    <x v="242"/>
    <x v="2"/>
    <x v="0"/>
    <n v="2"/>
    <n v="428.75"/>
    <n v="0.32"/>
    <x v="2"/>
    <x v="5"/>
    <n v="1.7"/>
    <n v="583.1"/>
    <n v="583.09999999999991"/>
    <n v="4"/>
    <x v="10"/>
    <x v="2"/>
  </r>
  <r>
    <n v="11040"/>
    <d v="2024-11-05T00:00:00"/>
    <x v="69"/>
    <x v="0"/>
    <x v="2"/>
    <n v="1"/>
    <n v="61.66"/>
    <n v="0.15"/>
    <x v="2"/>
    <x v="7"/>
    <n v="2.6"/>
    <n v="52.41"/>
    <n v="52.411000000000001"/>
    <n v="5"/>
    <x v="10"/>
    <x v="2"/>
  </r>
  <r>
    <n v="11041"/>
    <d v="2024-11-06T00:00:00"/>
    <x v="220"/>
    <x v="0"/>
    <x v="2"/>
    <n v="5"/>
    <n v="250.12"/>
    <n v="0.28000000000000003"/>
    <x v="1"/>
    <x v="5"/>
    <n v="4.7"/>
    <n v="900.43"/>
    <n v="900.4319999999999"/>
    <n v="6"/>
    <x v="10"/>
    <x v="2"/>
  </r>
  <r>
    <n v="11042"/>
    <d v="2024-11-07T00:00:00"/>
    <x v="571"/>
    <x v="1"/>
    <x v="0"/>
    <n v="6"/>
    <n v="393.26"/>
    <n v="0.14000000000000001"/>
    <x v="2"/>
    <x v="8"/>
    <n v="1.6"/>
    <n v="2029.22"/>
    <n v="2029.2215999999999"/>
    <n v="7"/>
    <x v="10"/>
    <x v="2"/>
  </r>
  <r>
    <n v="11043"/>
    <d v="2024-11-08T00:00:00"/>
    <x v="627"/>
    <x v="2"/>
    <x v="0"/>
    <n v="2"/>
    <n v="220.17"/>
    <n v="0.3"/>
    <x v="2"/>
    <x v="10"/>
    <n v="1.8"/>
    <n v="308.24"/>
    <n v="308.238"/>
    <n v="8"/>
    <x v="10"/>
    <x v="2"/>
  </r>
  <r>
    <n v="11044"/>
    <d v="2024-11-09T00:00:00"/>
    <x v="628"/>
    <x v="1"/>
    <x v="3"/>
    <n v="5"/>
    <n v="174.93"/>
    <n v="0.22"/>
    <x v="2"/>
    <x v="8"/>
    <n v="2.6"/>
    <n v="682.23"/>
    <n v="682.22700000000009"/>
    <n v="9"/>
    <x v="10"/>
    <x v="2"/>
  </r>
  <r>
    <n v="11045"/>
    <d v="2024-11-10T00:00:00"/>
    <x v="605"/>
    <x v="3"/>
    <x v="2"/>
    <n v="3"/>
    <n v="352.78"/>
    <n v="0.05"/>
    <x v="1"/>
    <x v="8"/>
    <n v="4.8"/>
    <n v="1005.42"/>
    <n v="1005.4229999999999"/>
    <n v="10"/>
    <x v="10"/>
    <x v="2"/>
  </r>
  <r>
    <n v="11046"/>
    <d v="2024-11-11T00:00:00"/>
    <x v="629"/>
    <x v="1"/>
    <x v="2"/>
    <n v="1"/>
    <n v="561.1"/>
    <n v="0.23"/>
    <x v="1"/>
    <x v="5"/>
    <n v="1.5"/>
    <n v="432.05"/>
    <n v="432.04700000000003"/>
    <n v="11"/>
    <x v="10"/>
    <x v="2"/>
  </r>
  <r>
    <n v="11047"/>
    <d v="2024-11-12T00:00:00"/>
    <x v="630"/>
    <x v="2"/>
    <x v="0"/>
    <n v="7"/>
    <n v="35.46"/>
    <n v="7.0000000000000007E-2"/>
    <x v="1"/>
    <x v="6"/>
    <n v="3.7"/>
    <n v="230.84"/>
    <n v="230.84459999999999"/>
    <n v="12"/>
    <x v="10"/>
    <x v="2"/>
  </r>
  <r>
    <n v="11048"/>
    <d v="2024-11-13T00:00:00"/>
    <x v="511"/>
    <x v="1"/>
    <x v="3"/>
    <n v="2"/>
    <n v="465"/>
    <n v="0.14000000000000001"/>
    <x v="0"/>
    <x v="9"/>
    <n v="1.5"/>
    <n v="799.8"/>
    <n v="799.8"/>
    <n v="13"/>
    <x v="10"/>
    <x v="2"/>
  </r>
  <r>
    <n v="11049"/>
    <d v="2024-11-14T00:00:00"/>
    <x v="322"/>
    <x v="3"/>
    <x v="0"/>
    <n v="6"/>
    <n v="437.8"/>
    <n v="0.06"/>
    <x v="2"/>
    <x v="8"/>
    <n v="3.1"/>
    <n v="2469.19"/>
    <n v="2469.192"/>
    <n v="14"/>
    <x v="10"/>
    <x v="2"/>
  </r>
  <r>
    <n v="11050"/>
    <d v="2024-11-15T00:00:00"/>
    <x v="578"/>
    <x v="3"/>
    <x v="0"/>
    <n v="1"/>
    <n v="578.91"/>
    <n v="0.01"/>
    <x v="1"/>
    <x v="9"/>
    <n v="3.1"/>
    <n v="573.12"/>
    <n v="573.12090000000001"/>
    <n v="15"/>
    <x v="10"/>
    <x v="2"/>
  </r>
  <r>
    <n v="11051"/>
    <d v="2024-11-16T00:00:00"/>
    <x v="407"/>
    <x v="2"/>
    <x v="1"/>
    <n v="6"/>
    <n v="559.47"/>
    <n v="7.0000000000000007E-2"/>
    <x v="1"/>
    <x v="8"/>
    <n v="1.2"/>
    <n v="3121.84"/>
    <n v="3121.8425999999999"/>
    <n v="16"/>
    <x v="10"/>
    <x v="2"/>
  </r>
  <r>
    <n v="11052"/>
    <d v="2024-11-17T00:00:00"/>
    <x v="395"/>
    <x v="3"/>
    <x v="2"/>
    <n v="7"/>
    <n v="460.91"/>
    <n v="0.19"/>
    <x v="2"/>
    <x v="2"/>
    <n v="4.8"/>
    <n v="2613.36"/>
    <n v="2613.3597000000004"/>
    <n v="17"/>
    <x v="10"/>
    <x v="2"/>
  </r>
  <r>
    <n v="11053"/>
    <d v="2024-11-18T00:00:00"/>
    <x v="631"/>
    <x v="2"/>
    <x v="3"/>
    <n v="7"/>
    <n v="319.44"/>
    <n v="0.17"/>
    <x v="1"/>
    <x v="0"/>
    <n v="4.2"/>
    <n v="1855.95"/>
    <n v="1855.9463999999998"/>
    <n v="18"/>
    <x v="10"/>
    <x v="2"/>
  </r>
  <r>
    <n v="11054"/>
    <d v="2024-11-19T00:00:00"/>
    <x v="88"/>
    <x v="2"/>
    <x v="1"/>
    <n v="1"/>
    <n v="134.5"/>
    <n v="0.18"/>
    <x v="0"/>
    <x v="6"/>
    <n v="2.2000000000000002"/>
    <n v="110.29"/>
    <n v="110.28999999999999"/>
    <n v="19"/>
    <x v="10"/>
    <x v="2"/>
  </r>
  <r>
    <n v="11055"/>
    <d v="2024-11-20T00:00:00"/>
    <x v="632"/>
    <x v="0"/>
    <x v="2"/>
    <n v="3"/>
    <n v="333.96"/>
    <n v="0.09"/>
    <x v="2"/>
    <x v="9"/>
    <n v="1.5"/>
    <n v="911.71"/>
    <n v="911.71079999999984"/>
    <n v="20"/>
    <x v="10"/>
    <x v="2"/>
  </r>
  <r>
    <n v="11056"/>
    <d v="2024-11-21T00:00:00"/>
    <x v="633"/>
    <x v="2"/>
    <x v="0"/>
    <n v="5"/>
    <n v="462.73"/>
    <n v="0.24"/>
    <x v="1"/>
    <x v="9"/>
    <n v="2.4"/>
    <n v="1758.37"/>
    <n v="1758.3740000000003"/>
    <n v="21"/>
    <x v="10"/>
    <x v="2"/>
  </r>
  <r>
    <n v="11057"/>
    <d v="2024-11-22T00:00:00"/>
    <x v="295"/>
    <x v="2"/>
    <x v="3"/>
    <n v="1"/>
    <n v="538.97"/>
    <n v="0.25"/>
    <x v="2"/>
    <x v="2"/>
    <n v="4.5999999999999996"/>
    <n v="404.23"/>
    <n v="404.22750000000002"/>
    <n v="22"/>
    <x v="10"/>
    <x v="2"/>
  </r>
  <r>
    <n v="11058"/>
    <d v="2024-11-23T00:00:00"/>
    <x v="446"/>
    <x v="2"/>
    <x v="2"/>
    <n v="4"/>
    <n v="476.98"/>
    <n v="0.13"/>
    <x v="1"/>
    <x v="6"/>
    <n v="1.5"/>
    <n v="1659.89"/>
    <n v="1659.8904"/>
    <n v="23"/>
    <x v="10"/>
    <x v="2"/>
  </r>
  <r>
    <n v="11059"/>
    <d v="2024-11-24T00:00:00"/>
    <x v="405"/>
    <x v="0"/>
    <x v="0"/>
    <n v="7"/>
    <n v="129.22999999999999"/>
    <n v="0.31"/>
    <x v="0"/>
    <x v="1"/>
    <n v="2.4"/>
    <n v="624.17999999999995"/>
    <n v="624.18089999999995"/>
    <n v="24"/>
    <x v="10"/>
    <x v="2"/>
  </r>
  <r>
    <n v="11060"/>
    <d v="2024-11-25T00:00:00"/>
    <x v="634"/>
    <x v="3"/>
    <x v="1"/>
    <n v="3"/>
    <n v="365.82"/>
    <n v="0.23"/>
    <x v="1"/>
    <x v="3"/>
    <n v="3"/>
    <n v="845.04"/>
    <n v="845.04420000000005"/>
    <n v="25"/>
    <x v="10"/>
    <x v="2"/>
  </r>
  <r>
    <n v="11061"/>
    <d v="2024-11-26T00:00:00"/>
    <x v="204"/>
    <x v="1"/>
    <x v="3"/>
    <n v="7"/>
    <n v="209.32"/>
    <n v="0.25"/>
    <x v="0"/>
    <x v="0"/>
    <n v="1.1000000000000001"/>
    <n v="1098.93"/>
    <n v="1098.93"/>
    <n v="26"/>
    <x v="10"/>
    <x v="2"/>
  </r>
  <r>
    <n v="11062"/>
    <d v="2024-11-27T00:00:00"/>
    <x v="635"/>
    <x v="3"/>
    <x v="2"/>
    <n v="4"/>
    <n v="20.39"/>
    <n v="0.1"/>
    <x v="2"/>
    <x v="1"/>
    <n v="2.1"/>
    <n v="73.400000000000006"/>
    <n v="73.403999999999996"/>
    <n v="27"/>
    <x v="10"/>
    <x v="2"/>
  </r>
  <r>
    <n v="11063"/>
    <d v="2024-11-28T00:00:00"/>
    <x v="5"/>
    <x v="2"/>
    <x v="1"/>
    <n v="3"/>
    <n v="132.13"/>
    <n v="0"/>
    <x v="0"/>
    <x v="8"/>
    <n v="3.4"/>
    <n v="396.39"/>
    <n v="396.39"/>
    <n v="28"/>
    <x v="10"/>
    <x v="2"/>
  </r>
  <r>
    <n v="11064"/>
    <d v="2024-11-29T00:00:00"/>
    <x v="282"/>
    <x v="1"/>
    <x v="0"/>
    <n v="7"/>
    <n v="81.23"/>
    <n v="0.3"/>
    <x v="1"/>
    <x v="5"/>
    <n v="2.2999999999999998"/>
    <n v="398.03"/>
    <n v="398.02700000000004"/>
    <n v="29"/>
    <x v="10"/>
    <x v="2"/>
  </r>
  <r>
    <n v="11065"/>
    <d v="2024-11-30T00:00:00"/>
    <x v="457"/>
    <x v="1"/>
    <x v="0"/>
    <n v="4"/>
    <n v="507.99"/>
    <n v="0.28999999999999998"/>
    <x v="1"/>
    <x v="3"/>
    <n v="4.5"/>
    <n v="1442.69"/>
    <n v="1442.6916000000001"/>
    <n v="30"/>
    <x v="10"/>
    <x v="2"/>
  </r>
  <r>
    <n v="11066"/>
    <d v="2024-12-01T00:00:00"/>
    <x v="636"/>
    <x v="2"/>
    <x v="2"/>
    <n v="4"/>
    <n v="166.23"/>
    <n v="0.04"/>
    <x v="2"/>
    <x v="8"/>
    <n v="4.7"/>
    <n v="638.32000000000005"/>
    <n v="638.32319999999993"/>
    <n v="1"/>
    <x v="11"/>
    <x v="2"/>
  </r>
  <r>
    <n v="11067"/>
    <d v="2024-12-02T00:00:00"/>
    <x v="637"/>
    <x v="1"/>
    <x v="0"/>
    <n v="7"/>
    <n v="181.55"/>
    <n v="0.13"/>
    <x v="2"/>
    <x v="2"/>
    <n v="2.8"/>
    <n v="1105.6400000000001"/>
    <n v="1105.6395000000002"/>
    <n v="2"/>
    <x v="11"/>
    <x v="2"/>
  </r>
  <r>
    <n v="11068"/>
    <d v="2024-12-03T00:00:00"/>
    <x v="341"/>
    <x v="0"/>
    <x v="3"/>
    <n v="7"/>
    <n v="576.55999999999995"/>
    <n v="0.23"/>
    <x v="1"/>
    <x v="2"/>
    <n v="3.1"/>
    <n v="3107.66"/>
    <n v="3107.6583999999993"/>
    <n v="3"/>
    <x v="11"/>
    <x v="2"/>
  </r>
  <r>
    <n v="11069"/>
    <d v="2024-12-04T00:00:00"/>
    <x v="444"/>
    <x v="2"/>
    <x v="2"/>
    <n v="6"/>
    <n v="236.77"/>
    <n v="0.23"/>
    <x v="1"/>
    <x v="5"/>
    <n v="3.5"/>
    <n v="1093.8800000000001"/>
    <n v="1093.8774000000001"/>
    <n v="4"/>
    <x v="11"/>
    <x v="2"/>
  </r>
  <r>
    <n v="11070"/>
    <d v="2024-12-05T00:00:00"/>
    <x v="271"/>
    <x v="2"/>
    <x v="1"/>
    <n v="1"/>
    <n v="20.61"/>
    <n v="0.3"/>
    <x v="1"/>
    <x v="7"/>
    <n v="3.7"/>
    <n v="14.43"/>
    <n v="14.427"/>
    <n v="5"/>
    <x v="11"/>
    <x v="2"/>
  </r>
  <r>
    <n v="11071"/>
    <d v="2024-12-06T00:00:00"/>
    <x v="534"/>
    <x v="2"/>
    <x v="2"/>
    <n v="1"/>
    <n v="181.05"/>
    <n v="0.05"/>
    <x v="2"/>
    <x v="0"/>
    <n v="1.3"/>
    <n v="172"/>
    <n v="171.9975"/>
    <n v="6"/>
    <x v="11"/>
    <x v="2"/>
  </r>
  <r>
    <n v="11072"/>
    <d v="2024-12-07T00:00:00"/>
    <x v="638"/>
    <x v="2"/>
    <x v="2"/>
    <n v="3"/>
    <n v="84.79"/>
    <n v="0.15"/>
    <x v="1"/>
    <x v="4"/>
    <n v="1.2"/>
    <n v="216.21"/>
    <n v="216.21449999999999"/>
    <n v="7"/>
    <x v="11"/>
    <x v="2"/>
  </r>
  <r>
    <n v="11073"/>
    <d v="2024-12-08T00:00:00"/>
    <x v="233"/>
    <x v="0"/>
    <x v="1"/>
    <n v="5"/>
    <n v="75.14"/>
    <n v="0.03"/>
    <x v="1"/>
    <x v="6"/>
    <n v="4.5"/>
    <n v="364.43"/>
    <n v="364.42899999999997"/>
    <n v="8"/>
    <x v="11"/>
    <x v="2"/>
  </r>
  <r>
    <n v="11074"/>
    <d v="2024-12-09T00:00:00"/>
    <x v="160"/>
    <x v="1"/>
    <x v="0"/>
    <n v="7"/>
    <n v="60.33"/>
    <n v="0.14000000000000001"/>
    <x v="1"/>
    <x v="2"/>
    <n v="1.9"/>
    <n v="363.19"/>
    <n v="363.1866"/>
    <n v="9"/>
    <x v="11"/>
    <x v="2"/>
  </r>
  <r>
    <n v="11075"/>
    <d v="2024-12-10T00:00:00"/>
    <x v="307"/>
    <x v="1"/>
    <x v="1"/>
    <n v="6"/>
    <n v="362.06"/>
    <n v="0.01"/>
    <x v="1"/>
    <x v="1"/>
    <n v="3.3"/>
    <n v="2150.64"/>
    <n v="2150.6364000000003"/>
    <n v="10"/>
    <x v="11"/>
    <x v="2"/>
  </r>
  <r>
    <n v="11076"/>
    <d v="2024-12-11T00:00:00"/>
    <x v="639"/>
    <x v="3"/>
    <x v="3"/>
    <n v="1"/>
    <n v="125.77"/>
    <n v="0.31"/>
    <x v="1"/>
    <x v="8"/>
    <n v="3.5"/>
    <n v="86.78"/>
    <n v="86.781299999999987"/>
    <n v="11"/>
    <x v="11"/>
    <x v="2"/>
  </r>
  <r>
    <n v="11077"/>
    <d v="2024-12-12T00:00:00"/>
    <x v="640"/>
    <x v="2"/>
    <x v="0"/>
    <n v="1"/>
    <n v="226.33"/>
    <n v="0.18"/>
    <x v="0"/>
    <x v="7"/>
    <n v="1.7"/>
    <n v="185.59"/>
    <n v="185.59059999999999"/>
    <n v="12"/>
    <x v="11"/>
    <x v="2"/>
  </r>
  <r>
    <n v="11078"/>
    <d v="2024-12-13T00:00:00"/>
    <x v="289"/>
    <x v="1"/>
    <x v="2"/>
    <n v="6"/>
    <n v="519.28"/>
    <n v="0.3"/>
    <x v="1"/>
    <x v="6"/>
    <n v="4"/>
    <n v="2180.98"/>
    <n v="2180.9759999999997"/>
    <n v="13"/>
    <x v="11"/>
    <x v="2"/>
  </r>
  <r>
    <n v="11079"/>
    <d v="2024-12-14T00:00:00"/>
    <x v="185"/>
    <x v="1"/>
    <x v="0"/>
    <n v="2"/>
    <n v="263.24"/>
    <n v="0.02"/>
    <x v="0"/>
    <x v="6"/>
    <n v="4.5"/>
    <n v="515.95000000000005"/>
    <n v="515.95040000000006"/>
    <n v="14"/>
    <x v="11"/>
    <x v="2"/>
  </r>
  <r>
    <n v="11080"/>
    <d v="2024-12-15T00:00:00"/>
    <x v="641"/>
    <x v="1"/>
    <x v="0"/>
    <n v="6"/>
    <n v="550.67999999999995"/>
    <n v="0.08"/>
    <x v="1"/>
    <x v="1"/>
    <n v="2.1"/>
    <n v="3039.75"/>
    <n v="3039.7536"/>
    <n v="15"/>
    <x v="11"/>
    <x v="2"/>
  </r>
  <r>
    <n v="11081"/>
    <d v="2024-12-16T00:00:00"/>
    <x v="394"/>
    <x v="0"/>
    <x v="3"/>
    <n v="1"/>
    <n v="306.29000000000002"/>
    <n v="0.09"/>
    <x v="1"/>
    <x v="7"/>
    <n v="4.5"/>
    <n v="278.72000000000003"/>
    <n v="278.72390000000001"/>
    <n v="16"/>
    <x v="11"/>
    <x v="2"/>
  </r>
  <r>
    <n v="11082"/>
    <d v="2024-12-17T00:00:00"/>
    <x v="254"/>
    <x v="3"/>
    <x v="0"/>
    <n v="5"/>
    <n v="248.32"/>
    <n v="0.14000000000000001"/>
    <x v="1"/>
    <x v="2"/>
    <n v="1.3"/>
    <n v="1067.78"/>
    <n v="1067.7759999999998"/>
    <n v="17"/>
    <x v="11"/>
    <x v="2"/>
  </r>
  <r>
    <n v="11083"/>
    <d v="2024-12-18T00:00:00"/>
    <x v="293"/>
    <x v="1"/>
    <x v="0"/>
    <n v="2"/>
    <n v="453.98"/>
    <n v="0.28000000000000003"/>
    <x v="2"/>
    <x v="2"/>
    <n v="4.2"/>
    <n v="653.73"/>
    <n v="653.73119999999994"/>
    <n v="18"/>
    <x v="11"/>
    <x v="2"/>
  </r>
  <r>
    <n v="11084"/>
    <d v="2024-12-19T00:00:00"/>
    <x v="167"/>
    <x v="3"/>
    <x v="0"/>
    <n v="4"/>
    <n v="57.81"/>
    <n v="0.14000000000000001"/>
    <x v="2"/>
    <x v="9"/>
    <n v="3.6"/>
    <n v="198.87"/>
    <n v="198.8664"/>
    <n v="19"/>
    <x v="11"/>
    <x v="2"/>
  </r>
  <r>
    <n v="11085"/>
    <d v="2024-12-20T00:00:00"/>
    <x v="642"/>
    <x v="2"/>
    <x v="2"/>
    <n v="6"/>
    <n v="67.34"/>
    <n v="7.0000000000000007E-2"/>
    <x v="2"/>
    <x v="7"/>
    <n v="3.3"/>
    <n v="375.76"/>
    <n v="375.75720000000001"/>
    <n v="20"/>
    <x v="11"/>
    <x v="2"/>
  </r>
  <r>
    <n v="11086"/>
    <d v="2024-12-21T00:00:00"/>
    <x v="643"/>
    <x v="2"/>
    <x v="0"/>
    <n v="4"/>
    <n v="396.4"/>
    <n v="0.02"/>
    <x v="1"/>
    <x v="10"/>
    <n v="1.9"/>
    <n v="1553.89"/>
    <n v="1553.8879999999999"/>
    <n v="21"/>
    <x v="11"/>
    <x v="2"/>
  </r>
  <r>
    <n v="11087"/>
    <d v="2024-12-22T00:00:00"/>
    <x v="172"/>
    <x v="2"/>
    <x v="1"/>
    <n v="2"/>
    <n v="299.86"/>
    <n v="0.03"/>
    <x v="0"/>
    <x v="9"/>
    <n v="2.4"/>
    <n v="581.73"/>
    <n v="581.72840000000008"/>
    <n v="22"/>
    <x v="11"/>
    <x v="2"/>
  </r>
  <r>
    <n v="11088"/>
    <d v="2024-12-23T00:00:00"/>
    <x v="589"/>
    <x v="2"/>
    <x v="0"/>
    <n v="2"/>
    <n v="477.39"/>
    <n v="0.27"/>
    <x v="0"/>
    <x v="7"/>
    <n v="4.5999999999999996"/>
    <n v="696.99"/>
    <n v="696.98939999999993"/>
    <n v="23"/>
    <x v="11"/>
    <x v="2"/>
  </r>
  <r>
    <n v="11089"/>
    <d v="2024-12-24T00:00:00"/>
    <x v="619"/>
    <x v="1"/>
    <x v="3"/>
    <n v="2"/>
    <n v="551.02"/>
    <n v="0.16"/>
    <x v="1"/>
    <x v="9"/>
    <n v="2.9"/>
    <n v="925.71"/>
    <n v="925.71359999999993"/>
    <n v="24"/>
    <x v="11"/>
    <x v="2"/>
  </r>
  <r>
    <n v="11090"/>
    <d v="2024-12-25T00:00:00"/>
    <x v="644"/>
    <x v="1"/>
    <x v="0"/>
    <n v="3"/>
    <n v="242.19"/>
    <n v="0.25"/>
    <x v="2"/>
    <x v="2"/>
    <n v="3.4"/>
    <n v="544.92999999999995"/>
    <n v="544.92750000000001"/>
    <n v="25"/>
    <x v="11"/>
    <x v="2"/>
  </r>
  <r>
    <n v="11091"/>
    <d v="2024-12-26T00:00:00"/>
    <x v="196"/>
    <x v="0"/>
    <x v="0"/>
    <n v="6"/>
    <n v="363.9"/>
    <n v="0.24"/>
    <x v="2"/>
    <x v="5"/>
    <n v="4.7"/>
    <n v="1659.38"/>
    <n v="1659.3839999999998"/>
    <n v="26"/>
    <x v="11"/>
    <x v="2"/>
  </r>
  <r>
    <n v="11092"/>
    <d v="2024-12-27T00:00:00"/>
    <x v="503"/>
    <x v="1"/>
    <x v="2"/>
    <n v="7"/>
    <n v="307.91000000000003"/>
    <n v="0.05"/>
    <x v="1"/>
    <x v="5"/>
    <n v="2.9"/>
    <n v="2047.6"/>
    <n v="2047.6015000000002"/>
    <n v="27"/>
    <x v="11"/>
    <x v="2"/>
  </r>
  <r>
    <n v="11093"/>
    <d v="2024-12-28T00:00:00"/>
    <x v="458"/>
    <x v="1"/>
    <x v="1"/>
    <n v="5"/>
    <n v="589.24"/>
    <n v="0.05"/>
    <x v="1"/>
    <x v="9"/>
    <n v="2.6"/>
    <n v="2798.89"/>
    <n v="2798.89"/>
    <n v="28"/>
    <x v="11"/>
    <x v="2"/>
  </r>
  <r>
    <n v="11094"/>
    <d v="2024-12-29T00:00:00"/>
    <x v="0"/>
    <x v="2"/>
    <x v="0"/>
    <n v="5"/>
    <n v="501.18"/>
    <n v="0.26"/>
    <x v="2"/>
    <x v="9"/>
    <n v="4.5999999999999996"/>
    <n v="1854.37"/>
    <n v="1854.366"/>
    <n v="29"/>
    <x v="11"/>
    <x v="2"/>
  </r>
  <r>
    <n v="11095"/>
    <d v="2024-12-30T00:00:00"/>
    <x v="314"/>
    <x v="2"/>
    <x v="1"/>
    <n v="4"/>
    <n v="548.37"/>
    <n v="0.25"/>
    <x v="0"/>
    <x v="3"/>
    <n v="4.5999999999999996"/>
    <n v="1645.11"/>
    <n v="1645.1100000000001"/>
    <n v="30"/>
    <x v="11"/>
    <x v="2"/>
  </r>
  <r>
    <n v="11096"/>
    <d v="2024-12-31T00:00:00"/>
    <x v="452"/>
    <x v="1"/>
    <x v="3"/>
    <n v="4"/>
    <n v="163.79"/>
    <n v="0.13"/>
    <x v="1"/>
    <x v="10"/>
    <n v="2.4"/>
    <n v="569.99"/>
    <n v="569.98919999999998"/>
    <n v="31"/>
    <x v="11"/>
    <x v="2"/>
  </r>
  <r>
    <n v="11097"/>
    <d v="2025-01-01T00:00:00"/>
    <x v="116"/>
    <x v="1"/>
    <x v="2"/>
    <n v="7"/>
    <n v="466.93"/>
    <n v="0.03"/>
    <x v="2"/>
    <x v="10"/>
    <n v="3.4"/>
    <n v="3170.45"/>
    <n v="3170.4547000000002"/>
    <n v="1"/>
    <x v="0"/>
    <x v="3"/>
  </r>
  <r>
    <n v="11098"/>
    <d v="2025-01-02T00:00:00"/>
    <x v="645"/>
    <x v="3"/>
    <x v="1"/>
    <n v="4"/>
    <n v="170.3"/>
    <n v="0"/>
    <x v="0"/>
    <x v="5"/>
    <n v="4.9000000000000004"/>
    <n v="681.2"/>
    <n v="681.2"/>
    <n v="2"/>
    <x v="0"/>
    <x v="3"/>
  </r>
  <r>
    <n v="11099"/>
    <d v="2025-01-03T00:00:00"/>
    <x v="26"/>
    <x v="2"/>
    <x v="2"/>
    <n v="6"/>
    <n v="137.11000000000001"/>
    <n v="0.1"/>
    <x v="1"/>
    <x v="5"/>
    <n v="1.2"/>
    <n v="740.39"/>
    <n v="740.39400000000001"/>
    <n v="3"/>
    <x v="0"/>
    <x v="3"/>
  </r>
  <r>
    <n v="11100"/>
    <d v="2025-01-04T00:00:00"/>
    <x v="638"/>
    <x v="2"/>
    <x v="0"/>
    <n v="1"/>
    <n v="567.4"/>
    <n v="0"/>
    <x v="1"/>
    <x v="0"/>
    <n v="1.2"/>
    <n v="567.4"/>
    <n v="567.4"/>
    <n v="4"/>
    <x v="0"/>
    <x v="3"/>
  </r>
  <r>
    <n v="11101"/>
    <d v="2025-01-05T00:00:00"/>
    <x v="646"/>
    <x v="1"/>
    <x v="3"/>
    <n v="4"/>
    <n v="26.29"/>
    <n v="0.08"/>
    <x v="2"/>
    <x v="4"/>
    <n v="3.1"/>
    <n v="96.75"/>
    <n v="96.747199999999992"/>
    <n v="5"/>
    <x v="0"/>
    <x v="3"/>
  </r>
  <r>
    <n v="11102"/>
    <d v="2025-01-06T00:00:00"/>
    <x v="647"/>
    <x v="2"/>
    <x v="2"/>
    <n v="2"/>
    <n v="579.75"/>
    <n v="0.15"/>
    <x v="1"/>
    <x v="5"/>
    <n v="2.2000000000000002"/>
    <n v="985.58"/>
    <n v="985.57500000000005"/>
    <n v="6"/>
    <x v="0"/>
    <x v="3"/>
  </r>
  <r>
    <n v="11103"/>
    <d v="2025-01-07T00:00:00"/>
    <x v="201"/>
    <x v="2"/>
    <x v="0"/>
    <n v="4"/>
    <n v="102.32"/>
    <n v="0.04"/>
    <x v="1"/>
    <x v="7"/>
    <n v="3.3"/>
    <n v="392.91"/>
    <n v="392.90879999999999"/>
    <n v="7"/>
    <x v="0"/>
    <x v="3"/>
  </r>
  <r>
    <n v="11104"/>
    <d v="2025-01-08T00:00:00"/>
    <x v="648"/>
    <x v="3"/>
    <x v="1"/>
    <n v="2"/>
    <n v="494.37"/>
    <n v="0.04"/>
    <x v="1"/>
    <x v="6"/>
    <n v="3.9"/>
    <n v="949.19"/>
    <n v="949.19039999999995"/>
    <n v="8"/>
    <x v="0"/>
    <x v="3"/>
  </r>
  <r>
    <n v="11105"/>
    <d v="2025-01-09T00:00:00"/>
    <x v="649"/>
    <x v="2"/>
    <x v="3"/>
    <n v="3"/>
    <n v="176.41"/>
    <n v="0.31"/>
    <x v="1"/>
    <x v="4"/>
    <n v="1.3"/>
    <n v="365.17"/>
    <n v="365.1687"/>
    <n v="9"/>
    <x v="0"/>
    <x v="3"/>
  </r>
  <r>
    <n v="11106"/>
    <d v="2025-01-10T00:00:00"/>
    <x v="458"/>
    <x v="1"/>
    <x v="3"/>
    <n v="1"/>
    <n v="220.16"/>
    <n v="0.2"/>
    <x v="0"/>
    <x v="4"/>
    <n v="4.5"/>
    <n v="176.13"/>
    <n v="176.12799999999999"/>
    <n v="10"/>
    <x v="0"/>
    <x v="3"/>
  </r>
  <r>
    <n v="11107"/>
    <d v="2025-01-11T00:00:00"/>
    <x v="453"/>
    <x v="2"/>
    <x v="1"/>
    <n v="1"/>
    <n v="141.80000000000001"/>
    <n v="0.33"/>
    <x v="2"/>
    <x v="9"/>
    <n v="2.1"/>
    <n v="95.01"/>
    <n v="95.006"/>
    <n v="11"/>
    <x v="0"/>
    <x v="3"/>
  </r>
  <r>
    <n v="11108"/>
    <d v="2025-01-12T00:00:00"/>
    <x v="650"/>
    <x v="2"/>
    <x v="1"/>
    <n v="7"/>
    <n v="357.53"/>
    <n v="0.12"/>
    <x v="1"/>
    <x v="5"/>
    <n v="2.5"/>
    <n v="2202.38"/>
    <n v="2202.3847999999998"/>
    <n v="12"/>
    <x v="0"/>
    <x v="3"/>
  </r>
  <r>
    <n v="11109"/>
    <d v="2025-01-13T00:00:00"/>
    <x v="651"/>
    <x v="1"/>
    <x v="3"/>
    <n v="6"/>
    <n v="218.64"/>
    <n v="0.24"/>
    <x v="2"/>
    <x v="7"/>
    <n v="2.2999999999999998"/>
    <n v="997"/>
    <n v="996.99839999999995"/>
    <n v="13"/>
    <x v="0"/>
    <x v="3"/>
  </r>
  <r>
    <n v="11110"/>
    <d v="2025-01-14T00:00:00"/>
    <x v="652"/>
    <x v="3"/>
    <x v="2"/>
    <n v="6"/>
    <n v="399.57"/>
    <n v="7.0000000000000007E-2"/>
    <x v="0"/>
    <x v="2"/>
    <n v="4.4000000000000004"/>
    <n v="2229.6"/>
    <n v="2229.6006000000002"/>
    <n v="14"/>
    <x v="0"/>
    <x v="3"/>
  </r>
  <r>
    <n v="11111"/>
    <d v="2025-01-15T00:00:00"/>
    <x v="653"/>
    <x v="1"/>
    <x v="3"/>
    <n v="5"/>
    <n v="24.15"/>
    <n v="0.22"/>
    <x v="1"/>
    <x v="7"/>
    <n v="1.7"/>
    <n v="94.18"/>
    <n v="94.185000000000002"/>
    <n v="15"/>
    <x v="0"/>
    <x v="3"/>
  </r>
  <r>
    <n v="11112"/>
    <d v="2025-01-16T00:00:00"/>
    <x v="346"/>
    <x v="3"/>
    <x v="1"/>
    <n v="3"/>
    <n v="52.66"/>
    <n v="0.05"/>
    <x v="1"/>
    <x v="3"/>
    <n v="1.1000000000000001"/>
    <n v="150.08000000000001"/>
    <n v="150.08099999999999"/>
    <n v="16"/>
    <x v="0"/>
    <x v="3"/>
  </r>
  <r>
    <n v="11113"/>
    <d v="2025-01-17T00:00:00"/>
    <x v="654"/>
    <x v="2"/>
    <x v="2"/>
    <n v="7"/>
    <n v="73.3"/>
    <n v="0"/>
    <x v="0"/>
    <x v="7"/>
    <n v="4.9000000000000004"/>
    <n v="513.1"/>
    <n v="513.1"/>
    <n v="17"/>
    <x v="0"/>
    <x v="3"/>
  </r>
  <r>
    <n v="11114"/>
    <d v="2025-01-18T00:00:00"/>
    <x v="648"/>
    <x v="3"/>
    <x v="0"/>
    <n v="6"/>
    <n v="260.11"/>
    <n v="0.33"/>
    <x v="0"/>
    <x v="2"/>
    <n v="4.9000000000000004"/>
    <n v="1045.6400000000001"/>
    <n v="1045.6422"/>
    <n v="18"/>
    <x v="0"/>
    <x v="3"/>
  </r>
  <r>
    <n v="11115"/>
    <d v="2025-01-19T00:00:00"/>
    <x v="655"/>
    <x v="2"/>
    <x v="3"/>
    <n v="2"/>
    <n v="491.66"/>
    <n v="0.19"/>
    <x v="1"/>
    <x v="7"/>
    <n v="2"/>
    <n v="796.49"/>
    <n v="796.48919999999998"/>
    <n v="19"/>
    <x v="0"/>
    <x v="3"/>
  </r>
  <r>
    <n v="11116"/>
    <d v="2025-01-20T00:00:00"/>
    <x v="386"/>
    <x v="3"/>
    <x v="1"/>
    <n v="3"/>
    <n v="534.58000000000004"/>
    <n v="0.32"/>
    <x v="1"/>
    <x v="7"/>
    <n v="1"/>
    <n v="1090.54"/>
    <n v="1090.5432000000001"/>
    <n v="20"/>
    <x v="0"/>
    <x v="3"/>
  </r>
  <r>
    <n v="11117"/>
    <d v="2025-01-21T00:00:00"/>
    <x v="87"/>
    <x v="1"/>
    <x v="0"/>
    <n v="1"/>
    <n v="158.21"/>
    <n v="0.12"/>
    <x v="1"/>
    <x v="6"/>
    <n v="3.6"/>
    <n v="139.22"/>
    <n v="139.22480000000002"/>
    <n v="21"/>
    <x v="0"/>
    <x v="3"/>
  </r>
  <r>
    <n v="11118"/>
    <d v="2025-01-22T00:00:00"/>
    <x v="50"/>
    <x v="0"/>
    <x v="3"/>
    <n v="2"/>
    <n v="351.01"/>
    <n v="0.11"/>
    <x v="1"/>
    <x v="0"/>
    <n v="3.6"/>
    <n v="624.79999999999995"/>
    <n v="624.79779999999994"/>
    <n v="22"/>
    <x v="0"/>
    <x v="3"/>
  </r>
  <r>
    <n v="11119"/>
    <d v="2025-01-23T00:00:00"/>
    <x v="81"/>
    <x v="1"/>
    <x v="3"/>
    <n v="7"/>
    <n v="464.49"/>
    <n v="0.14000000000000001"/>
    <x v="2"/>
    <x v="5"/>
    <n v="4.8"/>
    <n v="2796.23"/>
    <n v="2796.2298000000001"/>
    <n v="23"/>
    <x v="0"/>
    <x v="3"/>
  </r>
  <r>
    <n v="11120"/>
    <d v="2025-01-24T00:00:00"/>
    <x v="543"/>
    <x v="2"/>
    <x v="2"/>
    <n v="7"/>
    <n v="183.97"/>
    <n v="0.25"/>
    <x v="1"/>
    <x v="5"/>
    <n v="2.2000000000000002"/>
    <n v="965.84"/>
    <n v="965.84249999999997"/>
    <n v="24"/>
    <x v="0"/>
    <x v="3"/>
  </r>
  <r>
    <n v="11121"/>
    <d v="2025-01-25T00:00:00"/>
    <x v="656"/>
    <x v="2"/>
    <x v="1"/>
    <n v="3"/>
    <n v="254.27"/>
    <n v="0.2"/>
    <x v="1"/>
    <x v="9"/>
    <n v="1.8"/>
    <n v="610.25"/>
    <n v="610.24800000000005"/>
    <n v="25"/>
    <x v="0"/>
    <x v="3"/>
  </r>
  <r>
    <n v="11122"/>
    <d v="2025-01-26T00:00:00"/>
    <x v="184"/>
    <x v="3"/>
    <x v="0"/>
    <n v="1"/>
    <n v="321.52"/>
    <n v="0.32"/>
    <x v="2"/>
    <x v="1"/>
    <n v="3.5"/>
    <n v="218.63"/>
    <n v="218.6336"/>
    <n v="26"/>
    <x v="0"/>
    <x v="3"/>
  </r>
  <r>
    <n v="11123"/>
    <d v="2025-01-27T00:00:00"/>
    <x v="657"/>
    <x v="1"/>
    <x v="3"/>
    <n v="6"/>
    <n v="93.9"/>
    <n v="0.01"/>
    <x v="0"/>
    <x v="7"/>
    <n v="3.3"/>
    <n v="557.77"/>
    <n v="557.76600000000008"/>
    <n v="27"/>
    <x v="0"/>
    <x v="3"/>
  </r>
  <r>
    <n v="11124"/>
    <d v="2025-01-28T00:00:00"/>
    <x v="252"/>
    <x v="3"/>
    <x v="2"/>
    <n v="2"/>
    <n v="30.2"/>
    <n v="0.25"/>
    <x v="1"/>
    <x v="6"/>
    <n v="3.9"/>
    <n v="45.3"/>
    <n v="45.3"/>
    <n v="28"/>
    <x v="0"/>
    <x v="3"/>
  </r>
  <r>
    <n v="11125"/>
    <d v="2025-01-29T00:00:00"/>
    <x v="254"/>
    <x v="2"/>
    <x v="0"/>
    <n v="2"/>
    <n v="104.39"/>
    <n v="0.12"/>
    <x v="1"/>
    <x v="10"/>
    <n v="4.5"/>
    <n v="183.73"/>
    <n v="183.72640000000001"/>
    <n v="29"/>
    <x v="0"/>
    <x v="3"/>
  </r>
  <r>
    <n v="11126"/>
    <d v="2025-01-30T00:00:00"/>
    <x v="594"/>
    <x v="2"/>
    <x v="0"/>
    <n v="1"/>
    <n v="381.71"/>
    <n v="0.06"/>
    <x v="0"/>
    <x v="10"/>
    <n v="3.2"/>
    <n v="358.81"/>
    <n v="358.80739999999997"/>
    <n v="30"/>
    <x v="0"/>
    <x v="3"/>
  </r>
  <r>
    <n v="11127"/>
    <d v="2025-01-31T00:00:00"/>
    <x v="381"/>
    <x v="2"/>
    <x v="3"/>
    <n v="2"/>
    <n v="58.07"/>
    <n v="0.18"/>
    <x v="2"/>
    <x v="2"/>
    <n v="1.6"/>
    <n v="95.23"/>
    <n v="95.234800000000007"/>
    <n v="31"/>
    <x v="0"/>
    <x v="3"/>
  </r>
  <r>
    <n v="11128"/>
    <d v="2025-02-01T00:00:00"/>
    <x v="579"/>
    <x v="0"/>
    <x v="0"/>
    <n v="6"/>
    <n v="125.97"/>
    <n v="0.18"/>
    <x v="1"/>
    <x v="8"/>
    <n v="3.4"/>
    <n v="619.77"/>
    <n v="619.77239999999995"/>
    <n v="1"/>
    <x v="1"/>
    <x v="3"/>
  </r>
  <r>
    <n v="11129"/>
    <d v="2025-02-02T00:00:00"/>
    <x v="316"/>
    <x v="3"/>
    <x v="3"/>
    <n v="6"/>
    <n v="212.64"/>
    <n v="0.05"/>
    <x v="1"/>
    <x v="6"/>
    <n v="2.5"/>
    <n v="1212.05"/>
    <n v="1212.048"/>
    <n v="2"/>
    <x v="1"/>
    <x v="3"/>
  </r>
  <r>
    <n v="11130"/>
    <d v="2025-02-03T00:00:00"/>
    <x v="654"/>
    <x v="0"/>
    <x v="2"/>
    <n v="6"/>
    <n v="60.55"/>
    <n v="7.0000000000000007E-2"/>
    <x v="1"/>
    <x v="0"/>
    <n v="2.8"/>
    <n v="337.87"/>
    <n v="337.86899999999997"/>
    <n v="3"/>
    <x v="1"/>
    <x v="3"/>
  </r>
  <r>
    <n v="11131"/>
    <d v="2025-02-04T00:00:00"/>
    <x v="462"/>
    <x v="2"/>
    <x v="2"/>
    <n v="1"/>
    <n v="127.14"/>
    <n v="0.14000000000000001"/>
    <x v="2"/>
    <x v="5"/>
    <n v="4.8"/>
    <n v="109.34"/>
    <n v="109.3404"/>
    <n v="4"/>
    <x v="1"/>
    <x v="3"/>
  </r>
  <r>
    <n v="11132"/>
    <d v="2025-02-05T00:00:00"/>
    <x v="658"/>
    <x v="1"/>
    <x v="0"/>
    <n v="4"/>
    <n v="548.09"/>
    <n v="0.14000000000000001"/>
    <x v="1"/>
    <x v="5"/>
    <n v="3.2"/>
    <n v="1885.43"/>
    <n v="1885.4296000000002"/>
    <n v="5"/>
    <x v="1"/>
    <x v="3"/>
  </r>
  <r>
    <n v="11133"/>
    <d v="2025-02-06T00:00:00"/>
    <x v="418"/>
    <x v="3"/>
    <x v="3"/>
    <n v="4"/>
    <n v="26.29"/>
    <n v="0.11"/>
    <x v="1"/>
    <x v="1"/>
    <n v="1.6"/>
    <n v="93.59"/>
    <n v="93.592399999999998"/>
    <n v="6"/>
    <x v="1"/>
    <x v="3"/>
  </r>
  <r>
    <n v="11134"/>
    <d v="2025-02-07T00:00:00"/>
    <x v="112"/>
    <x v="2"/>
    <x v="1"/>
    <n v="7"/>
    <n v="397.26"/>
    <n v="0.05"/>
    <x v="1"/>
    <x v="7"/>
    <n v="2.8"/>
    <n v="2641.78"/>
    <n v="2641.7789999999995"/>
    <n v="7"/>
    <x v="1"/>
    <x v="3"/>
  </r>
  <r>
    <n v="11135"/>
    <d v="2025-02-08T00:00:00"/>
    <x v="612"/>
    <x v="3"/>
    <x v="2"/>
    <n v="7"/>
    <n v="239.88"/>
    <n v="0"/>
    <x v="1"/>
    <x v="4"/>
    <n v="1.9"/>
    <n v="1679.16"/>
    <n v="1679.1599999999999"/>
    <n v="8"/>
    <x v="1"/>
    <x v="3"/>
  </r>
  <r>
    <n v="11136"/>
    <d v="2025-02-09T00:00:00"/>
    <x v="659"/>
    <x v="0"/>
    <x v="3"/>
    <n v="2"/>
    <n v="408.5"/>
    <n v="0.34"/>
    <x v="2"/>
    <x v="6"/>
    <n v="1.5"/>
    <n v="539.22"/>
    <n v="539.22"/>
    <n v="9"/>
    <x v="1"/>
    <x v="3"/>
  </r>
  <r>
    <n v="11137"/>
    <d v="2025-02-10T00:00:00"/>
    <x v="573"/>
    <x v="0"/>
    <x v="3"/>
    <n v="6"/>
    <n v="359.38"/>
    <n v="0.33"/>
    <x v="1"/>
    <x v="8"/>
    <n v="3.8"/>
    <n v="1444.71"/>
    <n v="1444.7075999999997"/>
    <n v="10"/>
    <x v="1"/>
    <x v="3"/>
  </r>
  <r>
    <n v="11138"/>
    <d v="2025-02-11T00:00:00"/>
    <x v="660"/>
    <x v="3"/>
    <x v="3"/>
    <n v="2"/>
    <n v="145.75"/>
    <n v="0.17"/>
    <x v="1"/>
    <x v="0"/>
    <n v="3.5"/>
    <n v="241.94"/>
    <n v="241.94499999999999"/>
    <n v="11"/>
    <x v="1"/>
    <x v="3"/>
  </r>
  <r>
    <n v="11139"/>
    <d v="2025-02-12T00:00:00"/>
    <x v="489"/>
    <x v="2"/>
    <x v="0"/>
    <n v="1"/>
    <n v="510.62"/>
    <n v="0.35"/>
    <x v="0"/>
    <x v="8"/>
    <n v="3"/>
    <n v="331.9"/>
    <n v="331.90300000000002"/>
    <n v="12"/>
    <x v="1"/>
    <x v="3"/>
  </r>
  <r>
    <n v="11140"/>
    <d v="2025-02-13T00:00:00"/>
    <x v="263"/>
    <x v="2"/>
    <x v="1"/>
    <n v="2"/>
    <n v="302.79000000000002"/>
    <n v="0.24"/>
    <x v="2"/>
    <x v="3"/>
    <n v="2.7"/>
    <n v="460.24"/>
    <n v="460.24080000000004"/>
    <n v="13"/>
    <x v="1"/>
    <x v="3"/>
  </r>
  <r>
    <n v="11141"/>
    <d v="2025-02-14T00:00:00"/>
    <x v="593"/>
    <x v="0"/>
    <x v="0"/>
    <n v="5"/>
    <n v="496.18"/>
    <n v="0.02"/>
    <x v="1"/>
    <x v="6"/>
    <n v="2.2999999999999998"/>
    <n v="2431.2800000000002"/>
    <n v="2431.2820000000002"/>
    <n v="14"/>
    <x v="1"/>
    <x v="3"/>
  </r>
  <r>
    <n v="11142"/>
    <d v="2025-02-15T00:00:00"/>
    <x v="333"/>
    <x v="2"/>
    <x v="2"/>
    <n v="4"/>
    <n v="252.52"/>
    <n v="0.04"/>
    <x v="2"/>
    <x v="4"/>
    <n v="1.4"/>
    <n v="969.68"/>
    <n v="969.67680000000007"/>
    <n v="15"/>
    <x v="1"/>
    <x v="3"/>
  </r>
  <r>
    <n v="11143"/>
    <d v="2025-02-16T00:00:00"/>
    <x v="661"/>
    <x v="3"/>
    <x v="0"/>
    <n v="2"/>
    <n v="591.04"/>
    <n v="0.32"/>
    <x v="1"/>
    <x v="7"/>
    <n v="2.2000000000000002"/>
    <n v="803.81"/>
    <n v="803.81439999999998"/>
    <n v="16"/>
    <x v="1"/>
    <x v="3"/>
  </r>
  <r>
    <n v="11144"/>
    <d v="2025-02-17T00:00:00"/>
    <x v="507"/>
    <x v="3"/>
    <x v="3"/>
    <n v="2"/>
    <n v="465.74"/>
    <n v="0.22"/>
    <x v="2"/>
    <x v="3"/>
    <n v="4.4000000000000004"/>
    <n v="726.55"/>
    <n v="726.55439999999999"/>
    <n v="17"/>
    <x v="1"/>
    <x v="3"/>
  </r>
  <r>
    <n v="11145"/>
    <d v="2025-02-18T00:00:00"/>
    <x v="376"/>
    <x v="1"/>
    <x v="0"/>
    <n v="3"/>
    <n v="580.08000000000004"/>
    <n v="0.3"/>
    <x v="2"/>
    <x v="1"/>
    <n v="4.0999999999999996"/>
    <n v="1218.17"/>
    <n v="1218.1680000000001"/>
    <n v="18"/>
    <x v="1"/>
    <x v="3"/>
  </r>
  <r>
    <n v="11146"/>
    <d v="2025-02-19T00:00:00"/>
    <x v="662"/>
    <x v="0"/>
    <x v="3"/>
    <n v="2"/>
    <n v="315.88"/>
    <n v="0.31"/>
    <x v="2"/>
    <x v="9"/>
    <n v="4.9000000000000004"/>
    <n v="435.91"/>
    <n v="435.9144"/>
    <n v="19"/>
    <x v="1"/>
    <x v="3"/>
  </r>
  <r>
    <n v="11147"/>
    <d v="2025-02-20T00:00:00"/>
    <x v="663"/>
    <x v="2"/>
    <x v="1"/>
    <n v="5"/>
    <n v="292.11"/>
    <n v="0.16"/>
    <x v="2"/>
    <x v="10"/>
    <n v="3.6"/>
    <n v="1226.8599999999999"/>
    <n v="1226.8620000000001"/>
    <n v="20"/>
    <x v="1"/>
    <x v="3"/>
  </r>
  <r>
    <n v="11148"/>
    <d v="2025-02-21T00:00:00"/>
    <x v="635"/>
    <x v="2"/>
    <x v="0"/>
    <n v="4"/>
    <n v="456.94"/>
    <n v="0.02"/>
    <x v="1"/>
    <x v="10"/>
    <n v="3.2"/>
    <n v="1791.2"/>
    <n v="1791.2048"/>
    <n v="21"/>
    <x v="1"/>
    <x v="3"/>
  </r>
  <r>
    <n v="11149"/>
    <d v="2025-02-22T00:00:00"/>
    <x v="593"/>
    <x v="2"/>
    <x v="0"/>
    <n v="3"/>
    <n v="529.97"/>
    <n v="7.0000000000000007E-2"/>
    <x v="2"/>
    <x v="9"/>
    <n v="2.2000000000000002"/>
    <n v="1478.62"/>
    <n v="1478.6163000000001"/>
    <n v="22"/>
    <x v="1"/>
    <x v="3"/>
  </r>
  <r>
    <n v="11150"/>
    <d v="2025-02-23T00:00:00"/>
    <x v="224"/>
    <x v="1"/>
    <x v="0"/>
    <n v="1"/>
    <n v="579.03"/>
    <n v="0.02"/>
    <x v="1"/>
    <x v="9"/>
    <n v="1.3"/>
    <n v="567.45000000000005"/>
    <n v="567.44939999999997"/>
    <n v="23"/>
    <x v="1"/>
    <x v="3"/>
  </r>
  <r>
    <n v="11151"/>
    <d v="2025-02-24T00:00:00"/>
    <x v="465"/>
    <x v="2"/>
    <x v="3"/>
    <n v="7"/>
    <n v="204.86"/>
    <n v="7.0000000000000007E-2"/>
    <x v="1"/>
    <x v="1"/>
    <n v="3.5"/>
    <n v="1333.64"/>
    <n v="1333.6386"/>
    <n v="24"/>
    <x v="1"/>
    <x v="3"/>
  </r>
  <r>
    <n v="11152"/>
    <d v="2025-02-25T00:00:00"/>
    <x v="664"/>
    <x v="2"/>
    <x v="3"/>
    <n v="1"/>
    <n v="482.24"/>
    <n v="0.14000000000000001"/>
    <x v="0"/>
    <x v="10"/>
    <n v="3"/>
    <n v="414.73"/>
    <n v="414.72640000000001"/>
    <n v="25"/>
    <x v="1"/>
    <x v="3"/>
  </r>
  <r>
    <n v="11153"/>
    <d v="2025-02-26T00:00:00"/>
    <x v="184"/>
    <x v="3"/>
    <x v="0"/>
    <n v="4"/>
    <n v="138.22999999999999"/>
    <n v="0.04"/>
    <x v="2"/>
    <x v="0"/>
    <n v="4"/>
    <n v="530.79999999999995"/>
    <n v="530.80319999999995"/>
    <n v="26"/>
    <x v="1"/>
    <x v="3"/>
  </r>
  <r>
    <n v="11154"/>
    <d v="2025-02-27T00:00:00"/>
    <x v="665"/>
    <x v="0"/>
    <x v="0"/>
    <n v="7"/>
    <n v="334.16"/>
    <n v="0.06"/>
    <x v="0"/>
    <x v="5"/>
    <n v="2.6"/>
    <n v="2198.77"/>
    <n v="2198.7728000000002"/>
    <n v="27"/>
    <x v="1"/>
    <x v="3"/>
  </r>
  <r>
    <n v="11155"/>
    <d v="2025-02-28T00:00:00"/>
    <x v="184"/>
    <x v="2"/>
    <x v="1"/>
    <n v="1"/>
    <n v="120.21"/>
    <n v="0.16"/>
    <x v="1"/>
    <x v="7"/>
    <n v="4.9000000000000004"/>
    <n v="100.98"/>
    <n v="100.9764"/>
    <n v="28"/>
    <x v="1"/>
    <x v="3"/>
  </r>
  <r>
    <n v="11156"/>
    <d v="2025-03-01T00:00:00"/>
    <x v="666"/>
    <x v="1"/>
    <x v="1"/>
    <n v="5"/>
    <n v="218.23"/>
    <n v="0.12"/>
    <x v="2"/>
    <x v="8"/>
    <n v="2.6"/>
    <n v="960.21"/>
    <n v="960.21199999999988"/>
    <n v="1"/>
    <x v="2"/>
    <x v="3"/>
  </r>
  <r>
    <n v="11157"/>
    <d v="2025-03-02T00:00:00"/>
    <x v="667"/>
    <x v="0"/>
    <x v="2"/>
    <n v="2"/>
    <n v="559.84"/>
    <n v="0.16"/>
    <x v="1"/>
    <x v="8"/>
    <n v="2.2999999999999998"/>
    <n v="940.53"/>
    <n v="940.53120000000001"/>
    <n v="2"/>
    <x v="2"/>
    <x v="3"/>
  </r>
  <r>
    <n v="11158"/>
    <d v="2025-03-03T00:00:00"/>
    <x v="331"/>
    <x v="2"/>
    <x v="1"/>
    <n v="4"/>
    <n v="100.46"/>
    <n v="0.15"/>
    <x v="2"/>
    <x v="6"/>
    <n v="4.5"/>
    <n v="341.56"/>
    <n v="341.56399999999996"/>
    <n v="3"/>
    <x v="2"/>
    <x v="3"/>
  </r>
  <r>
    <n v="11159"/>
    <d v="2025-03-04T00:00:00"/>
    <x v="179"/>
    <x v="2"/>
    <x v="1"/>
    <n v="7"/>
    <n v="384.95"/>
    <n v="0.23"/>
    <x v="1"/>
    <x v="8"/>
    <n v="2.6"/>
    <n v="2074.88"/>
    <n v="2074.8805000000002"/>
    <n v="4"/>
    <x v="2"/>
    <x v="3"/>
  </r>
  <r>
    <n v="11160"/>
    <d v="2025-03-05T00:00:00"/>
    <x v="331"/>
    <x v="2"/>
    <x v="1"/>
    <n v="3"/>
    <n v="361.88"/>
    <n v="0.33"/>
    <x v="1"/>
    <x v="3"/>
    <n v="4.5"/>
    <n v="727.38"/>
    <n v="727.37879999999984"/>
    <n v="5"/>
    <x v="2"/>
    <x v="3"/>
  </r>
  <r>
    <n v="11161"/>
    <d v="2025-03-06T00:00:00"/>
    <x v="668"/>
    <x v="1"/>
    <x v="3"/>
    <n v="2"/>
    <n v="85.63"/>
    <n v="0.04"/>
    <x v="1"/>
    <x v="3"/>
    <n v="1.1000000000000001"/>
    <n v="164.41"/>
    <n v="164.40959999999998"/>
    <n v="6"/>
    <x v="2"/>
    <x v="3"/>
  </r>
  <r>
    <n v="11162"/>
    <d v="2025-03-07T00:00:00"/>
    <x v="669"/>
    <x v="2"/>
    <x v="1"/>
    <n v="1"/>
    <n v="205.7"/>
    <n v="0.03"/>
    <x v="2"/>
    <x v="5"/>
    <n v="3.8"/>
    <n v="199.53"/>
    <n v="199.529"/>
    <n v="7"/>
    <x v="2"/>
    <x v="3"/>
  </r>
  <r>
    <n v="11163"/>
    <d v="2025-03-08T00:00:00"/>
    <x v="225"/>
    <x v="0"/>
    <x v="1"/>
    <n v="1"/>
    <n v="344.34"/>
    <n v="0.3"/>
    <x v="1"/>
    <x v="4"/>
    <n v="1.3"/>
    <n v="241.04"/>
    <n v="241.03799999999998"/>
    <n v="8"/>
    <x v="2"/>
    <x v="3"/>
  </r>
  <r>
    <n v="11164"/>
    <d v="2025-03-09T00:00:00"/>
    <x v="286"/>
    <x v="1"/>
    <x v="0"/>
    <n v="3"/>
    <n v="124.5"/>
    <n v="0.18"/>
    <x v="0"/>
    <x v="3"/>
    <n v="1.6"/>
    <n v="306.27"/>
    <n v="306.27"/>
    <n v="9"/>
    <x v="2"/>
    <x v="3"/>
  </r>
  <r>
    <n v="11165"/>
    <d v="2025-03-10T00:00:00"/>
    <x v="670"/>
    <x v="1"/>
    <x v="3"/>
    <n v="5"/>
    <n v="483.36"/>
    <n v="0.27"/>
    <x v="1"/>
    <x v="3"/>
    <n v="3.8"/>
    <n v="1764.26"/>
    <n v="1764.2640000000001"/>
    <n v="10"/>
    <x v="2"/>
    <x v="3"/>
  </r>
  <r>
    <n v="11166"/>
    <d v="2025-03-11T00:00:00"/>
    <x v="440"/>
    <x v="2"/>
    <x v="2"/>
    <n v="3"/>
    <n v="583.71"/>
    <n v="0.08"/>
    <x v="1"/>
    <x v="6"/>
    <n v="2.2000000000000002"/>
    <n v="1611.04"/>
    <n v="1611.0396000000001"/>
    <n v="11"/>
    <x v="2"/>
    <x v="3"/>
  </r>
  <r>
    <n v="11167"/>
    <d v="2025-03-12T00:00:00"/>
    <x v="407"/>
    <x v="1"/>
    <x v="2"/>
    <n v="4"/>
    <n v="140.63"/>
    <n v="0.28999999999999998"/>
    <x v="1"/>
    <x v="0"/>
    <n v="1.8"/>
    <n v="399.39"/>
    <n v="399.38919999999996"/>
    <n v="12"/>
    <x v="2"/>
    <x v="3"/>
  </r>
  <r>
    <n v="11168"/>
    <d v="2025-03-13T00:00:00"/>
    <x v="244"/>
    <x v="3"/>
    <x v="1"/>
    <n v="3"/>
    <n v="124.34"/>
    <n v="0.32"/>
    <x v="0"/>
    <x v="9"/>
    <n v="4.2"/>
    <n v="253.65"/>
    <n v="253.65359999999998"/>
    <n v="13"/>
    <x v="2"/>
    <x v="3"/>
  </r>
  <r>
    <n v="11169"/>
    <d v="2025-03-14T00:00:00"/>
    <x v="671"/>
    <x v="3"/>
    <x v="2"/>
    <n v="1"/>
    <n v="281.14"/>
    <n v="0.22"/>
    <x v="1"/>
    <x v="4"/>
    <n v="4.8"/>
    <n v="219.29"/>
    <n v="219.28919999999999"/>
    <n v="14"/>
    <x v="2"/>
    <x v="3"/>
  </r>
  <r>
    <n v="11170"/>
    <d v="2025-03-15T00:00:00"/>
    <x v="165"/>
    <x v="3"/>
    <x v="2"/>
    <n v="5"/>
    <n v="452.44"/>
    <n v="0.04"/>
    <x v="1"/>
    <x v="8"/>
    <n v="1.9"/>
    <n v="2171.71"/>
    <n v="2171.712"/>
    <n v="15"/>
    <x v="2"/>
    <x v="3"/>
  </r>
  <r>
    <n v="11171"/>
    <d v="2025-03-16T00:00:00"/>
    <x v="672"/>
    <x v="1"/>
    <x v="2"/>
    <n v="5"/>
    <n v="179.74"/>
    <n v="0.31"/>
    <x v="2"/>
    <x v="4"/>
    <n v="2.2999999999999998"/>
    <n v="620.1"/>
    <n v="620.10300000000007"/>
    <n v="16"/>
    <x v="2"/>
    <x v="3"/>
  </r>
  <r>
    <n v="11172"/>
    <d v="2025-03-17T00:00:00"/>
    <x v="431"/>
    <x v="0"/>
    <x v="1"/>
    <n v="6"/>
    <n v="26.63"/>
    <n v="0.28000000000000003"/>
    <x v="1"/>
    <x v="3"/>
    <n v="3.9"/>
    <n v="115.04"/>
    <n v="115.0416"/>
    <n v="17"/>
    <x v="2"/>
    <x v="3"/>
  </r>
  <r>
    <n v="11173"/>
    <d v="2025-03-18T00:00:00"/>
    <x v="42"/>
    <x v="3"/>
    <x v="2"/>
    <n v="3"/>
    <n v="331.61"/>
    <n v="0.26"/>
    <x v="2"/>
    <x v="2"/>
    <n v="4.3"/>
    <n v="736.17"/>
    <n v="736.17420000000004"/>
    <n v="18"/>
    <x v="2"/>
    <x v="3"/>
  </r>
  <r>
    <n v="11174"/>
    <d v="2025-03-19T00:00:00"/>
    <x v="347"/>
    <x v="3"/>
    <x v="1"/>
    <n v="4"/>
    <n v="574.61"/>
    <n v="0.01"/>
    <x v="1"/>
    <x v="7"/>
    <n v="5"/>
    <n v="2275.46"/>
    <n v="2275.4556000000002"/>
    <n v="19"/>
    <x v="2"/>
    <x v="3"/>
  </r>
  <r>
    <n v="11175"/>
    <d v="2025-03-20T00:00:00"/>
    <x v="673"/>
    <x v="2"/>
    <x v="0"/>
    <n v="1"/>
    <n v="243.9"/>
    <n v="0.28000000000000003"/>
    <x v="2"/>
    <x v="8"/>
    <n v="2.1"/>
    <n v="175.61"/>
    <n v="175.608"/>
    <n v="20"/>
    <x v="2"/>
    <x v="3"/>
  </r>
  <r>
    <n v="11176"/>
    <d v="2025-03-21T00:00:00"/>
    <x v="622"/>
    <x v="2"/>
    <x v="0"/>
    <n v="2"/>
    <n v="260.77999999999997"/>
    <n v="0.05"/>
    <x v="1"/>
    <x v="4"/>
    <n v="3.2"/>
    <n v="495.48"/>
    <n v="495.48199999999997"/>
    <n v="21"/>
    <x v="2"/>
    <x v="3"/>
  </r>
  <r>
    <n v="11177"/>
    <d v="2025-03-22T00:00:00"/>
    <x v="414"/>
    <x v="2"/>
    <x v="2"/>
    <n v="5"/>
    <n v="581.80999999999995"/>
    <n v="0.08"/>
    <x v="2"/>
    <x v="5"/>
    <n v="1.5"/>
    <n v="2676.33"/>
    <n v="2676.3259999999996"/>
    <n v="22"/>
    <x v="2"/>
    <x v="3"/>
  </r>
  <r>
    <n v="11178"/>
    <d v="2025-03-23T00:00:00"/>
    <x v="441"/>
    <x v="3"/>
    <x v="0"/>
    <n v="3"/>
    <n v="421.35"/>
    <n v="0.2"/>
    <x v="2"/>
    <x v="7"/>
    <n v="2.2999999999999998"/>
    <n v="1011.24"/>
    <n v="1011.2400000000001"/>
    <n v="23"/>
    <x v="2"/>
    <x v="3"/>
  </r>
  <r>
    <n v="11179"/>
    <d v="2025-03-24T00:00:00"/>
    <x v="624"/>
    <x v="1"/>
    <x v="1"/>
    <n v="6"/>
    <n v="435.72"/>
    <n v="0.09"/>
    <x v="2"/>
    <x v="10"/>
    <n v="1.2"/>
    <n v="2379.0300000000002"/>
    <n v="2379.0312000000004"/>
    <n v="24"/>
    <x v="2"/>
    <x v="3"/>
  </r>
  <r>
    <n v="11180"/>
    <d v="2025-03-25T00:00:00"/>
    <x v="227"/>
    <x v="1"/>
    <x v="0"/>
    <n v="4"/>
    <n v="344.18"/>
    <n v="0.23"/>
    <x v="2"/>
    <x v="1"/>
    <n v="1.8"/>
    <n v="1060.07"/>
    <n v="1060.0744"/>
    <n v="25"/>
    <x v="2"/>
    <x v="3"/>
  </r>
  <r>
    <n v="11181"/>
    <d v="2025-03-26T00:00:00"/>
    <x v="674"/>
    <x v="0"/>
    <x v="2"/>
    <n v="4"/>
    <n v="585.15"/>
    <n v="0.21"/>
    <x v="0"/>
    <x v="10"/>
    <n v="3"/>
    <n v="1849.07"/>
    <n v="1849.0740000000001"/>
    <n v="26"/>
    <x v="2"/>
    <x v="3"/>
  </r>
  <r>
    <n v="11182"/>
    <d v="2025-03-27T00:00:00"/>
    <x v="68"/>
    <x v="0"/>
    <x v="1"/>
    <n v="7"/>
    <n v="417.99"/>
    <n v="0.04"/>
    <x v="1"/>
    <x v="3"/>
    <n v="1.7"/>
    <n v="2808.89"/>
    <n v="2808.8928000000001"/>
    <n v="27"/>
    <x v="2"/>
    <x v="3"/>
  </r>
  <r>
    <n v="11183"/>
    <d v="2025-03-28T00:00:00"/>
    <x v="354"/>
    <x v="0"/>
    <x v="3"/>
    <n v="1"/>
    <n v="538.59"/>
    <n v="0.23"/>
    <x v="1"/>
    <x v="0"/>
    <n v="4.5999999999999996"/>
    <n v="414.71"/>
    <n v="414.71430000000004"/>
    <n v="28"/>
    <x v="2"/>
    <x v="3"/>
  </r>
  <r>
    <n v="11184"/>
    <d v="2025-03-29T00:00:00"/>
    <x v="658"/>
    <x v="2"/>
    <x v="1"/>
    <n v="5"/>
    <n v="424.14"/>
    <n v="0.32"/>
    <x v="2"/>
    <x v="6"/>
    <n v="3.8"/>
    <n v="1442.08"/>
    <n v="1442.076"/>
    <n v="29"/>
    <x v="2"/>
    <x v="3"/>
  </r>
  <r>
    <n v="11185"/>
    <d v="2025-03-30T00:00:00"/>
    <x v="675"/>
    <x v="3"/>
    <x v="0"/>
    <n v="1"/>
    <n v="445.04"/>
    <n v="0.06"/>
    <x v="2"/>
    <x v="4"/>
    <n v="1.1000000000000001"/>
    <n v="418.34"/>
    <n v="418.33760000000001"/>
    <n v="30"/>
    <x v="2"/>
    <x v="3"/>
  </r>
  <r>
    <n v="11186"/>
    <d v="2025-03-31T00:00:00"/>
    <x v="630"/>
    <x v="2"/>
    <x v="3"/>
    <n v="6"/>
    <n v="184.89"/>
    <n v="0.21"/>
    <x v="1"/>
    <x v="5"/>
    <n v="4.5"/>
    <n v="876.38"/>
    <n v="876.37860000000001"/>
    <n v="31"/>
    <x v="2"/>
    <x v="3"/>
  </r>
  <r>
    <n v="11187"/>
    <d v="2025-04-01T00:00:00"/>
    <x v="93"/>
    <x v="2"/>
    <x v="1"/>
    <n v="2"/>
    <n v="192.54"/>
    <n v="0.12"/>
    <x v="2"/>
    <x v="7"/>
    <n v="4.9000000000000004"/>
    <n v="338.87"/>
    <n v="338.87040000000002"/>
    <n v="1"/>
    <x v="3"/>
    <x v="3"/>
  </r>
  <r>
    <n v="11188"/>
    <d v="2025-04-02T00:00:00"/>
    <x v="123"/>
    <x v="2"/>
    <x v="3"/>
    <n v="2"/>
    <n v="473.05"/>
    <n v="0.16"/>
    <x v="1"/>
    <x v="9"/>
    <n v="3"/>
    <n v="794.72"/>
    <n v="794.72400000000005"/>
    <n v="2"/>
    <x v="3"/>
    <x v="3"/>
  </r>
  <r>
    <n v="11189"/>
    <d v="2025-04-03T00:00:00"/>
    <x v="603"/>
    <x v="2"/>
    <x v="3"/>
    <n v="2"/>
    <n v="188.57"/>
    <n v="0.1"/>
    <x v="2"/>
    <x v="2"/>
    <n v="2.2999999999999998"/>
    <n v="339.43"/>
    <n v="339.42599999999999"/>
    <n v="3"/>
    <x v="3"/>
    <x v="3"/>
  </r>
  <r>
    <n v="11190"/>
    <d v="2025-04-04T00:00:00"/>
    <x v="676"/>
    <x v="1"/>
    <x v="3"/>
    <n v="4"/>
    <n v="344.22"/>
    <n v="0.12"/>
    <x v="0"/>
    <x v="8"/>
    <n v="2.1"/>
    <n v="1211.6500000000001"/>
    <n v="1211.6544000000001"/>
    <n v="4"/>
    <x v="3"/>
    <x v="3"/>
  </r>
  <r>
    <n v="11191"/>
    <d v="2025-04-05T00:00:00"/>
    <x v="677"/>
    <x v="3"/>
    <x v="1"/>
    <n v="5"/>
    <n v="160.87"/>
    <n v="0.01"/>
    <x v="2"/>
    <x v="9"/>
    <n v="1.3"/>
    <n v="796.31"/>
    <n v="796.30650000000003"/>
    <n v="5"/>
    <x v="3"/>
    <x v="3"/>
  </r>
  <r>
    <n v="11192"/>
    <d v="2025-04-06T00:00:00"/>
    <x v="652"/>
    <x v="2"/>
    <x v="0"/>
    <n v="1"/>
    <n v="492.94"/>
    <n v="0.34"/>
    <x v="1"/>
    <x v="6"/>
    <n v="3"/>
    <n v="325.33999999999997"/>
    <n v="325.34039999999999"/>
    <n v="6"/>
    <x v="3"/>
    <x v="3"/>
  </r>
  <r>
    <n v="11193"/>
    <d v="2025-04-07T00:00:00"/>
    <x v="422"/>
    <x v="3"/>
    <x v="1"/>
    <n v="1"/>
    <n v="79.64"/>
    <n v="0.22"/>
    <x v="2"/>
    <x v="4"/>
    <n v="1.2"/>
    <n v="62.12"/>
    <n v="62.119199999999999"/>
    <n v="7"/>
    <x v="3"/>
    <x v="3"/>
  </r>
  <r>
    <n v="11194"/>
    <d v="2025-04-08T00:00:00"/>
    <x v="678"/>
    <x v="1"/>
    <x v="0"/>
    <n v="6"/>
    <n v="500.23"/>
    <n v="0.18"/>
    <x v="2"/>
    <x v="10"/>
    <n v="3"/>
    <n v="2461.13"/>
    <n v="2461.1316000000002"/>
    <n v="8"/>
    <x v="3"/>
    <x v="3"/>
  </r>
  <r>
    <n v="11195"/>
    <d v="2025-04-09T00:00:00"/>
    <x v="679"/>
    <x v="2"/>
    <x v="1"/>
    <n v="2"/>
    <n v="367.6"/>
    <n v="0.13"/>
    <x v="1"/>
    <x v="1"/>
    <n v="2"/>
    <n v="639.62"/>
    <n v="639.62400000000002"/>
    <n v="9"/>
    <x v="3"/>
    <x v="3"/>
  </r>
  <r>
    <n v="11196"/>
    <d v="2025-04-10T00:00:00"/>
    <x v="618"/>
    <x v="1"/>
    <x v="1"/>
    <n v="5"/>
    <n v="124.34"/>
    <n v="0.19"/>
    <x v="2"/>
    <x v="7"/>
    <n v="2.9"/>
    <n v="503.58"/>
    <n v="503.57700000000006"/>
    <n v="10"/>
    <x v="3"/>
    <x v="3"/>
  </r>
  <r>
    <n v="11197"/>
    <d v="2025-04-11T00:00:00"/>
    <x v="680"/>
    <x v="2"/>
    <x v="1"/>
    <n v="5"/>
    <n v="332.09"/>
    <n v="0.13"/>
    <x v="0"/>
    <x v="8"/>
    <n v="2.7"/>
    <n v="1444.59"/>
    <n v="1444.5914999999998"/>
    <n v="11"/>
    <x v="3"/>
    <x v="3"/>
  </r>
  <r>
    <n v="11198"/>
    <d v="2025-04-12T00:00:00"/>
    <x v="421"/>
    <x v="1"/>
    <x v="0"/>
    <n v="6"/>
    <n v="180.26"/>
    <n v="0.13"/>
    <x v="1"/>
    <x v="0"/>
    <n v="2.2000000000000002"/>
    <n v="940.96"/>
    <n v="940.95719999999994"/>
    <n v="12"/>
    <x v="3"/>
    <x v="3"/>
  </r>
  <r>
    <n v="11199"/>
    <d v="2025-04-13T00:00:00"/>
    <x v="4"/>
    <x v="1"/>
    <x v="1"/>
    <n v="3"/>
    <n v="204.23"/>
    <n v="0.16"/>
    <x v="1"/>
    <x v="8"/>
    <n v="2.8"/>
    <n v="514.66"/>
    <n v="514.65959999999995"/>
    <n v="13"/>
    <x v="3"/>
    <x v="3"/>
  </r>
  <r>
    <n v="11200"/>
    <d v="2025-04-14T00:00:00"/>
    <x v="429"/>
    <x v="2"/>
    <x v="3"/>
    <n v="5"/>
    <n v="220.64"/>
    <n v="0.1"/>
    <x v="1"/>
    <x v="9"/>
    <n v="2.9"/>
    <n v="992.88"/>
    <n v="992.87999999999988"/>
    <n v="14"/>
    <x v="3"/>
    <x v="3"/>
  </r>
  <r>
    <n v="11201"/>
    <d v="2025-04-15T00:00:00"/>
    <x v="149"/>
    <x v="2"/>
    <x v="1"/>
    <n v="5"/>
    <n v="52.04"/>
    <n v="0.06"/>
    <x v="2"/>
    <x v="9"/>
    <n v="4.3"/>
    <n v="244.59"/>
    <n v="244.58799999999999"/>
    <n v="15"/>
    <x v="3"/>
    <x v="3"/>
  </r>
  <r>
    <n v="11202"/>
    <d v="2025-04-16T00:00:00"/>
    <x v="681"/>
    <x v="1"/>
    <x v="3"/>
    <n v="1"/>
    <n v="591.79"/>
    <n v="0.19"/>
    <x v="0"/>
    <x v="2"/>
    <n v="3.7"/>
    <n v="479.35"/>
    <n v="479.34989999999993"/>
    <n v="16"/>
    <x v="3"/>
    <x v="3"/>
  </r>
  <r>
    <n v="11203"/>
    <d v="2025-04-17T00:00:00"/>
    <x v="682"/>
    <x v="0"/>
    <x v="2"/>
    <n v="6"/>
    <n v="33.450000000000003"/>
    <n v="0.28999999999999998"/>
    <x v="2"/>
    <x v="1"/>
    <n v="2.7"/>
    <n v="142.5"/>
    <n v="142.49700000000001"/>
    <n v="17"/>
    <x v="3"/>
    <x v="3"/>
  </r>
  <r>
    <n v="11204"/>
    <d v="2025-04-18T00:00:00"/>
    <x v="683"/>
    <x v="2"/>
    <x v="2"/>
    <n v="5"/>
    <n v="402.56"/>
    <n v="0.05"/>
    <x v="1"/>
    <x v="3"/>
    <n v="4.5999999999999996"/>
    <n v="1912.16"/>
    <n v="1912.1599999999999"/>
    <n v="18"/>
    <x v="3"/>
    <x v="3"/>
  </r>
  <r>
    <n v="11205"/>
    <d v="2025-04-19T00:00:00"/>
    <x v="567"/>
    <x v="3"/>
    <x v="0"/>
    <n v="5"/>
    <n v="232.17"/>
    <n v="0.01"/>
    <x v="2"/>
    <x v="4"/>
    <n v="4"/>
    <n v="1149.24"/>
    <n v="1149.2414999999999"/>
    <n v="19"/>
    <x v="3"/>
    <x v="3"/>
  </r>
  <r>
    <n v="11206"/>
    <d v="2025-04-20T00:00:00"/>
    <x v="684"/>
    <x v="3"/>
    <x v="0"/>
    <n v="1"/>
    <n v="392.92"/>
    <n v="0.09"/>
    <x v="2"/>
    <x v="1"/>
    <n v="1.3"/>
    <n v="357.56"/>
    <n v="357.55720000000002"/>
    <n v="20"/>
    <x v="3"/>
    <x v="3"/>
  </r>
  <r>
    <n v="11207"/>
    <d v="2025-04-21T00:00:00"/>
    <x v="598"/>
    <x v="0"/>
    <x v="2"/>
    <n v="5"/>
    <n v="223.41"/>
    <n v="0.34"/>
    <x v="2"/>
    <x v="4"/>
    <n v="1.6"/>
    <n v="737.25"/>
    <n v="737.25299999999993"/>
    <n v="21"/>
    <x v="3"/>
    <x v="3"/>
  </r>
  <r>
    <n v="11208"/>
    <d v="2025-04-22T00:00:00"/>
    <x v="237"/>
    <x v="3"/>
    <x v="1"/>
    <n v="1"/>
    <n v="409.14"/>
    <n v="0.28999999999999998"/>
    <x v="1"/>
    <x v="9"/>
    <n v="1.3"/>
    <n v="290.49"/>
    <n v="290.48939999999999"/>
    <n v="22"/>
    <x v="3"/>
    <x v="3"/>
  </r>
  <r>
    <n v="11209"/>
    <d v="2025-04-23T00:00:00"/>
    <x v="388"/>
    <x v="1"/>
    <x v="1"/>
    <n v="3"/>
    <n v="441.6"/>
    <n v="0.21"/>
    <x v="2"/>
    <x v="7"/>
    <n v="2.2999999999999998"/>
    <n v="1046.5899999999999"/>
    <n v="1046.5920000000001"/>
    <n v="23"/>
    <x v="3"/>
    <x v="3"/>
  </r>
  <r>
    <n v="11210"/>
    <d v="2025-04-24T00:00:00"/>
    <x v="35"/>
    <x v="3"/>
    <x v="1"/>
    <n v="4"/>
    <n v="418.97"/>
    <n v="0.33"/>
    <x v="1"/>
    <x v="1"/>
    <n v="2.7"/>
    <n v="1122.8399999999999"/>
    <n v="1122.8396"/>
    <n v="24"/>
    <x v="3"/>
    <x v="3"/>
  </r>
  <r>
    <n v="11211"/>
    <d v="2025-04-25T00:00:00"/>
    <x v="228"/>
    <x v="0"/>
    <x v="2"/>
    <n v="7"/>
    <n v="81.67"/>
    <n v="0.16"/>
    <x v="1"/>
    <x v="4"/>
    <n v="3"/>
    <n v="480.22"/>
    <n v="480.21960000000007"/>
    <n v="25"/>
    <x v="3"/>
    <x v="3"/>
  </r>
  <r>
    <n v="11212"/>
    <d v="2025-04-26T00:00:00"/>
    <x v="685"/>
    <x v="1"/>
    <x v="3"/>
    <n v="1"/>
    <n v="399.28"/>
    <n v="0.34"/>
    <x v="2"/>
    <x v="7"/>
    <n v="4.4000000000000004"/>
    <n v="263.52"/>
    <n v="263.52479999999997"/>
    <n v="26"/>
    <x v="3"/>
    <x v="3"/>
  </r>
  <r>
    <n v="11213"/>
    <d v="2025-04-27T00:00:00"/>
    <x v="642"/>
    <x v="2"/>
    <x v="0"/>
    <n v="1"/>
    <n v="178.79"/>
    <n v="0.1"/>
    <x v="0"/>
    <x v="3"/>
    <n v="1.1000000000000001"/>
    <n v="160.91"/>
    <n v="160.911"/>
    <n v="27"/>
    <x v="3"/>
    <x v="3"/>
  </r>
  <r>
    <n v="11214"/>
    <d v="2025-04-28T00:00:00"/>
    <x v="378"/>
    <x v="2"/>
    <x v="3"/>
    <n v="5"/>
    <n v="31.85"/>
    <n v="0.08"/>
    <x v="1"/>
    <x v="4"/>
    <n v="2.7"/>
    <n v="146.51"/>
    <n v="146.51"/>
    <n v="28"/>
    <x v="3"/>
    <x v="3"/>
  </r>
  <r>
    <n v="11215"/>
    <d v="2025-04-29T00:00:00"/>
    <x v="680"/>
    <x v="3"/>
    <x v="2"/>
    <n v="1"/>
    <n v="257.68"/>
    <n v="0.22"/>
    <x v="0"/>
    <x v="5"/>
    <n v="2.6"/>
    <n v="200.99"/>
    <n v="200.99040000000002"/>
    <n v="29"/>
    <x v="3"/>
    <x v="3"/>
  </r>
  <r>
    <n v="11216"/>
    <d v="2025-04-30T00:00:00"/>
    <x v="157"/>
    <x v="3"/>
    <x v="3"/>
    <n v="6"/>
    <n v="268.62"/>
    <n v="0.13"/>
    <x v="1"/>
    <x v="1"/>
    <n v="4.8"/>
    <n v="1402.2"/>
    <n v="1402.1964"/>
    <n v="30"/>
    <x v="3"/>
    <x v="3"/>
  </r>
  <r>
    <n v="11217"/>
    <d v="2025-05-01T00:00:00"/>
    <x v="592"/>
    <x v="2"/>
    <x v="1"/>
    <n v="2"/>
    <n v="288.3"/>
    <n v="0.22"/>
    <x v="2"/>
    <x v="6"/>
    <n v="2"/>
    <n v="449.75"/>
    <n v="449.74800000000005"/>
    <n v="1"/>
    <x v="4"/>
    <x v="3"/>
  </r>
  <r>
    <n v="11218"/>
    <d v="2025-05-02T00:00:00"/>
    <x v="435"/>
    <x v="1"/>
    <x v="1"/>
    <n v="2"/>
    <n v="427.32"/>
    <n v="0.11"/>
    <x v="1"/>
    <x v="4"/>
    <n v="1.5"/>
    <n v="760.63"/>
    <n v="760.62959999999998"/>
    <n v="2"/>
    <x v="4"/>
    <x v="3"/>
  </r>
  <r>
    <n v="11219"/>
    <d v="2025-05-03T00:00:00"/>
    <x v="142"/>
    <x v="1"/>
    <x v="3"/>
    <n v="3"/>
    <n v="195.67"/>
    <n v="0.22"/>
    <x v="1"/>
    <x v="0"/>
    <n v="1.6"/>
    <n v="457.87"/>
    <n v="457.86779999999999"/>
    <n v="3"/>
    <x v="4"/>
    <x v="3"/>
  </r>
  <r>
    <n v="11220"/>
    <d v="2025-05-04T00:00:00"/>
    <x v="364"/>
    <x v="2"/>
    <x v="2"/>
    <n v="1"/>
    <n v="199.44"/>
    <n v="0.1"/>
    <x v="2"/>
    <x v="10"/>
    <n v="3.1"/>
    <n v="179.5"/>
    <n v="179.49599999999998"/>
    <n v="4"/>
    <x v="4"/>
    <x v="3"/>
  </r>
  <r>
    <n v="11221"/>
    <d v="2025-05-05T00:00:00"/>
    <x v="630"/>
    <x v="0"/>
    <x v="3"/>
    <n v="6"/>
    <n v="50.42"/>
    <n v="0.02"/>
    <x v="2"/>
    <x v="1"/>
    <n v="2.6"/>
    <n v="296.47000000000003"/>
    <n v="296.46959999999996"/>
    <n v="5"/>
    <x v="4"/>
    <x v="3"/>
  </r>
  <r>
    <n v="11222"/>
    <d v="2025-05-06T00:00:00"/>
    <x v="686"/>
    <x v="2"/>
    <x v="1"/>
    <n v="5"/>
    <n v="416.79"/>
    <n v="0.32"/>
    <x v="2"/>
    <x v="2"/>
    <n v="4"/>
    <n v="1417.09"/>
    <n v="1417.0860000000002"/>
    <n v="6"/>
    <x v="4"/>
    <x v="3"/>
  </r>
  <r>
    <n v="11223"/>
    <d v="2025-05-07T00:00:00"/>
    <x v="27"/>
    <x v="2"/>
    <x v="1"/>
    <n v="5"/>
    <n v="347.18"/>
    <n v="0.31"/>
    <x v="2"/>
    <x v="1"/>
    <n v="2.2999999999999998"/>
    <n v="1197.77"/>
    <n v="1197.7710000000002"/>
    <n v="7"/>
    <x v="4"/>
    <x v="3"/>
  </r>
  <r>
    <n v="11224"/>
    <d v="2025-05-08T00:00:00"/>
    <x v="340"/>
    <x v="1"/>
    <x v="2"/>
    <n v="7"/>
    <n v="219.41"/>
    <n v="0.34"/>
    <x v="2"/>
    <x v="10"/>
    <n v="1.5"/>
    <n v="1013.67"/>
    <n v="1013.6741999999999"/>
    <n v="8"/>
    <x v="4"/>
    <x v="3"/>
  </r>
  <r>
    <n v="11225"/>
    <d v="2025-05-09T00:00:00"/>
    <x v="687"/>
    <x v="3"/>
    <x v="3"/>
    <n v="4"/>
    <n v="427.54"/>
    <n v="0.25"/>
    <x v="0"/>
    <x v="7"/>
    <n v="2.5"/>
    <n v="1282.6199999999999"/>
    <n v="1282.6200000000001"/>
    <n v="9"/>
    <x v="4"/>
    <x v="3"/>
  </r>
  <r>
    <n v="11226"/>
    <d v="2025-05-10T00:00:00"/>
    <x v="592"/>
    <x v="2"/>
    <x v="1"/>
    <n v="3"/>
    <n v="329.35"/>
    <n v="0.24"/>
    <x v="2"/>
    <x v="6"/>
    <n v="4.5"/>
    <n v="750.92"/>
    <n v="750.91800000000012"/>
    <n v="10"/>
    <x v="4"/>
    <x v="3"/>
  </r>
  <r>
    <n v="11227"/>
    <d v="2025-05-11T00:00:00"/>
    <x v="192"/>
    <x v="3"/>
    <x v="1"/>
    <n v="6"/>
    <n v="289.51"/>
    <n v="0.2"/>
    <x v="1"/>
    <x v="2"/>
    <n v="2.6"/>
    <n v="1389.65"/>
    <n v="1389.6479999999999"/>
    <n v="11"/>
    <x v="4"/>
    <x v="3"/>
  </r>
  <r>
    <n v="11228"/>
    <d v="2025-05-12T00:00:00"/>
    <x v="688"/>
    <x v="1"/>
    <x v="3"/>
    <n v="6"/>
    <n v="314.12"/>
    <n v="0.04"/>
    <x v="1"/>
    <x v="4"/>
    <n v="4.3"/>
    <n v="1809.33"/>
    <n v="1809.3312000000001"/>
    <n v="12"/>
    <x v="4"/>
    <x v="3"/>
  </r>
  <r>
    <n v="11229"/>
    <d v="2025-05-13T00:00:00"/>
    <x v="333"/>
    <x v="2"/>
    <x v="3"/>
    <n v="7"/>
    <n v="387.26"/>
    <n v="7.0000000000000007E-2"/>
    <x v="1"/>
    <x v="5"/>
    <n v="2.5"/>
    <n v="2521.06"/>
    <n v="2521.0625999999997"/>
    <n v="13"/>
    <x v="4"/>
    <x v="3"/>
  </r>
  <r>
    <n v="11230"/>
    <d v="2025-05-14T00:00:00"/>
    <x v="689"/>
    <x v="2"/>
    <x v="0"/>
    <n v="7"/>
    <n v="401.1"/>
    <n v="0.1"/>
    <x v="2"/>
    <x v="1"/>
    <n v="2.1"/>
    <n v="2526.9299999999998"/>
    <n v="2526.9300000000003"/>
    <n v="14"/>
    <x v="4"/>
    <x v="3"/>
  </r>
  <r>
    <n v="11231"/>
    <d v="2025-05-15T00:00:00"/>
    <x v="690"/>
    <x v="1"/>
    <x v="2"/>
    <n v="5"/>
    <n v="184.04"/>
    <n v="0.31"/>
    <x v="1"/>
    <x v="0"/>
    <n v="4.0999999999999996"/>
    <n v="634.94000000000005"/>
    <n v="634.93799999999987"/>
    <n v="15"/>
    <x v="4"/>
    <x v="3"/>
  </r>
  <r>
    <n v="11232"/>
    <d v="2025-05-16T00:00:00"/>
    <x v="691"/>
    <x v="2"/>
    <x v="2"/>
    <n v="4"/>
    <n v="97.33"/>
    <n v="0.06"/>
    <x v="1"/>
    <x v="7"/>
    <n v="1.8"/>
    <n v="365.96"/>
    <n v="365.96080000000001"/>
    <n v="16"/>
    <x v="4"/>
    <x v="3"/>
  </r>
  <r>
    <n v="11233"/>
    <d v="2025-05-17T00:00:00"/>
    <x v="643"/>
    <x v="0"/>
    <x v="3"/>
    <n v="5"/>
    <n v="106.63"/>
    <n v="0.32"/>
    <x v="1"/>
    <x v="5"/>
    <n v="1.9"/>
    <n v="362.54"/>
    <n v="362.54199999999997"/>
    <n v="17"/>
    <x v="4"/>
    <x v="3"/>
  </r>
  <r>
    <n v="11234"/>
    <d v="2025-05-18T00:00:00"/>
    <x v="336"/>
    <x v="3"/>
    <x v="2"/>
    <n v="4"/>
    <n v="389.04"/>
    <n v="0.18"/>
    <x v="2"/>
    <x v="10"/>
    <n v="1.2"/>
    <n v="1276.05"/>
    <n v="1276.0512000000001"/>
    <n v="18"/>
    <x v="4"/>
    <x v="3"/>
  </r>
  <r>
    <n v="11235"/>
    <d v="2025-05-19T00:00:00"/>
    <x v="692"/>
    <x v="0"/>
    <x v="1"/>
    <n v="2"/>
    <n v="525.63"/>
    <n v="0.25"/>
    <x v="1"/>
    <x v="2"/>
    <n v="1.8"/>
    <n v="788.44"/>
    <n v="788.44499999999994"/>
    <n v="19"/>
    <x v="4"/>
    <x v="3"/>
  </r>
  <r>
    <n v="11236"/>
    <d v="2025-05-20T00:00:00"/>
    <x v="442"/>
    <x v="2"/>
    <x v="3"/>
    <n v="6"/>
    <n v="254.56"/>
    <n v="0.04"/>
    <x v="1"/>
    <x v="6"/>
    <n v="2.5"/>
    <n v="1466.27"/>
    <n v="1466.2656000000002"/>
    <n v="20"/>
    <x v="4"/>
    <x v="3"/>
  </r>
  <r>
    <n v="11237"/>
    <d v="2025-05-21T00:00:00"/>
    <x v="579"/>
    <x v="0"/>
    <x v="3"/>
    <n v="7"/>
    <n v="114.17"/>
    <n v="0.09"/>
    <x v="2"/>
    <x v="2"/>
    <n v="2.6"/>
    <n v="727.26"/>
    <n v="727.26290000000006"/>
    <n v="21"/>
    <x v="4"/>
    <x v="3"/>
  </r>
  <r>
    <n v="11238"/>
    <d v="2025-05-22T00:00:00"/>
    <x v="61"/>
    <x v="1"/>
    <x v="3"/>
    <n v="2"/>
    <n v="457.61"/>
    <n v="0.34"/>
    <x v="2"/>
    <x v="6"/>
    <n v="2.7"/>
    <n v="604.04999999999995"/>
    <n v="604.04520000000002"/>
    <n v="22"/>
    <x v="4"/>
    <x v="3"/>
  </r>
  <r>
    <n v="11239"/>
    <d v="2025-05-23T00:00:00"/>
    <x v="203"/>
    <x v="2"/>
    <x v="0"/>
    <n v="5"/>
    <n v="502.01"/>
    <n v="0.09"/>
    <x v="1"/>
    <x v="7"/>
    <n v="2.9"/>
    <n v="2284.15"/>
    <n v="2284.1455000000001"/>
    <n v="23"/>
    <x v="4"/>
    <x v="3"/>
  </r>
  <r>
    <n v="11240"/>
    <d v="2025-05-24T00:00:00"/>
    <x v="26"/>
    <x v="2"/>
    <x v="2"/>
    <n v="3"/>
    <n v="530.14"/>
    <n v="0.1"/>
    <x v="2"/>
    <x v="8"/>
    <n v="3.3"/>
    <n v="1431.38"/>
    <n v="1431.3780000000002"/>
    <n v="24"/>
    <x v="4"/>
    <x v="3"/>
  </r>
  <r>
    <n v="11241"/>
    <d v="2025-05-25T00:00:00"/>
    <x v="161"/>
    <x v="2"/>
    <x v="0"/>
    <n v="1"/>
    <n v="370"/>
    <n v="7.0000000000000007E-2"/>
    <x v="1"/>
    <x v="6"/>
    <n v="1.8"/>
    <n v="344.1"/>
    <n v="344.1"/>
    <n v="25"/>
    <x v="4"/>
    <x v="3"/>
  </r>
  <r>
    <n v="11242"/>
    <d v="2025-05-26T00:00:00"/>
    <x v="333"/>
    <x v="3"/>
    <x v="1"/>
    <n v="3"/>
    <n v="518.53"/>
    <n v="0.05"/>
    <x v="0"/>
    <x v="5"/>
    <n v="3.5"/>
    <n v="1477.81"/>
    <n v="1477.8104999999998"/>
    <n v="26"/>
    <x v="4"/>
    <x v="3"/>
  </r>
  <r>
    <n v="11243"/>
    <d v="2025-05-27T00:00:00"/>
    <x v="122"/>
    <x v="1"/>
    <x v="2"/>
    <n v="3"/>
    <n v="24.02"/>
    <n v="0.08"/>
    <x v="1"/>
    <x v="7"/>
    <n v="2.2999999999999998"/>
    <n v="66.3"/>
    <n v="66.295200000000008"/>
    <n v="27"/>
    <x v="4"/>
    <x v="3"/>
  </r>
  <r>
    <n v="11244"/>
    <d v="2025-05-28T00:00:00"/>
    <x v="28"/>
    <x v="2"/>
    <x v="0"/>
    <n v="1"/>
    <n v="77.73"/>
    <n v="0.22"/>
    <x v="0"/>
    <x v="4"/>
    <n v="3.9"/>
    <n v="60.63"/>
    <n v="60.629400000000004"/>
    <n v="28"/>
    <x v="4"/>
    <x v="3"/>
  </r>
  <r>
    <n v="11245"/>
    <d v="2025-05-29T00:00:00"/>
    <x v="693"/>
    <x v="1"/>
    <x v="3"/>
    <n v="6"/>
    <n v="69.16"/>
    <n v="0.16"/>
    <x v="0"/>
    <x v="10"/>
    <n v="3.2"/>
    <n v="348.57"/>
    <n v="348.56639999999999"/>
    <n v="29"/>
    <x v="4"/>
    <x v="3"/>
  </r>
  <r>
    <n v="11246"/>
    <d v="2025-05-30T00:00:00"/>
    <x v="694"/>
    <x v="2"/>
    <x v="0"/>
    <n v="2"/>
    <n v="431.87"/>
    <n v="0.19"/>
    <x v="2"/>
    <x v="6"/>
    <n v="3.2"/>
    <n v="699.63"/>
    <n v="699.62940000000003"/>
    <n v="30"/>
    <x v="4"/>
    <x v="3"/>
  </r>
  <r>
    <n v="11247"/>
    <d v="2025-05-31T00:00:00"/>
    <x v="56"/>
    <x v="1"/>
    <x v="3"/>
    <n v="2"/>
    <n v="55.71"/>
    <n v="0.04"/>
    <x v="1"/>
    <x v="4"/>
    <n v="3.7"/>
    <n v="106.96"/>
    <n v="106.9632"/>
    <n v="31"/>
    <x v="4"/>
    <x v="3"/>
  </r>
  <r>
    <n v="11248"/>
    <d v="2025-06-01T00:00:00"/>
    <x v="142"/>
    <x v="1"/>
    <x v="0"/>
    <n v="6"/>
    <n v="305.37"/>
    <n v="0.28000000000000003"/>
    <x v="2"/>
    <x v="7"/>
    <n v="2.2999999999999998"/>
    <n v="1319.2"/>
    <n v="1319.1984"/>
    <n v="1"/>
    <x v="5"/>
    <x v="3"/>
  </r>
  <r>
    <n v="11249"/>
    <d v="2025-06-02T00:00:00"/>
    <x v="571"/>
    <x v="3"/>
    <x v="0"/>
    <n v="1"/>
    <n v="291.52999999999997"/>
    <n v="0.27"/>
    <x v="1"/>
    <x v="8"/>
    <n v="2.7"/>
    <n v="212.82"/>
    <n v="212.81689999999998"/>
    <n v="2"/>
    <x v="5"/>
    <x v="3"/>
  </r>
  <r>
    <n v="11250"/>
    <d v="2025-06-03T00:00:00"/>
    <x v="385"/>
    <x v="3"/>
    <x v="0"/>
    <n v="4"/>
    <n v="196.76"/>
    <n v="0.01"/>
    <x v="0"/>
    <x v="3"/>
    <n v="3.3"/>
    <n v="779.17"/>
    <n v="779.16959999999995"/>
    <n v="3"/>
    <x v="5"/>
    <x v="3"/>
  </r>
  <r>
    <n v="11251"/>
    <d v="2025-06-04T00:00:00"/>
    <x v="198"/>
    <x v="1"/>
    <x v="3"/>
    <n v="3"/>
    <n v="524.19000000000005"/>
    <n v="0.13"/>
    <x v="2"/>
    <x v="6"/>
    <n v="2.7"/>
    <n v="1368.14"/>
    <n v="1368.1359000000002"/>
    <n v="4"/>
    <x v="5"/>
    <x v="3"/>
  </r>
  <r>
    <n v="11252"/>
    <d v="2025-06-05T00:00:00"/>
    <x v="519"/>
    <x v="1"/>
    <x v="0"/>
    <n v="5"/>
    <n v="114.7"/>
    <n v="0.02"/>
    <x v="0"/>
    <x v="3"/>
    <n v="2.8"/>
    <n v="562.03"/>
    <n v="562.03"/>
    <n v="5"/>
    <x v="5"/>
    <x v="3"/>
  </r>
  <r>
    <n v="11253"/>
    <d v="2025-06-06T00:00:00"/>
    <x v="141"/>
    <x v="1"/>
    <x v="2"/>
    <n v="2"/>
    <n v="221.19"/>
    <n v="0.28000000000000003"/>
    <x v="2"/>
    <x v="2"/>
    <n v="2.1"/>
    <n v="318.51"/>
    <n v="318.5136"/>
    <n v="6"/>
    <x v="5"/>
    <x v="3"/>
  </r>
  <r>
    <n v="11254"/>
    <d v="2025-06-07T00:00:00"/>
    <x v="194"/>
    <x v="3"/>
    <x v="2"/>
    <n v="6"/>
    <n v="467.89"/>
    <n v="0.26"/>
    <x v="2"/>
    <x v="8"/>
    <n v="2.1"/>
    <n v="2077.4299999999998"/>
    <n v="2077.4315999999999"/>
    <n v="7"/>
    <x v="5"/>
    <x v="3"/>
  </r>
  <r>
    <n v="11255"/>
    <d v="2025-06-08T00:00:00"/>
    <x v="435"/>
    <x v="2"/>
    <x v="2"/>
    <n v="5"/>
    <n v="32.799999999999997"/>
    <n v="0.32"/>
    <x v="2"/>
    <x v="5"/>
    <n v="3.8"/>
    <n v="111.52"/>
    <n v="111.52000000000001"/>
    <n v="8"/>
    <x v="5"/>
    <x v="3"/>
  </r>
  <r>
    <n v="11256"/>
    <d v="2025-06-09T00:00:00"/>
    <x v="573"/>
    <x v="2"/>
    <x v="3"/>
    <n v="7"/>
    <n v="408.68"/>
    <n v="0.08"/>
    <x v="1"/>
    <x v="1"/>
    <n v="1"/>
    <n v="2631.9"/>
    <n v="2631.8992000000003"/>
    <n v="9"/>
    <x v="5"/>
    <x v="3"/>
  </r>
  <r>
    <n v="11257"/>
    <d v="2025-06-10T00:00:00"/>
    <x v="695"/>
    <x v="2"/>
    <x v="3"/>
    <n v="1"/>
    <n v="492.59"/>
    <n v="0.16"/>
    <x v="2"/>
    <x v="0"/>
    <n v="1.4"/>
    <n v="413.78"/>
    <n v="413.7756"/>
    <n v="10"/>
    <x v="5"/>
    <x v="3"/>
  </r>
  <r>
    <n v="11258"/>
    <d v="2025-06-11T00:00:00"/>
    <x v="696"/>
    <x v="1"/>
    <x v="2"/>
    <n v="5"/>
    <n v="560.38"/>
    <n v="0.06"/>
    <x v="2"/>
    <x v="9"/>
    <n v="4.8"/>
    <n v="2633.79"/>
    <n v="2633.7860000000001"/>
    <n v="11"/>
    <x v="5"/>
    <x v="3"/>
  </r>
  <r>
    <n v="11259"/>
    <d v="2025-06-12T00:00:00"/>
    <x v="605"/>
    <x v="1"/>
    <x v="2"/>
    <n v="5"/>
    <n v="527.63"/>
    <n v="0.13"/>
    <x v="0"/>
    <x v="0"/>
    <n v="1.7"/>
    <n v="2295.19"/>
    <n v="2295.1905000000002"/>
    <n v="12"/>
    <x v="5"/>
    <x v="3"/>
  </r>
  <r>
    <n v="11260"/>
    <d v="2025-06-13T00:00:00"/>
    <x v="190"/>
    <x v="3"/>
    <x v="2"/>
    <n v="3"/>
    <n v="201.84"/>
    <n v="0.18"/>
    <x v="2"/>
    <x v="9"/>
    <n v="2.7"/>
    <n v="496.53"/>
    <n v="496.52639999999997"/>
    <n v="13"/>
    <x v="5"/>
    <x v="3"/>
  </r>
  <r>
    <n v="11261"/>
    <d v="2025-06-14T00:00:00"/>
    <x v="697"/>
    <x v="2"/>
    <x v="1"/>
    <n v="1"/>
    <n v="358.02"/>
    <n v="0.02"/>
    <x v="0"/>
    <x v="10"/>
    <n v="4.4000000000000004"/>
    <n v="350.86"/>
    <n v="350.8596"/>
    <n v="14"/>
    <x v="5"/>
    <x v="3"/>
  </r>
  <r>
    <n v="11262"/>
    <d v="2025-06-15T00:00:00"/>
    <x v="532"/>
    <x v="1"/>
    <x v="2"/>
    <n v="5"/>
    <n v="60.22"/>
    <n v="0.25"/>
    <x v="0"/>
    <x v="3"/>
    <n v="1"/>
    <n v="225.82"/>
    <n v="225.82500000000002"/>
    <n v="15"/>
    <x v="5"/>
    <x v="3"/>
  </r>
  <r>
    <n v="11263"/>
    <d v="2025-06-16T00:00:00"/>
    <x v="327"/>
    <x v="3"/>
    <x v="0"/>
    <n v="2"/>
    <n v="165.85"/>
    <n v="0.19"/>
    <x v="2"/>
    <x v="1"/>
    <n v="4.7"/>
    <n v="268.68"/>
    <n v="268.67700000000002"/>
    <n v="16"/>
    <x v="5"/>
    <x v="3"/>
  </r>
  <r>
    <n v="11264"/>
    <d v="2025-06-17T00:00:00"/>
    <x v="509"/>
    <x v="3"/>
    <x v="1"/>
    <n v="1"/>
    <n v="70.12"/>
    <n v="0.28999999999999998"/>
    <x v="1"/>
    <x v="9"/>
    <n v="1.2"/>
    <n v="49.79"/>
    <n v="49.785200000000003"/>
    <n v="17"/>
    <x v="5"/>
    <x v="3"/>
  </r>
  <r>
    <n v="11265"/>
    <d v="2025-06-18T00:00:00"/>
    <x v="698"/>
    <x v="1"/>
    <x v="1"/>
    <n v="2"/>
    <n v="199.38"/>
    <n v="0.1"/>
    <x v="2"/>
    <x v="1"/>
    <n v="1.7"/>
    <n v="358.88"/>
    <n v="358.88400000000001"/>
    <n v="18"/>
    <x v="5"/>
    <x v="3"/>
  </r>
  <r>
    <n v="11266"/>
    <d v="2025-06-19T00:00:00"/>
    <x v="227"/>
    <x v="1"/>
    <x v="3"/>
    <n v="6"/>
    <n v="526.98"/>
    <n v="0.32"/>
    <x v="1"/>
    <x v="2"/>
    <n v="1.1000000000000001"/>
    <n v="2150.08"/>
    <n v="2150.0784000000003"/>
    <n v="19"/>
    <x v="5"/>
    <x v="3"/>
  </r>
  <r>
    <n v="11267"/>
    <d v="2025-06-20T00:00:00"/>
    <x v="538"/>
    <x v="2"/>
    <x v="0"/>
    <n v="6"/>
    <n v="218.09"/>
    <n v="0.35"/>
    <x v="1"/>
    <x v="7"/>
    <n v="3.1"/>
    <n v="850.55"/>
    <n v="850.55100000000004"/>
    <n v="20"/>
    <x v="5"/>
    <x v="3"/>
  </r>
  <r>
    <n v="11268"/>
    <d v="2025-06-21T00:00:00"/>
    <x v="616"/>
    <x v="0"/>
    <x v="3"/>
    <n v="7"/>
    <n v="343.71"/>
    <n v="0.32"/>
    <x v="1"/>
    <x v="10"/>
    <n v="4.8"/>
    <n v="1636.06"/>
    <n v="1636.0595999999998"/>
    <n v="21"/>
    <x v="5"/>
    <x v="3"/>
  </r>
  <r>
    <n v="11269"/>
    <d v="2025-06-22T00:00:00"/>
    <x v="661"/>
    <x v="2"/>
    <x v="3"/>
    <n v="4"/>
    <n v="268.52999999999997"/>
    <n v="0.27"/>
    <x v="0"/>
    <x v="6"/>
    <n v="4.4000000000000004"/>
    <n v="784.11"/>
    <n v="784.10759999999982"/>
    <n v="22"/>
    <x v="5"/>
    <x v="3"/>
  </r>
  <r>
    <n v="11270"/>
    <d v="2025-06-23T00:00:00"/>
    <x v="699"/>
    <x v="0"/>
    <x v="0"/>
    <n v="6"/>
    <n v="283.47000000000003"/>
    <n v="0.28000000000000003"/>
    <x v="1"/>
    <x v="0"/>
    <n v="3.6"/>
    <n v="1224.5899999999999"/>
    <n v="1224.5904"/>
    <n v="23"/>
    <x v="5"/>
    <x v="3"/>
  </r>
  <r>
    <n v="11271"/>
    <d v="2025-06-24T00:00:00"/>
    <x v="661"/>
    <x v="3"/>
    <x v="3"/>
    <n v="5"/>
    <n v="582.20000000000005"/>
    <n v="0.2"/>
    <x v="2"/>
    <x v="3"/>
    <n v="1.7"/>
    <n v="2328.8000000000002"/>
    <n v="2328.8000000000002"/>
    <n v="24"/>
    <x v="5"/>
    <x v="3"/>
  </r>
  <r>
    <n v="11272"/>
    <d v="2025-06-25T00:00:00"/>
    <x v="334"/>
    <x v="1"/>
    <x v="0"/>
    <n v="1"/>
    <n v="188.25"/>
    <n v="7.0000000000000007E-2"/>
    <x v="0"/>
    <x v="9"/>
    <n v="4.5"/>
    <n v="175.07"/>
    <n v="175.07249999999999"/>
    <n v="25"/>
    <x v="5"/>
    <x v="3"/>
  </r>
  <r>
    <n v="11273"/>
    <d v="2025-06-26T00:00:00"/>
    <x v="634"/>
    <x v="2"/>
    <x v="0"/>
    <n v="6"/>
    <n v="381.98"/>
    <n v="0.24"/>
    <x v="2"/>
    <x v="4"/>
    <n v="4"/>
    <n v="1741.83"/>
    <n v="1741.8288000000002"/>
    <n v="26"/>
    <x v="5"/>
    <x v="3"/>
  </r>
  <r>
    <n v="11274"/>
    <d v="2025-06-27T00:00:00"/>
    <x v="691"/>
    <x v="1"/>
    <x v="3"/>
    <n v="2"/>
    <n v="260.74"/>
    <n v="0.25"/>
    <x v="2"/>
    <x v="8"/>
    <n v="2.1"/>
    <n v="391.11"/>
    <n v="391.11"/>
    <n v="27"/>
    <x v="5"/>
    <x v="3"/>
  </r>
  <r>
    <n v="11275"/>
    <d v="2025-06-28T00:00:00"/>
    <x v="77"/>
    <x v="1"/>
    <x v="2"/>
    <n v="5"/>
    <n v="50.77"/>
    <n v="0.34"/>
    <x v="2"/>
    <x v="10"/>
    <n v="4.2"/>
    <n v="167.54"/>
    <n v="167.54100000000003"/>
    <n v="28"/>
    <x v="5"/>
    <x v="3"/>
  </r>
  <r>
    <n v="11276"/>
    <d v="2025-06-29T00:00:00"/>
    <x v="281"/>
    <x v="2"/>
    <x v="3"/>
    <n v="6"/>
    <n v="301.26"/>
    <n v="0.19"/>
    <x v="1"/>
    <x v="0"/>
    <n v="4.5"/>
    <n v="1464.12"/>
    <n v="1464.1235999999999"/>
    <n v="29"/>
    <x v="5"/>
    <x v="3"/>
  </r>
  <r>
    <n v="11277"/>
    <d v="2025-06-30T00:00:00"/>
    <x v="515"/>
    <x v="3"/>
    <x v="1"/>
    <n v="3"/>
    <n v="490.81"/>
    <n v="0.09"/>
    <x v="1"/>
    <x v="9"/>
    <n v="3.8"/>
    <n v="1339.91"/>
    <n v="1339.9113"/>
    <n v="30"/>
    <x v="5"/>
    <x v="3"/>
  </r>
  <r>
    <n v="11278"/>
    <d v="2025-07-01T00:00:00"/>
    <x v="36"/>
    <x v="0"/>
    <x v="3"/>
    <n v="2"/>
    <n v="72.77"/>
    <n v="0.24"/>
    <x v="0"/>
    <x v="5"/>
    <n v="1.4"/>
    <n v="110.61"/>
    <n v="110.6104"/>
    <n v="1"/>
    <x v="6"/>
    <x v="3"/>
  </r>
  <r>
    <n v="11279"/>
    <d v="2025-07-02T00:00:00"/>
    <x v="700"/>
    <x v="1"/>
    <x v="0"/>
    <n v="7"/>
    <n v="55.71"/>
    <n v="0.34"/>
    <x v="1"/>
    <x v="4"/>
    <n v="4.9000000000000004"/>
    <n v="257.38"/>
    <n v="257.3802"/>
    <n v="2"/>
    <x v="6"/>
    <x v="3"/>
  </r>
  <r>
    <n v="11280"/>
    <d v="2025-07-03T00:00:00"/>
    <x v="174"/>
    <x v="3"/>
    <x v="1"/>
    <n v="7"/>
    <n v="104.87"/>
    <n v="0.06"/>
    <x v="2"/>
    <x v="0"/>
    <n v="1.3"/>
    <n v="690.04"/>
    <n v="690.04460000000006"/>
    <n v="3"/>
    <x v="6"/>
    <x v="3"/>
  </r>
  <r>
    <n v="11281"/>
    <d v="2025-07-04T00:00:00"/>
    <x v="701"/>
    <x v="2"/>
    <x v="0"/>
    <n v="7"/>
    <n v="462.17"/>
    <n v="0.11"/>
    <x v="2"/>
    <x v="6"/>
    <n v="3.6"/>
    <n v="2879.32"/>
    <n v="2879.3191000000002"/>
    <n v="4"/>
    <x v="6"/>
    <x v="3"/>
  </r>
  <r>
    <n v="11282"/>
    <d v="2025-07-05T00:00:00"/>
    <x v="162"/>
    <x v="1"/>
    <x v="2"/>
    <n v="2"/>
    <n v="438.54"/>
    <n v="0.19"/>
    <x v="1"/>
    <x v="0"/>
    <n v="1.4"/>
    <n v="710.43"/>
    <n v="710.4348"/>
    <n v="5"/>
    <x v="6"/>
    <x v="3"/>
  </r>
  <r>
    <n v="11283"/>
    <d v="2025-07-06T00:00:00"/>
    <x v="355"/>
    <x v="2"/>
    <x v="2"/>
    <n v="7"/>
    <n v="345.54"/>
    <n v="0.06"/>
    <x v="0"/>
    <x v="7"/>
    <n v="4.5999999999999996"/>
    <n v="2273.65"/>
    <n v="2273.6532000000002"/>
    <n v="6"/>
    <x v="6"/>
    <x v="3"/>
  </r>
  <r>
    <n v="11284"/>
    <d v="2025-07-07T00:00:00"/>
    <x v="228"/>
    <x v="1"/>
    <x v="1"/>
    <n v="4"/>
    <n v="288.91000000000003"/>
    <n v="0.01"/>
    <x v="2"/>
    <x v="9"/>
    <n v="2.4"/>
    <n v="1144.08"/>
    <n v="1144.0836000000002"/>
    <n v="7"/>
    <x v="6"/>
    <x v="3"/>
  </r>
  <r>
    <n v="11285"/>
    <d v="2025-07-08T00:00:00"/>
    <x v="620"/>
    <x v="0"/>
    <x v="2"/>
    <n v="3"/>
    <n v="534.66999999999996"/>
    <n v="0.12"/>
    <x v="1"/>
    <x v="10"/>
    <n v="3"/>
    <n v="1411.53"/>
    <n v="1411.5287999999998"/>
    <n v="8"/>
    <x v="6"/>
    <x v="3"/>
  </r>
  <r>
    <n v="11286"/>
    <d v="2025-07-09T00:00:00"/>
    <x v="702"/>
    <x v="3"/>
    <x v="2"/>
    <n v="4"/>
    <n v="463.52"/>
    <n v="0.3"/>
    <x v="0"/>
    <x v="7"/>
    <n v="1.7"/>
    <n v="1297.8599999999999"/>
    <n v="1297.856"/>
    <n v="9"/>
    <x v="6"/>
    <x v="3"/>
  </r>
  <r>
    <n v="11287"/>
    <d v="2025-07-10T00:00:00"/>
    <x v="645"/>
    <x v="2"/>
    <x v="3"/>
    <n v="6"/>
    <n v="489.99"/>
    <n v="0.02"/>
    <x v="2"/>
    <x v="2"/>
    <n v="3.2"/>
    <n v="2881.14"/>
    <n v="2881.1412"/>
    <n v="10"/>
    <x v="6"/>
    <x v="3"/>
  </r>
  <r>
    <n v="11288"/>
    <d v="2025-07-11T00:00:00"/>
    <x v="703"/>
    <x v="1"/>
    <x v="3"/>
    <n v="3"/>
    <n v="490.76"/>
    <n v="0.15"/>
    <x v="2"/>
    <x v="2"/>
    <n v="4.8"/>
    <n v="1251.44"/>
    <n v="1251.4380000000001"/>
    <n v="11"/>
    <x v="6"/>
    <x v="3"/>
  </r>
  <r>
    <n v="11289"/>
    <d v="2025-07-12T00:00:00"/>
    <x v="238"/>
    <x v="1"/>
    <x v="2"/>
    <n v="2"/>
    <n v="390.99"/>
    <n v="0.27"/>
    <x v="2"/>
    <x v="8"/>
    <n v="4.5999999999999996"/>
    <n v="570.85"/>
    <n v="570.84540000000004"/>
    <n v="12"/>
    <x v="6"/>
    <x v="3"/>
  </r>
  <r>
    <n v="11290"/>
    <d v="2025-07-13T00:00:00"/>
    <x v="704"/>
    <x v="1"/>
    <x v="2"/>
    <n v="4"/>
    <n v="282.94"/>
    <n v="0.33"/>
    <x v="1"/>
    <x v="4"/>
    <n v="1.3"/>
    <n v="758.28"/>
    <n v="758.27919999999995"/>
    <n v="13"/>
    <x v="6"/>
    <x v="3"/>
  </r>
  <r>
    <n v="11291"/>
    <d v="2025-07-14T00:00:00"/>
    <x v="419"/>
    <x v="3"/>
    <x v="3"/>
    <n v="5"/>
    <n v="520.84"/>
    <n v="0.34"/>
    <x v="2"/>
    <x v="4"/>
    <n v="2.5"/>
    <n v="1718.77"/>
    <n v="1718.7720000000002"/>
    <n v="14"/>
    <x v="6"/>
    <x v="3"/>
  </r>
  <r>
    <n v="11292"/>
    <d v="2025-07-15T00:00:00"/>
    <x v="705"/>
    <x v="3"/>
    <x v="2"/>
    <n v="3"/>
    <n v="556.71"/>
    <n v="0.15"/>
    <x v="1"/>
    <x v="8"/>
    <n v="2.1"/>
    <n v="1419.61"/>
    <n v="1419.6105000000002"/>
    <n v="15"/>
    <x v="6"/>
    <x v="3"/>
  </r>
  <r>
    <n v="11293"/>
    <d v="2025-07-16T00:00:00"/>
    <x v="434"/>
    <x v="1"/>
    <x v="2"/>
    <n v="2"/>
    <n v="28.93"/>
    <n v="0.33"/>
    <x v="2"/>
    <x v="5"/>
    <n v="2.9"/>
    <n v="38.770000000000003"/>
    <n v="38.766199999999998"/>
    <n v="16"/>
    <x v="6"/>
    <x v="3"/>
  </r>
  <r>
    <n v="11294"/>
    <d v="2025-07-17T00:00:00"/>
    <x v="208"/>
    <x v="1"/>
    <x v="0"/>
    <n v="1"/>
    <n v="45.16"/>
    <n v="0.01"/>
    <x v="2"/>
    <x v="0"/>
    <n v="4.3"/>
    <n v="44.71"/>
    <n v="44.708399999999997"/>
    <n v="17"/>
    <x v="6"/>
    <x v="3"/>
  </r>
  <r>
    <n v="11295"/>
    <d v="2025-07-18T00:00:00"/>
    <x v="137"/>
    <x v="2"/>
    <x v="2"/>
    <n v="3"/>
    <n v="575.86"/>
    <n v="0.26"/>
    <x v="0"/>
    <x v="1"/>
    <n v="4"/>
    <n v="1278.4100000000001"/>
    <n v="1278.4092000000001"/>
    <n v="18"/>
    <x v="6"/>
    <x v="3"/>
  </r>
  <r>
    <n v="11296"/>
    <d v="2025-07-19T00:00:00"/>
    <x v="626"/>
    <x v="2"/>
    <x v="1"/>
    <n v="3"/>
    <n v="177.14"/>
    <n v="0.22"/>
    <x v="2"/>
    <x v="5"/>
    <n v="2.4"/>
    <n v="414.51"/>
    <n v="414.50759999999997"/>
    <n v="19"/>
    <x v="6"/>
    <x v="3"/>
  </r>
  <r>
    <n v="11297"/>
    <d v="2025-07-20T00:00:00"/>
    <x v="20"/>
    <x v="1"/>
    <x v="0"/>
    <n v="6"/>
    <n v="525.91999999999996"/>
    <n v="0.09"/>
    <x v="1"/>
    <x v="10"/>
    <n v="2.5"/>
    <n v="2871.52"/>
    <n v="2871.5231999999996"/>
    <n v="20"/>
    <x v="6"/>
    <x v="3"/>
  </r>
  <r>
    <n v="11298"/>
    <d v="2025-07-21T00:00:00"/>
    <x v="30"/>
    <x v="1"/>
    <x v="1"/>
    <n v="5"/>
    <n v="242.45"/>
    <n v="0.18"/>
    <x v="0"/>
    <x v="3"/>
    <n v="3.6"/>
    <n v="994.04"/>
    <n v="994.04500000000007"/>
    <n v="21"/>
    <x v="6"/>
    <x v="3"/>
  </r>
  <r>
    <n v="11299"/>
    <d v="2025-07-22T00:00:00"/>
    <x v="216"/>
    <x v="3"/>
    <x v="2"/>
    <n v="6"/>
    <n v="84.67"/>
    <n v="0.05"/>
    <x v="2"/>
    <x v="6"/>
    <n v="1.8"/>
    <n v="482.62"/>
    <n v="482.61899999999997"/>
    <n v="22"/>
    <x v="6"/>
    <x v="3"/>
  </r>
  <r>
    <n v="11300"/>
    <d v="2025-07-23T00:00:00"/>
    <x v="706"/>
    <x v="3"/>
    <x v="3"/>
    <n v="7"/>
    <n v="62.06"/>
    <n v="0.31"/>
    <x v="2"/>
    <x v="9"/>
    <n v="1.4"/>
    <n v="299.75"/>
    <n v="299.74979999999999"/>
    <n v="23"/>
    <x v="6"/>
    <x v="3"/>
  </r>
  <r>
    <n v="11301"/>
    <d v="2025-07-24T00:00:00"/>
    <x v="150"/>
    <x v="2"/>
    <x v="0"/>
    <n v="3"/>
    <n v="106.56"/>
    <n v="0.13"/>
    <x v="1"/>
    <x v="5"/>
    <n v="2"/>
    <n v="278.12"/>
    <n v="278.1216"/>
    <n v="24"/>
    <x v="6"/>
    <x v="3"/>
  </r>
  <r>
    <n v="11302"/>
    <d v="2025-07-25T00:00:00"/>
    <x v="293"/>
    <x v="1"/>
    <x v="3"/>
    <n v="3"/>
    <n v="161.19"/>
    <n v="0.22"/>
    <x v="0"/>
    <x v="6"/>
    <n v="1.5"/>
    <n v="377.18"/>
    <n v="377.18459999999999"/>
    <n v="25"/>
    <x v="6"/>
    <x v="3"/>
  </r>
  <r>
    <n v="11303"/>
    <d v="2025-07-26T00:00:00"/>
    <x v="348"/>
    <x v="2"/>
    <x v="0"/>
    <n v="7"/>
    <n v="300.77999999999997"/>
    <n v="0.06"/>
    <x v="0"/>
    <x v="8"/>
    <n v="2.4"/>
    <n v="1979.13"/>
    <n v="1979.1324"/>
    <n v="26"/>
    <x v="6"/>
    <x v="3"/>
  </r>
  <r>
    <n v="11304"/>
    <d v="2025-07-27T00:00:00"/>
    <x v="421"/>
    <x v="2"/>
    <x v="3"/>
    <n v="5"/>
    <n v="425.38"/>
    <n v="7.0000000000000007E-2"/>
    <x v="2"/>
    <x v="0"/>
    <n v="4.8"/>
    <n v="1978.02"/>
    <n v="1978.0170000000001"/>
    <n v="27"/>
    <x v="6"/>
    <x v="3"/>
  </r>
  <r>
    <n v="11305"/>
    <d v="2025-07-28T00:00:00"/>
    <x v="546"/>
    <x v="3"/>
    <x v="0"/>
    <n v="5"/>
    <n v="592.04"/>
    <n v="0.35"/>
    <x v="0"/>
    <x v="8"/>
    <n v="1.5"/>
    <n v="1924.13"/>
    <n v="1924.1299999999999"/>
    <n v="28"/>
    <x v="6"/>
    <x v="3"/>
  </r>
  <r>
    <n v="11306"/>
    <d v="2025-07-29T00:00:00"/>
    <x v="632"/>
    <x v="2"/>
    <x v="0"/>
    <n v="4"/>
    <n v="273.27999999999997"/>
    <n v="0.26"/>
    <x v="1"/>
    <x v="6"/>
    <n v="4.3"/>
    <n v="808.91"/>
    <n v="808.90879999999993"/>
    <n v="29"/>
    <x v="6"/>
    <x v="3"/>
  </r>
  <r>
    <n v="11307"/>
    <d v="2025-07-30T00:00:00"/>
    <x v="230"/>
    <x v="1"/>
    <x v="1"/>
    <n v="2"/>
    <n v="318.14"/>
    <n v="0.34"/>
    <x v="0"/>
    <x v="2"/>
    <n v="3.1"/>
    <n v="419.94"/>
    <n v="419.94479999999999"/>
    <n v="30"/>
    <x v="6"/>
    <x v="3"/>
  </r>
  <r>
    <n v="11308"/>
    <d v="2025-07-31T00:00:00"/>
    <x v="421"/>
    <x v="2"/>
    <x v="3"/>
    <n v="2"/>
    <n v="320.26"/>
    <n v="0.1"/>
    <x v="2"/>
    <x v="2"/>
    <n v="3.5"/>
    <n v="576.47"/>
    <n v="576.46799999999996"/>
    <n v="31"/>
    <x v="6"/>
    <x v="3"/>
  </r>
  <r>
    <n v="11309"/>
    <d v="2025-08-01T00:00:00"/>
    <x v="358"/>
    <x v="0"/>
    <x v="1"/>
    <n v="4"/>
    <n v="330.57"/>
    <n v="0.06"/>
    <x v="1"/>
    <x v="0"/>
    <n v="1.7"/>
    <n v="1242.94"/>
    <n v="1242.9431999999999"/>
    <n v="1"/>
    <x v="7"/>
    <x v="3"/>
  </r>
  <r>
    <n v="11310"/>
    <d v="2025-08-02T00:00:00"/>
    <x v="18"/>
    <x v="1"/>
    <x v="1"/>
    <n v="2"/>
    <n v="317.88"/>
    <n v="0.18"/>
    <x v="2"/>
    <x v="9"/>
    <n v="1.6"/>
    <n v="521.32000000000005"/>
    <n v="521.32320000000004"/>
    <n v="2"/>
    <x v="7"/>
    <x v="3"/>
  </r>
  <r>
    <n v="11311"/>
    <d v="2025-08-03T00:00:00"/>
    <x v="423"/>
    <x v="2"/>
    <x v="3"/>
    <n v="3"/>
    <n v="20.13"/>
    <n v="0.17"/>
    <x v="2"/>
    <x v="0"/>
    <n v="1.7"/>
    <n v="50.12"/>
    <n v="50.123699999999999"/>
    <n v="3"/>
    <x v="7"/>
    <x v="3"/>
  </r>
  <r>
    <n v="11312"/>
    <d v="2025-08-04T00:00:00"/>
    <x v="707"/>
    <x v="1"/>
    <x v="0"/>
    <n v="4"/>
    <n v="16.010000000000002"/>
    <n v="0.06"/>
    <x v="1"/>
    <x v="9"/>
    <n v="3.7"/>
    <n v="60.2"/>
    <n v="60.197600000000008"/>
    <n v="4"/>
    <x v="7"/>
    <x v="3"/>
  </r>
  <r>
    <n v="11313"/>
    <d v="2025-08-05T00:00:00"/>
    <x v="386"/>
    <x v="3"/>
    <x v="1"/>
    <n v="4"/>
    <n v="72.13"/>
    <n v="0.26"/>
    <x v="1"/>
    <x v="10"/>
    <n v="4"/>
    <n v="213.5"/>
    <n v="213.50479999999999"/>
    <n v="5"/>
    <x v="7"/>
    <x v="3"/>
  </r>
  <r>
    <n v="11314"/>
    <d v="2025-08-06T00:00:00"/>
    <x v="708"/>
    <x v="0"/>
    <x v="3"/>
    <n v="2"/>
    <n v="74.41"/>
    <n v="0.13"/>
    <x v="1"/>
    <x v="6"/>
    <n v="4.7"/>
    <n v="129.47"/>
    <n v="129.4734"/>
    <n v="6"/>
    <x v="7"/>
    <x v="3"/>
  </r>
  <r>
    <n v="11315"/>
    <d v="2025-08-07T00:00:00"/>
    <x v="193"/>
    <x v="2"/>
    <x v="0"/>
    <n v="1"/>
    <n v="427.36"/>
    <n v="7.0000000000000007E-2"/>
    <x v="1"/>
    <x v="6"/>
    <n v="2.6"/>
    <n v="397.44"/>
    <n v="397.44479999999999"/>
    <n v="7"/>
    <x v="7"/>
    <x v="3"/>
  </r>
  <r>
    <n v="11316"/>
    <d v="2025-08-08T00:00:00"/>
    <x v="709"/>
    <x v="0"/>
    <x v="1"/>
    <n v="2"/>
    <n v="134.88"/>
    <n v="0.12"/>
    <x v="1"/>
    <x v="9"/>
    <n v="2.8"/>
    <n v="237.39"/>
    <n v="237.3888"/>
    <n v="8"/>
    <x v="7"/>
    <x v="3"/>
  </r>
  <r>
    <n v="11317"/>
    <d v="2025-08-09T00:00:00"/>
    <x v="710"/>
    <x v="0"/>
    <x v="1"/>
    <n v="6"/>
    <n v="538.41"/>
    <n v="0.2"/>
    <x v="1"/>
    <x v="6"/>
    <n v="2.9"/>
    <n v="2584.37"/>
    <n v="2584.3679999999999"/>
    <n v="9"/>
    <x v="7"/>
    <x v="3"/>
  </r>
  <r>
    <n v="11318"/>
    <d v="2025-08-10T00:00:00"/>
    <x v="589"/>
    <x v="0"/>
    <x v="1"/>
    <n v="1"/>
    <n v="558.23"/>
    <n v="0.25"/>
    <x v="1"/>
    <x v="8"/>
    <n v="2.1"/>
    <n v="418.67"/>
    <n v="418.67250000000001"/>
    <n v="10"/>
    <x v="7"/>
    <x v="3"/>
  </r>
  <r>
    <n v="11319"/>
    <d v="2025-08-11T00:00:00"/>
    <x v="513"/>
    <x v="1"/>
    <x v="0"/>
    <n v="4"/>
    <n v="585.9"/>
    <n v="0.17"/>
    <x v="0"/>
    <x v="6"/>
    <n v="2.2999999999999998"/>
    <n v="1945.19"/>
    <n v="1945.1879999999999"/>
    <n v="11"/>
    <x v="7"/>
    <x v="3"/>
  </r>
  <r>
    <n v="11320"/>
    <d v="2025-08-12T00:00:00"/>
    <x v="310"/>
    <x v="1"/>
    <x v="1"/>
    <n v="1"/>
    <n v="564.36"/>
    <n v="0.18"/>
    <x v="2"/>
    <x v="7"/>
    <n v="4.4000000000000004"/>
    <n v="462.78"/>
    <n v="462.77520000000004"/>
    <n v="12"/>
    <x v="7"/>
    <x v="3"/>
  </r>
  <r>
    <n v="11321"/>
    <d v="2025-08-13T00:00:00"/>
    <x v="475"/>
    <x v="1"/>
    <x v="0"/>
    <n v="3"/>
    <n v="174.05"/>
    <n v="0.05"/>
    <x v="1"/>
    <x v="2"/>
    <n v="2.4"/>
    <n v="496.04"/>
    <n v="496.04250000000008"/>
    <n v="13"/>
    <x v="7"/>
    <x v="3"/>
  </r>
  <r>
    <n v="11322"/>
    <d v="2025-08-14T00:00:00"/>
    <x v="711"/>
    <x v="3"/>
    <x v="2"/>
    <n v="5"/>
    <n v="313.22000000000003"/>
    <n v="0.32"/>
    <x v="0"/>
    <x v="5"/>
    <n v="4.5"/>
    <n v="1064.95"/>
    <n v="1064.9480000000001"/>
    <n v="14"/>
    <x v="7"/>
    <x v="3"/>
  </r>
  <r>
    <n v="11323"/>
    <d v="2025-08-15T00:00:00"/>
    <x v="712"/>
    <x v="1"/>
    <x v="1"/>
    <n v="1"/>
    <n v="117.64"/>
    <n v="0.33"/>
    <x v="2"/>
    <x v="3"/>
    <n v="2.2000000000000002"/>
    <n v="78.819999999999993"/>
    <n v="78.818799999999996"/>
    <n v="15"/>
    <x v="7"/>
    <x v="3"/>
  </r>
  <r>
    <n v="11324"/>
    <d v="2025-08-16T00:00:00"/>
    <x v="713"/>
    <x v="3"/>
    <x v="2"/>
    <n v="6"/>
    <n v="486.63"/>
    <n v="0.24"/>
    <x v="2"/>
    <x v="6"/>
    <n v="2.4"/>
    <n v="2219.0300000000002"/>
    <n v="2219.0328"/>
    <n v="16"/>
    <x v="7"/>
    <x v="3"/>
  </r>
  <r>
    <n v="11325"/>
    <d v="2025-08-17T00:00:00"/>
    <x v="601"/>
    <x v="1"/>
    <x v="3"/>
    <n v="5"/>
    <n v="534.73"/>
    <n v="0.01"/>
    <x v="2"/>
    <x v="7"/>
    <n v="3.2"/>
    <n v="2646.91"/>
    <n v="2646.9135000000001"/>
    <n v="17"/>
    <x v="7"/>
    <x v="3"/>
  </r>
  <r>
    <n v="11326"/>
    <d v="2025-08-18T00:00:00"/>
    <x v="503"/>
    <x v="3"/>
    <x v="1"/>
    <n v="3"/>
    <n v="513"/>
    <n v="0.19"/>
    <x v="1"/>
    <x v="7"/>
    <n v="1.4"/>
    <n v="1246.5899999999999"/>
    <n v="1246.5900000000001"/>
    <n v="18"/>
    <x v="7"/>
    <x v="3"/>
  </r>
  <r>
    <n v="11327"/>
    <d v="2025-08-19T00:00:00"/>
    <x v="714"/>
    <x v="3"/>
    <x v="3"/>
    <n v="6"/>
    <n v="268.52"/>
    <n v="0.22"/>
    <x v="1"/>
    <x v="9"/>
    <n v="4.7"/>
    <n v="1256.67"/>
    <n v="1256.6735999999999"/>
    <n v="19"/>
    <x v="7"/>
    <x v="3"/>
  </r>
  <r>
    <n v="11328"/>
    <d v="2025-08-20T00:00:00"/>
    <x v="715"/>
    <x v="2"/>
    <x v="3"/>
    <n v="7"/>
    <n v="458.82"/>
    <n v="0.35"/>
    <x v="1"/>
    <x v="7"/>
    <n v="4.3"/>
    <n v="2087.63"/>
    <n v="2087.6309999999999"/>
    <n v="20"/>
    <x v="7"/>
    <x v="3"/>
  </r>
  <r>
    <n v="11329"/>
    <d v="2025-08-21T00:00:00"/>
    <x v="199"/>
    <x v="3"/>
    <x v="3"/>
    <n v="5"/>
    <n v="72.08"/>
    <n v="0.35"/>
    <x v="2"/>
    <x v="5"/>
    <n v="3.7"/>
    <n v="234.26"/>
    <n v="234.26"/>
    <n v="21"/>
    <x v="7"/>
    <x v="3"/>
  </r>
  <r>
    <n v="11330"/>
    <d v="2025-08-22T00:00:00"/>
    <x v="444"/>
    <x v="1"/>
    <x v="2"/>
    <n v="7"/>
    <n v="38.54"/>
    <n v="0.3"/>
    <x v="2"/>
    <x v="6"/>
    <n v="5"/>
    <n v="188.85"/>
    <n v="188.84599999999998"/>
    <n v="22"/>
    <x v="7"/>
    <x v="3"/>
  </r>
  <r>
    <n v="11331"/>
    <d v="2025-08-23T00:00:00"/>
    <x v="295"/>
    <x v="3"/>
    <x v="0"/>
    <n v="3"/>
    <n v="455.64"/>
    <n v="0.02"/>
    <x v="2"/>
    <x v="2"/>
    <n v="1.1000000000000001"/>
    <n v="1339.58"/>
    <n v="1339.5816"/>
    <n v="23"/>
    <x v="7"/>
    <x v="3"/>
  </r>
  <r>
    <n v="11332"/>
    <d v="2025-08-24T00:00:00"/>
    <x v="716"/>
    <x v="1"/>
    <x v="2"/>
    <n v="5"/>
    <n v="263.83"/>
    <n v="0.33"/>
    <x v="1"/>
    <x v="6"/>
    <n v="2.6"/>
    <n v="883.83"/>
    <n v="883.8304999999998"/>
    <n v="24"/>
    <x v="7"/>
    <x v="3"/>
  </r>
  <r>
    <n v="11333"/>
    <d v="2025-08-25T00:00:00"/>
    <x v="330"/>
    <x v="1"/>
    <x v="2"/>
    <n v="5"/>
    <n v="597.4"/>
    <n v="0.21"/>
    <x v="2"/>
    <x v="10"/>
    <n v="4.4000000000000004"/>
    <n v="2359.73"/>
    <n v="2359.73"/>
    <n v="25"/>
    <x v="7"/>
    <x v="3"/>
  </r>
  <r>
    <n v="11334"/>
    <d v="2025-08-26T00:00:00"/>
    <x v="717"/>
    <x v="0"/>
    <x v="3"/>
    <n v="2"/>
    <n v="71.89"/>
    <n v="0.28000000000000003"/>
    <x v="2"/>
    <x v="6"/>
    <n v="2.7"/>
    <n v="103.52"/>
    <n v="103.52160000000001"/>
    <n v="26"/>
    <x v="7"/>
    <x v="3"/>
  </r>
  <r>
    <n v="11335"/>
    <d v="2025-08-27T00:00:00"/>
    <x v="718"/>
    <x v="2"/>
    <x v="1"/>
    <n v="6"/>
    <n v="515.54"/>
    <n v="0.14000000000000001"/>
    <x v="0"/>
    <x v="1"/>
    <n v="1"/>
    <n v="2660.19"/>
    <n v="2660.1863999999996"/>
    <n v="27"/>
    <x v="7"/>
    <x v="3"/>
  </r>
  <r>
    <n v="11336"/>
    <d v="2025-08-28T00:00:00"/>
    <x v="152"/>
    <x v="3"/>
    <x v="0"/>
    <n v="6"/>
    <n v="295.79000000000002"/>
    <n v="0.11"/>
    <x v="1"/>
    <x v="5"/>
    <n v="1.6"/>
    <n v="1579.52"/>
    <n v="1579.5186000000003"/>
    <n v="28"/>
    <x v="7"/>
    <x v="3"/>
  </r>
  <r>
    <n v="11337"/>
    <d v="2025-08-29T00:00:00"/>
    <x v="591"/>
    <x v="1"/>
    <x v="3"/>
    <n v="1"/>
    <n v="498.88"/>
    <n v="0.16"/>
    <x v="0"/>
    <x v="6"/>
    <n v="2.7"/>
    <n v="419.06"/>
    <n v="419.05919999999998"/>
    <n v="29"/>
    <x v="7"/>
    <x v="3"/>
  </r>
  <r>
    <n v="11338"/>
    <d v="2025-08-30T00:00:00"/>
    <x v="556"/>
    <x v="1"/>
    <x v="0"/>
    <n v="7"/>
    <n v="493.02"/>
    <n v="0.05"/>
    <x v="0"/>
    <x v="10"/>
    <n v="3.7"/>
    <n v="3278.58"/>
    <n v="3278.5830000000001"/>
    <n v="30"/>
    <x v="7"/>
    <x v="3"/>
  </r>
  <r>
    <n v="11339"/>
    <d v="2025-08-31T00:00:00"/>
    <x v="715"/>
    <x v="2"/>
    <x v="2"/>
    <n v="7"/>
    <n v="550.86"/>
    <n v="0.12"/>
    <x v="2"/>
    <x v="9"/>
    <n v="1.7"/>
    <n v="3393.3"/>
    <n v="3393.2975999999999"/>
    <n v="31"/>
    <x v="7"/>
    <x v="3"/>
  </r>
  <r>
    <n v="11340"/>
    <d v="2025-09-01T00:00:00"/>
    <x v="719"/>
    <x v="1"/>
    <x v="0"/>
    <n v="6"/>
    <n v="189.24"/>
    <n v="0.3"/>
    <x v="2"/>
    <x v="7"/>
    <n v="2.8"/>
    <n v="794.81"/>
    <n v="794.80799999999999"/>
    <n v="1"/>
    <x v="8"/>
    <x v="3"/>
  </r>
  <r>
    <n v="11341"/>
    <d v="2025-09-02T00:00:00"/>
    <x v="134"/>
    <x v="2"/>
    <x v="0"/>
    <n v="6"/>
    <n v="570.63"/>
    <n v="0.01"/>
    <x v="1"/>
    <x v="4"/>
    <n v="1.1000000000000001"/>
    <n v="3389.54"/>
    <n v="3389.5421999999999"/>
    <n v="2"/>
    <x v="8"/>
    <x v="3"/>
  </r>
  <r>
    <n v="11342"/>
    <d v="2025-09-03T00:00:00"/>
    <x v="683"/>
    <x v="2"/>
    <x v="1"/>
    <n v="5"/>
    <n v="103.73"/>
    <n v="0.05"/>
    <x v="0"/>
    <x v="4"/>
    <n v="2.9"/>
    <n v="492.72"/>
    <n v="492.71749999999997"/>
    <n v="3"/>
    <x v="8"/>
    <x v="3"/>
  </r>
  <r>
    <n v="11343"/>
    <d v="2025-09-04T00:00:00"/>
    <x v="458"/>
    <x v="2"/>
    <x v="3"/>
    <n v="7"/>
    <n v="62.95"/>
    <n v="0.04"/>
    <x v="1"/>
    <x v="5"/>
    <n v="4.5999999999999996"/>
    <n v="423.02"/>
    <n v="423.02400000000006"/>
    <n v="4"/>
    <x v="8"/>
    <x v="3"/>
  </r>
  <r>
    <n v="11344"/>
    <d v="2025-09-05T00:00:00"/>
    <x v="575"/>
    <x v="2"/>
    <x v="0"/>
    <n v="4"/>
    <n v="267.5"/>
    <n v="0.14000000000000001"/>
    <x v="2"/>
    <x v="8"/>
    <n v="3.4"/>
    <n v="920.2"/>
    <n v="920.2"/>
    <n v="5"/>
    <x v="8"/>
    <x v="3"/>
  </r>
  <r>
    <n v="11345"/>
    <d v="2025-09-06T00:00:00"/>
    <x v="720"/>
    <x v="0"/>
    <x v="0"/>
    <n v="2"/>
    <n v="499.57"/>
    <n v="0.35"/>
    <x v="1"/>
    <x v="7"/>
    <n v="2.8"/>
    <n v="649.44000000000005"/>
    <n v="649.44100000000003"/>
    <n v="6"/>
    <x v="8"/>
    <x v="3"/>
  </r>
  <r>
    <n v="11346"/>
    <d v="2025-09-07T00:00:00"/>
    <x v="624"/>
    <x v="0"/>
    <x v="2"/>
    <n v="1"/>
    <n v="291.95"/>
    <n v="0.06"/>
    <x v="1"/>
    <x v="9"/>
    <n v="1.6"/>
    <n v="274.43"/>
    <n v="274.43299999999999"/>
    <n v="7"/>
    <x v="8"/>
    <x v="3"/>
  </r>
  <r>
    <n v="11347"/>
    <d v="2025-09-08T00:00:00"/>
    <x v="268"/>
    <x v="1"/>
    <x v="2"/>
    <n v="2"/>
    <n v="500.13"/>
    <n v="0.05"/>
    <x v="2"/>
    <x v="7"/>
    <n v="1.8"/>
    <n v="950.25"/>
    <n v="950.24699999999996"/>
    <n v="8"/>
    <x v="8"/>
    <x v="3"/>
  </r>
  <r>
    <n v="11348"/>
    <d v="2025-09-09T00:00:00"/>
    <x v="721"/>
    <x v="3"/>
    <x v="0"/>
    <n v="1"/>
    <n v="441.87"/>
    <n v="0.32"/>
    <x v="0"/>
    <x v="7"/>
    <n v="1.3"/>
    <n v="300.47000000000003"/>
    <n v="300.47159999999997"/>
    <n v="9"/>
    <x v="8"/>
    <x v="3"/>
  </r>
  <r>
    <n v="11349"/>
    <d v="2025-09-10T00:00:00"/>
    <x v="444"/>
    <x v="2"/>
    <x v="3"/>
    <n v="3"/>
    <n v="137.52000000000001"/>
    <n v="0.31"/>
    <x v="2"/>
    <x v="6"/>
    <n v="4"/>
    <n v="284.67"/>
    <n v="284.66640000000007"/>
    <n v="10"/>
    <x v="8"/>
    <x v="3"/>
  </r>
  <r>
    <n v="11350"/>
    <d v="2025-09-11T00:00:00"/>
    <x v="249"/>
    <x v="3"/>
    <x v="0"/>
    <n v="5"/>
    <n v="570.1"/>
    <n v="0.01"/>
    <x v="0"/>
    <x v="4"/>
    <n v="1.3"/>
    <n v="2822"/>
    <n v="2821.9949999999999"/>
    <n v="11"/>
    <x v="8"/>
    <x v="3"/>
  </r>
  <r>
    <n v="11351"/>
    <d v="2025-09-12T00:00:00"/>
    <x v="430"/>
    <x v="3"/>
    <x v="0"/>
    <n v="6"/>
    <n v="50.56"/>
    <n v="0.26"/>
    <x v="2"/>
    <x v="6"/>
    <n v="2.5"/>
    <n v="224.49"/>
    <n v="224.4864"/>
    <n v="12"/>
    <x v="8"/>
    <x v="3"/>
  </r>
  <r>
    <n v="11352"/>
    <d v="2025-09-13T00:00:00"/>
    <x v="606"/>
    <x v="0"/>
    <x v="1"/>
    <n v="6"/>
    <n v="540.49"/>
    <n v="0.23"/>
    <x v="1"/>
    <x v="8"/>
    <n v="4"/>
    <n v="2497.06"/>
    <n v="2497.0637999999999"/>
    <n v="13"/>
    <x v="8"/>
    <x v="3"/>
  </r>
  <r>
    <n v="11353"/>
    <d v="2025-09-14T00:00:00"/>
    <x v="206"/>
    <x v="1"/>
    <x v="3"/>
    <n v="4"/>
    <n v="193.1"/>
    <n v="0.27"/>
    <x v="1"/>
    <x v="6"/>
    <n v="3.9"/>
    <n v="563.85"/>
    <n v="563.85199999999998"/>
    <n v="14"/>
    <x v="8"/>
    <x v="3"/>
  </r>
  <r>
    <n v="11354"/>
    <d v="2025-09-15T00:00:00"/>
    <x v="590"/>
    <x v="3"/>
    <x v="1"/>
    <n v="7"/>
    <n v="307.58999999999997"/>
    <n v="0.17"/>
    <x v="2"/>
    <x v="10"/>
    <n v="3.3"/>
    <n v="1787.1"/>
    <n v="1787.0978999999998"/>
    <n v="15"/>
    <x v="8"/>
    <x v="3"/>
  </r>
  <r>
    <n v="11355"/>
    <d v="2025-09-16T00:00:00"/>
    <x v="229"/>
    <x v="2"/>
    <x v="3"/>
    <n v="7"/>
    <n v="262.08"/>
    <n v="0.35"/>
    <x v="1"/>
    <x v="6"/>
    <n v="3.3"/>
    <n v="1192.46"/>
    <n v="1192.4639999999999"/>
    <n v="16"/>
    <x v="8"/>
    <x v="3"/>
  </r>
  <r>
    <n v="11356"/>
    <d v="2025-09-17T00:00:00"/>
    <x v="722"/>
    <x v="0"/>
    <x v="3"/>
    <n v="2"/>
    <n v="115.52"/>
    <n v="0.02"/>
    <x v="2"/>
    <x v="0"/>
    <n v="1.4"/>
    <n v="226.42"/>
    <n v="226.41919999999999"/>
    <n v="17"/>
    <x v="8"/>
    <x v="3"/>
  </r>
  <r>
    <n v="11357"/>
    <d v="2025-09-18T00:00:00"/>
    <x v="723"/>
    <x v="2"/>
    <x v="3"/>
    <n v="2"/>
    <n v="224.52"/>
    <n v="0.08"/>
    <x v="1"/>
    <x v="7"/>
    <n v="1.7"/>
    <n v="413.12"/>
    <n v="413.11680000000001"/>
    <n v="18"/>
    <x v="8"/>
    <x v="3"/>
  </r>
  <r>
    <n v="11358"/>
    <d v="2025-09-19T00:00:00"/>
    <x v="578"/>
    <x v="1"/>
    <x v="1"/>
    <n v="2"/>
    <n v="127.87"/>
    <n v="0.14000000000000001"/>
    <x v="1"/>
    <x v="5"/>
    <n v="3.1"/>
    <n v="219.94"/>
    <n v="219.93639999999999"/>
    <n v="19"/>
    <x v="8"/>
    <x v="3"/>
  </r>
  <r>
    <n v="11359"/>
    <d v="2025-09-20T00:00:00"/>
    <x v="494"/>
    <x v="3"/>
    <x v="1"/>
    <n v="7"/>
    <n v="134.27000000000001"/>
    <n v="0.16"/>
    <x v="2"/>
    <x v="9"/>
    <n v="2.4"/>
    <n v="789.51"/>
    <n v="789.50760000000014"/>
    <n v="20"/>
    <x v="8"/>
    <x v="3"/>
  </r>
  <r>
    <n v="11360"/>
    <d v="2025-09-21T00:00:00"/>
    <x v="399"/>
    <x v="3"/>
    <x v="1"/>
    <n v="6"/>
    <n v="124.43"/>
    <n v="0.32"/>
    <x v="2"/>
    <x v="5"/>
    <n v="1.1000000000000001"/>
    <n v="507.67"/>
    <n v="507.67439999999999"/>
    <n v="21"/>
    <x v="8"/>
    <x v="3"/>
  </r>
  <r>
    <n v="11361"/>
    <d v="2025-09-22T00:00:00"/>
    <x v="702"/>
    <x v="2"/>
    <x v="2"/>
    <n v="7"/>
    <n v="301.08"/>
    <n v="0.2"/>
    <x v="1"/>
    <x v="5"/>
    <n v="4.2"/>
    <n v="1686.05"/>
    <n v="1686.048"/>
    <n v="22"/>
    <x v="8"/>
    <x v="3"/>
  </r>
  <r>
    <n v="11362"/>
    <d v="2025-09-23T00:00:00"/>
    <x v="724"/>
    <x v="0"/>
    <x v="1"/>
    <n v="2"/>
    <n v="481.79"/>
    <n v="0.02"/>
    <x v="1"/>
    <x v="10"/>
    <n v="3.6"/>
    <n v="944.31"/>
    <n v="944.30840000000001"/>
    <n v="23"/>
    <x v="8"/>
    <x v="3"/>
  </r>
  <r>
    <n v="11363"/>
    <d v="2025-09-24T00:00:00"/>
    <x v="154"/>
    <x v="2"/>
    <x v="2"/>
    <n v="5"/>
    <n v="347.85"/>
    <n v="0.14000000000000001"/>
    <x v="1"/>
    <x v="8"/>
    <n v="2.2999999999999998"/>
    <n v="1495.76"/>
    <n v="1495.7549999999999"/>
    <n v="24"/>
    <x v="8"/>
    <x v="3"/>
  </r>
  <r>
    <n v="11364"/>
    <d v="2025-09-25T00:00:00"/>
    <x v="725"/>
    <x v="1"/>
    <x v="2"/>
    <n v="1"/>
    <n v="537.53"/>
    <n v="0.15"/>
    <x v="1"/>
    <x v="1"/>
    <n v="1.4"/>
    <n v="456.9"/>
    <n v="456.90049999999997"/>
    <n v="25"/>
    <x v="8"/>
    <x v="3"/>
  </r>
  <r>
    <n v="11365"/>
    <d v="2025-09-26T00:00:00"/>
    <x v="131"/>
    <x v="2"/>
    <x v="2"/>
    <n v="6"/>
    <n v="387.38"/>
    <n v="0.34"/>
    <x v="2"/>
    <x v="9"/>
    <n v="3.4"/>
    <n v="1534.02"/>
    <n v="1534.0247999999997"/>
    <n v="26"/>
    <x v="8"/>
    <x v="3"/>
  </r>
  <r>
    <n v="11366"/>
    <d v="2025-09-27T00:00:00"/>
    <x v="41"/>
    <x v="2"/>
    <x v="0"/>
    <n v="5"/>
    <n v="418.26"/>
    <n v="0.21"/>
    <x v="2"/>
    <x v="1"/>
    <n v="2.4"/>
    <n v="1652.13"/>
    <n v="1652.1270000000002"/>
    <n v="27"/>
    <x v="8"/>
    <x v="3"/>
  </r>
  <r>
    <n v="11367"/>
    <d v="2025-09-28T00:00:00"/>
    <x v="726"/>
    <x v="1"/>
    <x v="0"/>
    <n v="3"/>
    <n v="405.55"/>
    <n v="0.22"/>
    <x v="1"/>
    <x v="10"/>
    <n v="2"/>
    <n v="948.99"/>
    <n v="948.98700000000008"/>
    <n v="28"/>
    <x v="8"/>
    <x v="3"/>
  </r>
  <r>
    <n v="11368"/>
    <d v="2025-09-29T00:00:00"/>
    <x v="727"/>
    <x v="1"/>
    <x v="0"/>
    <n v="5"/>
    <n v="277.93"/>
    <n v="0.25"/>
    <x v="1"/>
    <x v="4"/>
    <n v="3.9"/>
    <n v="1042.24"/>
    <n v="1042.2375000000002"/>
    <n v="29"/>
    <x v="8"/>
    <x v="3"/>
  </r>
  <r>
    <n v="11369"/>
    <d v="2025-09-30T00:00:00"/>
    <x v="214"/>
    <x v="2"/>
    <x v="2"/>
    <n v="5"/>
    <n v="418.26"/>
    <n v="0.27"/>
    <x v="1"/>
    <x v="8"/>
    <n v="2.2999999999999998"/>
    <n v="1526.65"/>
    <n v="1526.6490000000003"/>
    <n v="30"/>
    <x v="8"/>
    <x v="3"/>
  </r>
  <r>
    <n v="11370"/>
    <d v="2025-10-01T00:00:00"/>
    <x v="309"/>
    <x v="2"/>
    <x v="2"/>
    <n v="3"/>
    <n v="55.78"/>
    <n v="0.22"/>
    <x v="1"/>
    <x v="3"/>
    <n v="1.5"/>
    <n v="130.53"/>
    <n v="130.52519999999998"/>
    <n v="1"/>
    <x v="9"/>
    <x v="3"/>
  </r>
  <r>
    <n v="11371"/>
    <d v="2025-10-02T00:00:00"/>
    <x v="728"/>
    <x v="1"/>
    <x v="3"/>
    <n v="5"/>
    <n v="518.01"/>
    <n v="0.08"/>
    <x v="2"/>
    <x v="5"/>
    <n v="2.9"/>
    <n v="2382.85"/>
    <n v="2382.846"/>
    <n v="2"/>
    <x v="9"/>
    <x v="3"/>
  </r>
  <r>
    <n v="11372"/>
    <d v="2025-10-03T00:00:00"/>
    <x v="481"/>
    <x v="3"/>
    <x v="2"/>
    <n v="1"/>
    <n v="470.02"/>
    <n v="0.31"/>
    <x v="1"/>
    <x v="6"/>
    <n v="4.3"/>
    <n v="324.31"/>
    <n v="324.31380000000001"/>
    <n v="3"/>
    <x v="9"/>
    <x v="3"/>
  </r>
  <r>
    <n v="11373"/>
    <d v="2025-10-04T00:00:00"/>
    <x v="613"/>
    <x v="0"/>
    <x v="0"/>
    <n v="6"/>
    <n v="158.46"/>
    <n v="0.26"/>
    <x v="1"/>
    <x v="7"/>
    <n v="4.4000000000000004"/>
    <n v="703.56"/>
    <n v="703.56240000000003"/>
    <n v="4"/>
    <x v="9"/>
    <x v="3"/>
  </r>
  <r>
    <n v="11374"/>
    <d v="2025-10-05T00:00:00"/>
    <x v="729"/>
    <x v="2"/>
    <x v="2"/>
    <n v="4"/>
    <n v="464.3"/>
    <n v="0.26"/>
    <x v="2"/>
    <x v="5"/>
    <n v="4.4000000000000004"/>
    <n v="1374.33"/>
    <n v="1374.328"/>
    <n v="5"/>
    <x v="9"/>
    <x v="3"/>
  </r>
  <r>
    <n v="11375"/>
    <d v="2025-10-06T00:00:00"/>
    <x v="643"/>
    <x v="1"/>
    <x v="2"/>
    <n v="7"/>
    <n v="22.4"/>
    <n v="0.35"/>
    <x v="1"/>
    <x v="4"/>
    <n v="2.7"/>
    <n v="101.92"/>
    <n v="101.91999999999999"/>
    <n v="6"/>
    <x v="9"/>
    <x v="3"/>
  </r>
  <r>
    <n v="11376"/>
    <d v="2025-10-07T00:00:00"/>
    <x v="730"/>
    <x v="2"/>
    <x v="3"/>
    <n v="3"/>
    <n v="142.09"/>
    <n v="0.28000000000000003"/>
    <x v="2"/>
    <x v="7"/>
    <n v="4.2"/>
    <n v="306.91000000000003"/>
    <n v="306.9144"/>
    <n v="7"/>
    <x v="9"/>
    <x v="3"/>
  </r>
  <r>
    <n v="11377"/>
    <d v="2025-10-08T00:00:00"/>
    <x v="352"/>
    <x v="2"/>
    <x v="2"/>
    <n v="6"/>
    <n v="53.11"/>
    <n v="0.28999999999999998"/>
    <x v="2"/>
    <x v="5"/>
    <n v="4.4000000000000004"/>
    <n v="226.25"/>
    <n v="226.24859999999995"/>
    <n v="8"/>
    <x v="9"/>
    <x v="3"/>
  </r>
  <r>
    <n v="11378"/>
    <d v="2025-10-09T00:00:00"/>
    <x v="70"/>
    <x v="3"/>
    <x v="1"/>
    <n v="2"/>
    <n v="471.43"/>
    <n v="0.33"/>
    <x v="1"/>
    <x v="1"/>
    <n v="2.8"/>
    <n v="631.72"/>
    <n v="631.71620000000007"/>
    <n v="9"/>
    <x v="9"/>
    <x v="3"/>
  </r>
  <r>
    <n v="11379"/>
    <d v="2025-10-10T00:00:00"/>
    <x v="731"/>
    <x v="1"/>
    <x v="3"/>
    <n v="1"/>
    <n v="457.19"/>
    <n v="0.05"/>
    <x v="2"/>
    <x v="5"/>
    <n v="2.2999999999999998"/>
    <n v="434.33"/>
    <n v="434.33049999999997"/>
    <n v="10"/>
    <x v="9"/>
    <x v="3"/>
  </r>
  <r>
    <n v="11380"/>
    <d v="2025-10-11T00:00:00"/>
    <x v="487"/>
    <x v="2"/>
    <x v="2"/>
    <n v="4"/>
    <n v="490.98"/>
    <n v="0.17"/>
    <x v="2"/>
    <x v="4"/>
    <n v="3.8"/>
    <n v="1630.05"/>
    <n v="1630.0536"/>
    <n v="11"/>
    <x v="9"/>
    <x v="3"/>
  </r>
  <r>
    <n v="11381"/>
    <d v="2025-10-12T00:00:00"/>
    <x v="239"/>
    <x v="2"/>
    <x v="2"/>
    <n v="1"/>
    <n v="17.62"/>
    <n v="0.2"/>
    <x v="2"/>
    <x v="4"/>
    <n v="4.5999999999999996"/>
    <n v="14.1"/>
    <n v="14.096"/>
    <n v="12"/>
    <x v="9"/>
    <x v="3"/>
  </r>
  <r>
    <n v="11382"/>
    <d v="2025-10-13T00:00:00"/>
    <x v="521"/>
    <x v="2"/>
    <x v="3"/>
    <n v="1"/>
    <n v="308.22000000000003"/>
    <n v="0.12"/>
    <x v="2"/>
    <x v="2"/>
    <n v="4.9000000000000004"/>
    <n v="271.23"/>
    <n v="271.23360000000002"/>
    <n v="13"/>
    <x v="9"/>
    <x v="3"/>
  </r>
  <r>
    <n v="11383"/>
    <d v="2025-10-14T00:00:00"/>
    <x v="397"/>
    <x v="3"/>
    <x v="2"/>
    <n v="2"/>
    <n v="427.33"/>
    <n v="0.28999999999999998"/>
    <x v="0"/>
    <x v="8"/>
    <n v="2.2000000000000002"/>
    <n v="606.80999999999995"/>
    <n v="606.80859999999996"/>
    <n v="14"/>
    <x v="9"/>
    <x v="3"/>
  </r>
  <r>
    <n v="11384"/>
    <d v="2025-10-15T00:00:00"/>
    <x v="732"/>
    <x v="0"/>
    <x v="0"/>
    <n v="4"/>
    <n v="105.91"/>
    <n v="0.27"/>
    <x v="0"/>
    <x v="1"/>
    <n v="4.8"/>
    <n v="309.26"/>
    <n v="309.25720000000001"/>
    <n v="15"/>
    <x v="9"/>
    <x v="3"/>
  </r>
  <r>
    <n v="11385"/>
    <d v="2025-10-16T00:00:00"/>
    <x v="162"/>
    <x v="2"/>
    <x v="1"/>
    <n v="7"/>
    <n v="395.13"/>
    <n v="0.25"/>
    <x v="2"/>
    <x v="2"/>
    <n v="3"/>
    <n v="2074.4299999999998"/>
    <n v="2074.4324999999999"/>
    <n v="16"/>
    <x v="9"/>
    <x v="3"/>
  </r>
  <r>
    <n v="11386"/>
    <d v="2025-10-17T00:00:00"/>
    <x v="733"/>
    <x v="2"/>
    <x v="1"/>
    <n v="1"/>
    <n v="64.2"/>
    <n v="0.35"/>
    <x v="0"/>
    <x v="1"/>
    <n v="2.2000000000000002"/>
    <n v="41.73"/>
    <n v="41.730000000000004"/>
    <n v="17"/>
    <x v="9"/>
    <x v="3"/>
  </r>
  <r>
    <n v="11387"/>
    <d v="2025-10-18T00:00:00"/>
    <x v="381"/>
    <x v="0"/>
    <x v="0"/>
    <n v="2"/>
    <n v="121.08"/>
    <n v="0.09"/>
    <x v="1"/>
    <x v="1"/>
    <n v="5"/>
    <n v="220.37"/>
    <n v="220.3656"/>
    <n v="18"/>
    <x v="9"/>
    <x v="3"/>
  </r>
  <r>
    <n v="11388"/>
    <d v="2025-10-19T00:00:00"/>
    <x v="67"/>
    <x v="0"/>
    <x v="2"/>
    <n v="3"/>
    <n v="293.33999999999997"/>
    <n v="0.26"/>
    <x v="2"/>
    <x v="9"/>
    <n v="4.5"/>
    <n v="651.21"/>
    <n v="651.21479999999997"/>
    <n v="19"/>
    <x v="9"/>
    <x v="3"/>
  </r>
  <r>
    <n v="11389"/>
    <d v="2025-10-20T00:00:00"/>
    <x v="593"/>
    <x v="1"/>
    <x v="2"/>
    <n v="2"/>
    <n v="397.34"/>
    <n v="0.19"/>
    <x v="1"/>
    <x v="2"/>
    <n v="3.8"/>
    <n v="643.69000000000005"/>
    <n v="643.69079999999997"/>
    <n v="20"/>
    <x v="9"/>
    <x v="3"/>
  </r>
  <r>
    <n v="11390"/>
    <d v="2025-10-21T00:00:00"/>
    <x v="734"/>
    <x v="2"/>
    <x v="1"/>
    <n v="5"/>
    <n v="100.33"/>
    <n v="0.11"/>
    <x v="1"/>
    <x v="1"/>
    <n v="4.5999999999999996"/>
    <n v="446.47"/>
    <n v="446.46849999999995"/>
    <n v="21"/>
    <x v="9"/>
    <x v="3"/>
  </r>
  <r>
    <n v="11391"/>
    <d v="2025-10-22T00:00:00"/>
    <x v="310"/>
    <x v="2"/>
    <x v="2"/>
    <n v="6"/>
    <n v="123.36"/>
    <n v="0.06"/>
    <x v="2"/>
    <x v="0"/>
    <n v="3.7"/>
    <n v="695.75"/>
    <n v="695.75040000000001"/>
    <n v="22"/>
    <x v="9"/>
    <x v="3"/>
  </r>
  <r>
    <n v="11392"/>
    <d v="2025-10-23T00:00:00"/>
    <x v="724"/>
    <x v="1"/>
    <x v="1"/>
    <n v="2"/>
    <n v="134.6"/>
    <n v="0.31"/>
    <x v="2"/>
    <x v="4"/>
    <n v="2.8"/>
    <n v="185.75"/>
    <n v="185.74799999999999"/>
    <n v="23"/>
    <x v="9"/>
    <x v="3"/>
  </r>
  <r>
    <n v="11393"/>
    <d v="2025-10-24T00:00:00"/>
    <x v="136"/>
    <x v="1"/>
    <x v="1"/>
    <n v="2"/>
    <n v="154.63999999999999"/>
    <n v="0.21"/>
    <x v="1"/>
    <x v="6"/>
    <n v="4.8"/>
    <n v="244.33"/>
    <n v="244.33119999999997"/>
    <n v="24"/>
    <x v="9"/>
    <x v="3"/>
  </r>
  <r>
    <n v="11394"/>
    <d v="2025-10-25T00:00:00"/>
    <x v="716"/>
    <x v="2"/>
    <x v="0"/>
    <n v="2"/>
    <n v="147.53"/>
    <n v="0.28999999999999998"/>
    <x v="2"/>
    <x v="6"/>
    <n v="4.9000000000000004"/>
    <n v="209.49"/>
    <n v="209.49260000000001"/>
    <n v="25"/>
    <x v="9"/>
    <x v="3"/>
  </r>
  <r>
    <n v="11395"/>
    <d v="2025-10-26T00:00:00"/>
    <x v="635"/>
    <x v="1"/>
    <x v="1"/>
    <n v="7"/>
    <n v="246.16"/>
    <n v="0.19"/>
    <x v="2"/>
    <x v="7"/>
    <n v="2.2999999999999998"/>
    <n v="1395.73"/>
    <n v="1395.7271999999998"/>
    <n v="26"/>
    <x v="9"/>
    <x v="3"/>
  </r>
  <r>
    <n v="11396"/>
    <d v="2025-10-27T00:00:00"/>
    <x v="735"/>
    <x v="2"/>
    <x v="2"/>
    <n v="1"/>
    <n v="397.47"/>
    <n v="0.08"/>
    <x v="1"/>
    <x v="4"/>
    <n v="2.4"/>
    <n v="365.67"/>
    <n v="365.67240000000004"/>
    <n v="27"/>
    <x v="9"/>
    <x v="3"/>
  </r>
  <r>
    <n v="11397"/>
    <d v="2025-10-28T00:00:00"/>
    <x v="454"/>
    <x v="3"/>
    <x v="2"/>
    <n v="7"/>
    <n v="271.25"/>
    <n v="0.12"/>
    <x v="1"/>
    <x v="8"/>
    <n v="2.5"/>
    <n v="1670.9"/>
    <n v="1670.9"/>
    <n v="28"/>
    <x v="9"/>
    <x v="3"/>
  </r>
  <r>
    <n v="11398"/>
    <d v="2025-10-29T00:00:00"/>
    <x v="219"/>
    <x v="2"/>
    <x v="3"/>
    <n v="4"/>
    <n v="468.94"/>
    <n v="0.13"/>
    <x v="1"/>
    <x v="10"/>
    <n v="4.3"/>
    <n v="1631.91"/>
    <n v="1631.9112"/>
    <n v="29"/>
    <x v="9"/>
    <x v="3"/>
  </r>
  <r>
    <n v="11399"/>
    <d v="2025-10-30T00:00:00"/>
    <x v="29"/>
    <x v="2"/>
    <x v="2"/>
    <n v="2"/>
    <n v="435.77"/>
    <n v="0.34"/>
    <x v="1"/>
    <x v="9"/>
    <n v="4.2"/>
    <n v="575.22"/>
    <n v="575.21640000000002"/>
    <n v="30"/>
    <x v="9"/>
    <x v="3"/>
  </r>
  <r>
    <n v="11400"/>
    <d v="2025-10-31T00:00:00"/>
    <x v="639"/>
    <x v="1"/>
    <x v="3"/>
    <n v="2"/>
    <n v="89.02"/>
    <n v="0"/>
    <x v="2"/>
    <x v="8"/>
    <n v="4.9000000000000004"/>
    <n v="178.04"/>
    <n v="178.04"/>
    <n v="31"/>
    <x v="9"/>
    <x v="3"/>
  </r>
  <r>
    <n v="11401"/>
    <d v="2025-11-01T00:00:00"/>
    <x v="286"/>
    <x v="1"/>
    <x v="1"/>
    <n v="5"/>
    <n v="43.57"/>
    <n v="0.34"/>
    <x v="1"/>
    <x v="3"/>
    <n v="2.9"/>
    <n v="143.78"/>
    <n v="143.78100000000001"/>
    <n v="1"/>
    <x v="10"/>
    <x v="3"/>
  </r>
  <r>
    <n v="11402"/>
    <d v="2025-11-02T00:00:00"/>
    <x v="736"/>
    <x v="0"/>
    <x v="2"/>
    <n v="5"/>
    <n v="528.6"/>
    <n v="0.34"/>
    <x v="1"/>
    <x v="4"/>
    <n v="3.9"/>
    <n v="1744.38"/>
    <n v="1744.3799999999999"/>
    <n v="2"/>
    <x v="10"/>
    <x v="3"/>
  </r>
  <r>
    <n v="11403"/>
    <d v="2025-11-03T00:00:00"/>
    <x v="448"/>
    <x v="1"/>
    <x v="0"/>
    <n v="3"/>
    <n v="61.7"/>
    <n v="0.35"/>
    <x v="2"/>
    <x v="3"/>
    <n v="4.4000000000000004"/>
    <n v="120.32"/>
    <n v="120.31500000000003"/>
    <n v="3"/>
    <x v="10"/>
    <x v="3"/>
  </r>
  <r>
    <n v="11404"/>
    <d v="2025-11-04T00:00:00"/>
    <x v="505"/>
    <x v="2"/>
    <x v="0"/>
    <n v="3"/>
    <n v="101.78"/>
    <n v="0.17"/>
    <x v="2"/>
    <x v="5"/>
    <n v="1.9"/>
    <n v="253.43"/>
    <n v="253.43220000000002"/>
    <n v="4"/>
    <x v="10"/>
    <x v="3"/>
  </r>
  <r>
    <n v="11405"/>
    <d v="2025-11-05T00:00:00"/>
    <x v="13"/>
    <x v="3"/>
    <x v="0"/>
    <n v="5"/>
    <n v="27.95"/>
    <n v="0.34"/>
    <x v="1"/>
    <x v="5"/>
    <n v="3.5"/>
    <n v="92.23"/>
    <n v="92.234999999999999"/>
    <n v="5"/>
    <x v="10"/>
    <x v="3"/>
  </r>
  <r>
    <n v="11406"/>
    <d v="2025-11-06T00:00:00"/>
    <x v="707"/>
    <x v="2"/>
    <x v="1"/>
    <n v="4"/>
    <n v="382.58"/>
    <n v="0.14000000000000001"/>
    <x v="1"/>
    <x v="7"/>
    <n v="3.2"/>
    <n v="1316.08"/>
    <n v="1316.0752"/>
    <n v="6"/>
    <x v="10"/>
    <x v="3"/>
  </r>
  <r>
    <n v="11407"/>
    <d v="2025-11-07T00:00:00"/>
    <x v="147"/>
    <x v="0"/>
    <x v="1"/>
    <n v="3"/>
    <n v="355.69"/>
    <n v="0.01"/>
    <x v="1"/>
    <x v="2"/>
    <n v="4"/>
    <n v="1056.4000000000001"/>
    <n v="1056.3993"/>
    <n v="7"/>
    <x v="10"/>
    <x v="3"/>
  </r>
  <r>
    <n v="11408"/>
    <d v="2025-11-08T00:00:00"/>
    <x v="548"/>
    <x v="1"/>
    <x v="3"/>
    <n v="6"/>
    <n v="592.34"/>
    <n v="0.08"/>
    <x v="2"/>
    <x v="5"/>
    <n v="3.8"/>
    <n v="3269.72"/>
    <n v="3269.7168000000001"/>
    <n v="8"/>
    <x v="10"/>
    <x v="3"/>
  </r>
  <r>
    <n v="11409"/>
    <d v="2025-11-09T00:00:00"/>
    <x v="737"/>
    <x v="1"/>
    <x v="0"/>
    <n v="6"/>
    <n v="533.86"/>
    <n v="0.33"/>
    <x v="0"/>
    <x v="8"/>
    <n v="4.3"/>
    <n v="2146.12"/>
    <n v="2146.1171999999997"/>
    <n v="9"/>
    <x v="10"/>
    <x v="3"/>
  </r>
  <r>
    <n v="11410"/>
    <d v="2025-11-10T00:00:00"/>
    <x v="159"/>
    <x v="2"/>
    <x v="3"/>
    <n v="4"/>
    <n v="255.34"/>
    <n v="0"/>
    <x v="2"/>
    <x v="10"/>
    <n v="2.2000000000000002"/>
    <n v="1021.36"/>
    <n v="1021.36"/>
    <n v="10"/>
    <x v="10"/>
    <x v="3"/>
  </r>
  <r>
    <n v="11411"/>
    <d v="2025-11-11T00:00:00"/>
    <x v="441"/>
    <x v="1"/>
    <x v="3"/>
    <n v="5"/>
    <n v="232.38"/>
    <n v="0.19"/>
    <x v="1"/>
    <x v="4"/>
    <n v="1.9"/>
    <n v="941.14"/>
    <n v="941.13900000000012"/>
    <n v="11"/>
    <x v="10"/>
    <x v="3"/>
  </r>
  <r>
    <n v="11412"/>
    <d v="2025-11-12T00:00:00"/>
    <x v="106"/>
    <x v="3"/>
    <x v="2"/>
    <n v="3"/>
    <n v="188.66"/>
    <n v="0.03"/>
    <x v="2"/>
    <x v="1"/>
    <n v="4.2"/>
    <n v="549"/>
    <n v="549.00060000000008"/>
    <n v="12"/>
    <x v="10"/>
    <x v="3"/>
  </r>
  <r>
    <n v="11413"/>
    <d v="2025-11-13T00:00:00"/>
    <x v="702"/>
    <x v="3"/>
    <x v="2"/>
    <n v="2"/>
    <n v="104.16"/>
    <n v="0.1"/>
    <x v="1"/>
    <x v="6"/>
    <n v="2.4"/>
    <n v="187.49"/>
    <n v="187.488"/>
    <n v="13"/>
    <x v="10"/>
    <x v="3"/>
  </r>
  <r>
    <n v="11414"/>
    <d v="2025-11-14T00:00:00"/>
    <x v="738"/>
    <x v="2"/>
    <x v="0"/>
    <n v="5"/>
    <n v="95.78"/>
    <n v="0.03"/>
    <x v="1"/>
    <x v="4"/>
    <n v="2.2000000000000002"/>
    <n v="464.53"/>
    <n v="464.53299999999996"/>
    <n v="14"/>
    <x v="10"/>
    <x v="3"/>
  </r>
  <r>
    <n v="11415"/>
    <d v="2025-11-15T00:00:00"/>
    <x v="294"/>
    <x v="2"/>
    <x v="1"/>
    <n v="3"/>
    <n v="92.39"/>
    <n v="0.3"/>
    <x v="1"/>
    <x v="3"/>
    <n v="2.2999999999999998"/>
    <n v="194.02"/>
    <n v="194.01900000000001"/>
    <n v="15"/>
    <x v="10"/>
    <x v="3"/>
  </r>
  <r>
    <n v="11416"/>
    <d v="2025-11-16T00:00:00"/>
    <x v="54"/>
    <x v="3"/>
    <x v="2"/>
    <n v="4"/>
    <n v="81.760000000000005"/>
    <n v="0.21"/>
    <x v="2"/>
    <x v="9"/>
    <n v="1.3"/>
    <n v="258.36"/>
    <n v="258.36160000000001"/>
    <n v="16"/>
    <x v="10"/>
    <x v="3"/>
  </r>
  <r>
    <n v="11417"/>
    <d v="2025-11-17T00:00:00"/>
    <x v="270"/>
    <x v="0"/>
    <x v="1"/>
    <n v="6"/>
    <n v="155.69999999999999"/>
    <n v="0.32"/>
    <x v="2"/>
    <x v="6"/>
    <n v="4.0999999999999996"/>
    <n v="635.26"/>
    <n v="635.25599999999997"/>
    <n v="17"/>
    <x v="10"/>
    <x v="3"/>
  </r>
  <r>
    <n v="11418"/>
    <d v="2025-11-18T00:00:00"/>
    <x v="145"/>
    <x v="2"/>
    <x v="3"/>
    <n v="4"/>
    <n v="194.4"/>
    <n v="0.24"/>
    <x v="2"/>
    <x v="2"/>
    <n v="3.9"/>
    <n v="590.98"/>
    <n v="590.976"/>
    <n v="18"/>
    <x v="10"/>
    <x v="3"/>
  </r>
  <r>
    <n v="11419"/>
    <d v="2025-11-19T00:00:00"/>
    <x v="284"/>
    <x v="1"/>
    <x v="3"/>
    <n v="3"/>
    <n v="577.52"/>
    <n v="0.34"/>
    <x v="2"/>
    <x v="1"/>
    <n v="3.2"/>
    <n v="1143.49"/>
    <n v="1143.4895999999999"/>
    <n v="19"/>
    <x v="10"/>
    <x v="3"/>
  </r>
  <r>
    <n v="11420"/>
    <d v="2025-11-20T00:00:00"/>
    <x v="518"/>
    <x v="2"/>
    <x v="3"/>
    <n v="4"/>
    <n v="353.41"/>
    <n v="0.18"/>
    <x v="1"/>
    <x v="1"/>
    <n v="3.9"/>
    <n v="1159.18"/>
    <n v="1159.1848"/>
    <n v="20"/>
    <x v="10"/>
    <x v="3"/>
  </r>
  <r>
    <n v="11421"/>
    <d v="2025-11-21T00:00:00"/>
    <x v="589"/>
    <x v="0"/>
    <x v="3"/>
    <n v="3"/>
    <n v="592.74"/>
    <n v="0.22"/>
    <x v="1"/>
    <x v="3"/>
    <n v="2.5"/>
    <n v="1387.01"/>
    <n v="1387.0116"/>
    <n v="21"/>
    <x v="10"/>
    <x v="3"/>
  </r>
  <r>
    <n v="11422"/>
    <d v="2025-11-22T00:00:00"/>
    <x v="98"/>
    <x v="2"/>
    <x v="0"/>
    <n v="3"/>
    <n v="232.89"/>
    <n v="0.2"/>
    <x v="2"/>
    <x v="5"/>
    <n v="2.2000000000000002"/>
    <n v="558.94000000000005"/>
    <n v="558.93599999999992"/>
    <n v="22"/>
    <x v="10"/>
    <x v="3"/>
  </r>
  <r>
    <n v="11423"/>
    <d v="2025-11-23T00:00:00"/>
    <x v="392"/>
    <x v="2"/>
    <x v="3"/>
    <n v="4"/>
    <n v="282.70999999999998"/>
    <n v="0.17"/>
    <x v="2"/>
    <x v="10"/>
    <n v="4.4000000000000004"/>
    <n v="938.6"/>
    <n v="938.59719999999993"/>
    <n v="23"/>
    <x v="10"/>
    <x v="3"/>
  </r>
  <r>
    <n v="11424"/>
    <d v="2025-11-24T00:00:00"/>
    <x v="201"/>
    <x v="3"/>
    <x v="2"/>
    <n v="1"/>
    <n v="204.88"/>
    <n v="0.3"/>
    <x v="2"/>
    <x v="8"/>
    <n v="2.7"/>
    <n v="143.41999999999999"/>
    <n v="143.416"/>
    <n v="24"/>
    <x v="10"/>
    <x v="3"/>
  </r>
  <r>
    <n v="11425"/>
    <d v="2025-11-25T00:00:00"/>
    <x v="739"/>
    <x v="2"/>
    <x v="3"/>
    <n v="2"/>
    <n v="121.99"/>
    <n v="0.23"/>
    <x v="1"/>
    <x v="3"/>
    <n v="1.8"/>
    <n v="187.86"/>
    <n v="187.8646"/>
    <n v="25"/>
    <x v="10"/>
    <x v="3"/>
  </r>
  <r>
    <n v="11426"/>
    <d v="2025-11-26T00:00:00"/>
    <x v="107"/>
    <x v="1"/>
    <x v="1"/>
    <n v="5"/>
    <n v="98.75"/>
    <n v="0.28000000000000003"/>
    <x v="2"/>
    <x v="10"/>
    <n v="4"/>
    <n v="355.5"/>
    <n v="355.5"/>
    <n v="26"/>
    <x v="10"/>
    <x v="3"/>
  </r>
  <r>
    <n v="11427"/>
    <d v="2025-11-27T00:00:00"/>
    <x v="559"/>
    <x v="1"/>
    <x v="2"/>
    <n v="6"/>
    <n v="567.87"/>
    <n v="0.28000000000000003"/>
    <x v="1"/>
    <x v="3"/>
    <n v="2.2999999999999998"/>
    <n v="2453.1999999999998"/>
    <n v="2453.1984000000002"/>
    <n v="27"/>
    <x v="10"/>
    <x v="3"/>
  </r>
  <r>
    <n v="11428"/>
    <d v="2025-11-28T00:00:00"/>
    <x v="165"/>
    <x v="2"/>
    <x v="1"/>
    <n v="2"/>
    <n v="592.28"/>
    <n v="7.0000000000000007E-2"/>
    <x v="2"/>
    <x v="6"/>
    <n v="1.8"/>
    <n v="1101.6400000000001"/>
    <n v="1101.6407999999999"/>
    <n v="28"/>
    <x v="10"/>
    <x v="3"/>
  </r>
  <r>
    <n v="11429"/>
    <d v="2025-11-29T00:00:00"/>
    <x v="531"/>
    <x v="1"/>
    <x v="1"/>
    <n v="5"/>
    <n v="41.27"/>
    <n v="0.23"/>
    <x v="2"/>
    <x v="1"/>
    <n v="1.1000000000000001"/>
    <n v="158.88999999999999"/>
    <n v="158.88950000000003"/>
    <n v="29"/>
    <x v="10"/>
    <x v="3"/>
  </r>
  <r>
    <n v="11430"/>
    <d v="2025-11-30T00:00:00"/>
    <x v="138"/>
    <x v="1"/>
    <x v="0"/>
    <n v="5"/>
    <n v="102.95"/>
    <n v="7.0000000000000007E-2"/>
    <x v="0"/>
    <x v="1"/>
    <n v="4.9000000000000004"/>
    <n v="478.72"/>
    <n v="478.71749999999997"/>
    <n v="30"/>
    <x v="10"/>
    <x v="3"/>
  </r>
  <r>
    <n v="11431"/>
    <d v="2025-12-01T00:00:00"/>
    <x v="630"/>
    <x v="2"/>
    <x v="0"/>
    <n v="6"/>
    <n v="262.76"/>
    <n v="0.2"/>
    <x v="1"/>
    <x v="4"/>
    <n v="2.9"/>
    <n v="1261.25"/>
    <n v="1261.248"/>
    <n v="1"/>
    <x v="11"/>
    <x v="3"/>
  </r>
  <r>
    <n v="11432"/>
    <d v="2025-12-02T00:00:00"/>
    <x v="721"/>
    <x v="1"/>
    <x v="1"/>
    <n v="2"/>
    <n v="124.01"/>
    <n v="0.24"/>
    <x v="2"/>
    <x v="5"/>
    <n v="1.6"/>
    <n v="188.5"/>
    <n v="188.49520000000001"/>
    <n v="2"/>
    <x v="11"/>
    <x v="3"/>
  </r>
  <r>
    <n v="11433"/>
    <d v="2025-12-03T00:00:00"/>
    <x v="152"/>
    <x v="3"/>
    <x v="1"/>
    <n v="6"/>
    <n v="227.87"/>
    <n v="0.35"/>
    <x v="2"/>
    <x v="1"/>
    <n v="4"/>
    <n v="888.69"/>
    <n v="888.6930000000001"/>
    <n v="3"/>
    <x v="11"/>
    <x v="3"/>
  </r>
  <r>
    <n v="11434"/>
    <d v="2025-12-04T00:00:00"/>
    <x v="566"/>
    <x v="3"/>
    <x v="3"/>
    <n v="3"/>
    <n v="90.52"/>
    <n v="0.01"/>
    <x v="1"/>
    <x v="8"/>
    <n v="4.5999999999999996"/>
    <n v="268.83999999999997"/>
    <n v="268.84440000000001"/>
    <n v="4"/>
    <x v="11"/>
    <x v="3"/>
  </r>
  <r>
    <n v="11435"/>
    <d v="2025-12-05T00:00:00"/>
    <x v="63"/>
    <x v="2"/>
    <x v="2"/>
    <n v="6"/>
    <n v="282.06"/>
    <n v="0.03"/>
    <x v="1"/>
    <x v="10"/>
    <n v="3.1"/>
    <n v="1641.59"/>
    <n v="1641.5892000000001"/>
    <n v="5"/>
    <x v="11"/>
    <x v="3"/>
  </r>
  <r>
    <n v="11436"/>
    <d v="2025-12-06T00:00:00"/>
    <x v="109"/>
    <x v="2"/>
    <x v="3"/>
    <n v="4"/>
    <n v="173.94"/>
    <n v="0.03"/>
    <x v="2"/>
    <x v="5"/>
    <n v="1.1000000000000001"/>
    <n v="674.89"/>
    <n v="674.88720000000001"/>
    <n v="6"/>
    <x v="11"/>
    <x v="3"/>
  </r>
  <r>
    <n v="11437"/>
    <d v="2025-12-07T00:00:00"/>
    <x v="540"/>
    <x v="2"/>
    <x v="0"/>
    <n v="1"/>
    <n v="220.86"/>
    <n v="0.14000000000000001"/>
    <x v="1"/>
    <x v="10"/>
    <n v="2.5"/>
    <n v="189.94"/>
    <n v="189.93960000000001"/>
    <n v="7"/>
    <x v="11"/>
    <x v="3"/>
  </r>
  <r>
    <n v="11438"/>
    <d v="2025-12-08T00:00:00"/>
    <x v="740"/>
    <x v="1"/>
    <x v="0"/>
    <n v="1"/>
    <n v="70.17"/>
    <n v="0.28999999999999998"/>
    <x v="1"/>
    <x v="9"/>
    <n v="2"/>
    <n v="49.82"/>
    <n v="49.820700000000002"/>
    <n v="8"/>
    <x v="11"/>
    <x v="3"/>
  </r>
  <r>
    <n v="11439"/>
    <d v="2025-12-09T00:00:00"/>
    <x v="92"/>
    <x v="1"/>
    <x v="3"/>
    <n v="1"/>
    <n v="265.45"/>
    <n v="0.3"/>
    <x v="0"/>
    <x v="1"/>
    <n v="3.5"/>
    <n v="185.81"/>
    <n v="185.815"/>
    <n v="9"/>
    <x v="11"/>
    <x v="3"/>
  </r>
  <r>
    <n v="11440"/>
    <d v="2025-12-10T00:00:00"/>
    <x v="106"/>
    <x v="3"/>
    <x v="2"/>
    <n v="2"/>
    <n v="590.21"/>
    <n v="0.26"/>
    <x v="2"/>
    <x v="10"/>
    <n v="3.1"/>
    <n v="873.51"/>
    <n v="873.51080000000002"/>
    <n v="10"/>
    <x v="11"/>
    <x v="3"/>
  </r>
  <r>
    <n v="11441"/>
    <d v="2025-12-11T00:00:00"/>
    <x v="145"/>
    <x v="2"/>
    <x v="1"/>
    <n v="2"/>
    <n v="207.37"/>
    <n v="0.31"/>
    <x v="1"/>
    <x v="0"/>
    <n v="2.4"/>
    <n v="286.17"/>
    <n v="286.17060000000004"/>
    <n v="11"/>
    <x v="11"/>
    <x v="3"/>
  </r>
  <r>
    <n v="11442"/>
    <d v="2025-12-12T00:00:00"/>
    <x v="741"/>
    <x v="2"/>
    <x v="3"/>
    <n v="3"/>
    <n v="527.71"/>
    <n v="0.11"/>
    <x v="2"/>
    <x v="1"/>
    <n v="3.6"/>
    <n v="1408.99"/>
    <n v="1408.9857000000002"/>
    <n v="12"/>
    <x v="11"/>
    <x v="3"/>
  </r>
  <r>
    <n v="11443"/>
    <d v="2025-12-13T00:00:00"/>
    <x v="742"/>
    <x v="1"/>
    <x v="0"/>
    <n v="7"/>
    <n v="508.27"/>
    <n v="0.03"/>
    <x v="2"/>
    <x v="7"/>
    <n v="3.3"/>
    <n v="3451.15"/>
    <n v="3451.1532999999999"/>
    <n v="13"/>
    <x v="11"/>
    <x v="3"/>
  </r>
  <r>
    <n v="11444"/>
    <d v="2025-12-14T00:00:00"/>
    <x v="592"/>
    <x v="3"/>
    <x v="2"/>
    <n v="1"/>
    <n v="571.95000000000005"/>
    <n v="0.02"/>
    <x v="0"/>
    <x v="9"/>
    <n v="4.5999999999999996"/>
    <n v="560.51"/>
    <n v="560.51100000000008"/>
    <n v="14"/>
    <x v="11"/>
    <x v="3"/>
  </r>
  <r>
    <n v="11445"/>
    <d v="2025-12-15T00:00:00"/>
    <x v="405"/>
    <x v="2"/>
    <x v="0"/>
    <n v="3"/>
    <n v="477.21"/>
    <n v="0.3"/>
    <x v="2"/>
    <x v="6"/>
    <n v="3.4"/>
    <n v="1002.14"/>
    <n v="1002.141"/>
    <n v="15"/>
    <x v="11"/>
    <x v="3"/>
  </r>
  <r>
    <n v="11446"/>
    <d v="2025-12-16T00:00:00"/>
    <x v="177"/>
    <x v="1"/>
    <x v="2"/>
    <n v="7"/>
    <n v="400.86"/>
    <n v="0.26"/>
    <x v="0"/>
    <x v="0"/>
    <n v="3"/>
    <n v="2076.4499999999998"/>
    <n v="2076.4548"/>
    <n v="16"/>
    <x v="11"/>
    <x v="3"/>
  </r>
  <r>
    <n v="11447"/>
    <d v="2025-12-17T00:00:00"/>
    <x v="743"/>
    <x v="2"/>
    <x v="2"/>
    <n v="1"/>
    <n v="516.1"/>
    <n v="0.24"/>
    <x v="1"/>
    <x v="3"/>
    <n v="4.3"/>
    <n v="392.24"/>
    <n v="392.23599999999999"/>
    <n v="17"/>
    <x v="11"/>
    <x v="3"/>
  </r>
  <r>
    <n v="11448"/>
    <d v="2025-12-18T00:00:00"/>
    <x v="314"/>
    <x v="0"/>
    <x v="2"/>
    <n v="2"/>
    <n v="59.25"/>
    <n v="0.12"/>
    <x v="2"/>
    <x v="0"/>
    <n v="1.8"/>
    <n v="104.28"/>
    <n v="104.28"/>
    <n v="18"/>
    <x v="11"/>
    <x v="3"/>
  </r>
  <r>
    <n v="11449"/>
    <d v="2025-12-19T00:00:00"/>
    <x v="744"/>
    <x v="0"/>
    <x v="3"/>
    <n v="7"/>
    <n v="285.76"/>
    <n v="0.13"/>
    <x v="1"/>
    <x v="0"/>
    <n v="2"/>
    <n v="1740.28"/>
    <n v="1740.2783999999999"/>
    <n v="19"/>
    <x v="11"/>
    <x v="3"/>
  </r>
  <r>
    <n v="11450"/>
    <d v="2025-12-20T00:00:00"/>
    <x v="470"/>
    <x v="2"/>
    <x v="3"/>
    <n v="4"/>
    <n v="593.71"/>
    <n v="0.34"/>
    <x v="1"/>
    <x v="10"/>
    <n v="4.0999999999999996"/>
    <n v="1567.39"/>
    <n v="1567.3944000000001"/>
    <n v="20"/>
    <x v="11"/>
    <x v="3"/>
  </r>
  <r>
    <n v="11451"/>
    <d v="2025-12-21T00:00:00"/>
    <x v="178"/>
    <x v="2"/>
    <x v="3"/>
    <n v="4"/>
    <n v="465.22"/>
    <n v="0.02"/>
    <x v="2"/>
    <x v="2"/>
    <n v="2.8"/>
    <n v="1823.66"/>
    <n v="1823.6624000000002"/>
    <n v="21"/>
    <x v="11"/>
    <x v="3"/>
  </r>
  <r>
    <n v="11452"/>
    <d v="2025-12-22T00:00:00"/>
    <x v="402"/>
    <x v="1"/>
    <x v="2"/>
    <n v="4"/>
    <n v="577.80999999999995"/>
    <n v="0.27"/>
    <x v="1"/>
    <x v="7"/>
    <n v="2.6"/>
    <n v="1687.21"/>
    <n v="1687.2051999999999"/>
    <n v="22"/>
    <x v="11"/>
    <x v="3"/>
  </r>
  <r>
    <n v="11453"/>
    <d v="2025-12-23T00:00:00"/>
    <x v="359"/>
    <x v="2"/>
    <x v="2"/>
    <n v="6"/>
    <n v="471.09"/>
    <n v="0.11"/>
    <x v="2"/>
    <x v="10"/>
    <n v="4.5"/>
    <n v="2515.62"/>
    <n v="2515.6206000000002"/>
    <n v="23"/>
    <x v="11"/>
    <x v="3"/>
  </r>
  <r>
    <n v="11454"/>
    <d v="2025-12-24T00:00:00"/>
    <x v="408"/>
    <x v="3"/>
    <x v="0"/>
    <n v="4"/>
    <n v="526.80999999999995"/>
    <n v="0.01"/>
    <x v="0"/>
    <x v="8"/>
    <n v="3.4"/>
    <n v="2086.17"/>
    <n v="2086.1675999999998"/>
    <n v="24"/>
    <x v="11"/>
    <x v="3"/>
  </r>
  <r>
    <n v="11455"/>
    <d v="2025-12-25T00:00:00"/>
    <x v="605"/>
    <x v="3"/>
    <x v="1"/>
    <n v="5"/>
    <n v="428.32"/>
    <n v="0.26"/>
    <x v="1"/>
    <x v="7"/>
    <n v="4.2"/>
    <n v="1584.78"/>
    <n v="1584.7839999999999"/>
    <n v="25"/>
    <x v="11"/>
    <x v="3"/>
  </r>
  <r>
    <n v="11456"/>
    <d v="2025-12-26T00:00:00"/>
    <x v="206"/>
    <x v="3"/>
    <x v="3"/>
    <n v="1"/>
    <n v="459.89"/>
    <n v="0.12"/>
    <x v="1"/>
    <x v="1"/>
    <n v="4.2"/>
    <n v="404.7"/>
    <n v="404.70319999999998"/>
    <n v="26"/>
    <x v="11"/>
    <x v="3"/>
  </r>
  <r>
    <n v="11457"/>
    <d v="2025-12-27T00:00:00"/>
    <x v="150"/>
    <x v="3"/>
    <x v="2"/>
    <n v="4"/>
    <n v="321.06"/>
    <n v="0.25"/>
    <x v="2"/>
    <x v="2"/>
    <n v="1.5"/>
    <n v="963.18"/>
    <n v="963.18000000000006"/>
    <n v="27"/>
    <x v="11"/>
    <x v="3"/>
  </r>
  <r>
    <n v="11458"/>
    <d v="2025-12-28T00:00:00"/>
    <x v="377"/>
    <x v="1"/>
    <x v="0"/>
    <n v="7"/>
    <n v="555.67999999999995"/>
    <n v="0.25"/>
    <x v="0"/>
    <x v="10"/>
    <n v="3.6"/>
    <n v="2917.32"/>
    <n v="2917.3199999999997"/>
    <n v="28"/>
    <x v="11"/>
    <x v="3"/>
  </r>
  <r>
    <n v="11459"/>
    <d v="2025-12-29T00:00:00"/>
    <x v="461"/>
    <x v="2"/>
    <x v="0"/>
    <n v="5"/>
    <n v="497.65"/>
    <n v="0.19"/>
    <x v="2"/>
    <x v="7"/>
    <n v="4.8"/>
    <n v="2015.48"/>
    <n v="2015.4825000000001"/>
    <n v="29"/>
    <x v="11"/>
    <x v="3"/>
  </r>
  <r>
    <n v="11460"/>
    <d v="2025-12-30T00:00:00"/>
    <x v="745"/>
    <x v="3"/>
    <x v="0"/>
    <n v="5"/>
    <n v="508.67"/>
    <n v="0.27"/>
    <x v="2"/>
    <x v="6"/>
    <n v="2.9"/>
    <n v="1856.65"/>
    <n v="1856.6454999999999"/>
    <n v="30"/>
    <x v="11"/>
    <x v="3"/>
  </r>
  <r>
    <n v="11461"/>
    <d v="2025-12-31T00:00:00"/>
    <x v="742"/>
    <x v="1"/>
    <x v="3"/>
    <n v="5"/>
    <n v="408.71"/>
    <n v="0.2"/>
    <x v="1"/>
    <x v="8"/>
    <n v="3.9"/>
    <n v="1634.84"/>
    <n v="1634.84"/>
    <n v="31"/>
    <x v="11"/>
    <x v="3"/>
  </r>
  <r>
    <n v="11462"/>
    <d v="2026-01-01T00:00:00"/>
    <x v="315"/>
    <x v="3"/>
    <x v="3"/>
    <n v="3"/>
    <n v="193.18"/>
    <n v="0.1"/>
    <x v="1"/>
    <x v="10"/>
    <n v="3.3"/>
    <n v="521.59"/>
    <n v="521.58600000000001"/>
    <n v="1"/>
    <x v="0"/>
    <x v="4"/>
  </r>
  <r>
    <n v="11463"/>
    <d v="2026-01-02T00:00:00"/>
    <x v="718"/>
    <x v="2"/>
    <x v="1"/>
    <n v="7"/>
    <n v="35.840000000000003"/>
    <n v="0.26"/>
    <x v="2"/>
    <x v="5"/>
    <n v="1.8"/>
    <n v="185.65"/>
    <n v="185.65120000000002"/>
    <n v="2"/>
    <x v="0"/>
    <x v="4"/>
  </r>
  <r>
    <n v="11464"/>
    <d v="2026-01-03T00:00:00"/>
    <x v="385"/>
    <x v="2"/>
    <x v="0"/>
    <n v="3"/>
    <n v="562.36"/>
    <n v="0.21"/>
    <x v="1"/>
    <x v="1"/>
    <n v="1.8"/>
    <n v="1332.79"/>
    <n v="1332.7931999999998"/>
    <n v="3"/>
    <x v="0"/>
    <x v="4"/>
  </r>
  <r>
    <n v="11465"/>
    <d v="2026-01-04T00:00:00"/>
    <x v="718"/>
    <x v="0"/>
    <x v="3"/>
    <n v="5"/>
    <n v="357.88"/>
    <n v="0"/>
    <x v="0"/>
    <x v="9"/>
    <n v="2.7"/>
    <n v="1789.4"/>
    <n v="1789.4"/>
    <n v="4"/>
    <x v="0"/>
    <x v="4"/>
  </r>
  <r>
    <n v="11466"/>
    <d v="2026-01-05T00:00:00"/>
    <x v="260"/>
    <x v="2"/>
    <x v="0"/>
    <n v="6"/>
    <n v="189.41"/>
    <n v="0.32"/>
    <x v="2"/>
    <x v="3"/>
    <n v="2.9"/>
    <n v="772.79"/>
    <n v="772.79280000000006"/>
    <n v="5"/>
    <x v="0"/>
    <x v="4"/>
  </r>
  <r>
    <n v="11467"/>
    <d v="2026-01-06T00:00:00"/>
    <x v="199"/>
    <x v="0"/>
    <x v="2"/>
    <n v="4"/>
    <n v="102.24"/>
    <n v="0.19"/>
    <x v="2"/>
    <x v="6"/>
    <n v="3"/>
    <n v="331.26"/>
    <n v="331.25759999999997"/>
    <n v="6"/>
    <x v="0"/>
    <x v="4"/>
  </r>
  <r>
    <n v="11468"/>
    <d v="2026-01-07T00:00:00"/>
    <x v="746"/>
    <x v="0"/>
    <x v="0"/>
    <n v="1"/>
    <n v="500.27"/>
    <n v="0.3"/>
    <x v="2"/>
    <x v="8"/>
    <n v="4.8"/>
    <n v="350.19"/>
    <n v="350.18899999999996"/>
    <n v="7"/>
    <x v="0"/>
    <x v="4"/>
  </r>
  <r>
    <n v="11469"/>
    <d v="2026-01-08T00:00:00"/>
    <x v="747"/>
    <x v="3"/>
    <x v="1"/>
    <n v="7"/>
    <n v="504.36"/>
    <n v="0.31"/>
    <x v="2"/>
    <x v="1"/>
    <n v="1.4"/>
    <n v="2436.06"/>
    <n v="2436.0587999999998"/>
    <n v="8"/>
    <x v="0"/>
    <x v="4"/>
  </r>
  <r>
    <n v="11470"/>
    <d v="2026-01-09T00:00:00"/>
    <x v="748"/>
    <x v="3"/>
    <x v="3"/>
    <n v="6"/>
    <n v="491.49"/>
    <n v="0.16"/>
    <x v="2"/>
    <x v="3"/>
    <n v="2.5"/>
    <n v="2477.11"/>
    <n v="2477.1095999999998"/>
    <n v="9"/>
    <x v="0"/>
    <x v="4"/>
  </r>
  <r>
    <n v="11471"/>
    <d v="2026-01-10T00:00:00"/>
    <x v="312"/>
    <x v="1"/>
    <x v="2"/>
    <n v="2"/>
    <n v="392.37"/>
    <n v="0.18"/>
    <x v="0"/>
    <x v="4"/>
    <n v="3.1"/>
    <n v="643.49"/>
    <n v="643.48680000000002"/>
    <n v="10"/>
    <x v="0"/>
    <x v="4"/>
  </r>
  <r>
    <n v="11472"/>
    <d v="2026-01-11T00:00:00"/>
    <x v="174"/>
    <x v="0"/>
    <x v="3"/>
    <n v="3"/>
    <n v="229.12"/>
    <n v="0.15"/>
    <x v="0"/>
    <x v="3"/>
    <n v="4.9000000000000004"/>
    <n v="584.26"/>
    <n v="584.25599999999997"/>
    <n v="11"/>
    <x v="0"/>
    <x v="4"/>
  </r>
  <r>
    <n v="11473"/>
    <d v="2026-01-12T00:00:00"/>
    <x v="749"/>
    <x v="2"/>
    <x v="2"/>
    <n v="4"/>
    <n v="192.88"/>
    <n v="0.16"/>
    <x v="0"/>
    <x v="7"/>
    <n v="3"/>
    <n v="648.08000000000004"/>
    <n v="648.07679999999993"/>
    <n v="12"/>
    <x v="0"/>
    <x v="4"/>
  </r>
  <r>
    <n v="11474"/>
    <d v="2026-01-13T00:00:00"/>
    <x v="563"/>
    <x v="1"/>
    <x v="0"/>
    <n v="4"/>
    <n v="20"/>
    <n v="0.31"/>
    <x v="0"/>
    <x v="1"/>
    <n v="4.0999999999999996"/>
    <n v="55.2"/>
    <n v="55.2"/>
    <n v="13"/>
    <x v="0"/>
    <x v="4"/>
  </r>
  <r>
    <n v="11475"/>
    <d v="2026-01-14T00:00:00"/>
    <x v="122"/>
    <x v="1"/>
    <x v="0"/>
    <n v="2"/>
    <n v="502.66"/>
    <n v="0.28000000000000003"/>
    <x v="2"/>
    <x v="7"/>
    <n v="4"/>
    <n v="723.83"/>
    <n v="723.83040000000005"/>
    <n v="14"/>
    <x v="0"/>
    <x v="4"/>
  </r>
  <r>
    <n v="11476"/>
    <d v="2026-01-15T00:00:00"/>
    <x v="691"/>
    <x v="1"/>
    <x v="1"/>
    <n v="2"/>
    <n v="66.150000000000006"/>
    <n v="0.04"/>
    <x v="2"/>
    <x v="2"/>
    <n v="3.3"/>
    <n v="127.01"/>
    <n v="127.00800000000001"/>
    <n v="15"/>
    <x v="0"/>
    <x v="4"/>
  </r>
  <r>
    <n v="11477"/>
    <d v="2026-01-16T00:00:00"/>
    <x v="750"/>
    <x v="1"/>
    <x v="1"/>
    <n v="7"/>
    <n v="383.99"/>
    <n v="0.21"/>
    <x v="1"/>
    <x v="4"/>
    <n v="1.5"/>
    <n v="2123.46"/>
    <n v="2123.4647000000004"/>
    <n v="16"/>
    <x v="0"/>
    <x v="4"/>
  </r>
  <r>
    <n v="11478"/>
    <d v="2026-01-17T00:00:00"/>
    <x v="137"/>
    <x v="2"/>
    <x v="2"/>
    <n v="4"/>
    <n v="309.88"/>
    <n v="0.35"/>
    <x v="1"/>
    <x v="1"/>
    <n v="1.9"/>
    <n v="805.69"/>
    <n v="805.68799999999999"/>
    <n v="17"/>
    <x v="0"/>
    <x v="4"/>
  </r>
  <r>
    <n v="11479"/>
    <d v="2026-01-18T00:00:00"/>
    <x v="751"/>
    <x v="1"/>
    <x v="1"/>
    <n v="2"/>
    <n v="323.11"/>
    <n v="0.21"/>
    <x v="1"/>
    <x v="4"/>
    <n v="2"/>
    <n v="510.51"/>
    <n v="510.51380000000006"/>
    <n v="18"/>
    <x v="0"/>
    <x v="4"/>
  </r>
  <r>
    <n v="11480"/>
    <d v="2026-01-19T00:00:00"/>
    <x v="141"/>
    <x v="0"/>
    <x v="1"/>
    <n v="4"/>
    <n v="557.13"/>
    <n v="0.28000000000000003"/>
    <x v="1"/>
    <x v="8"/>
    <n v="1.2"/>
    <n v="1604.53"/>
    <n v="1604.5344"/>
    <n v="19"/>
    <x v="0"/>
    <x v="4"/>
  </r>
  <r>
    <n v="11481"/>
    <d v="2026-01-20T00:00:00"/>
    <x v="603"/>
    <x v="2"/>
    <x v="1"/>
    <n v="6"/>
    <n v="33.49"/>
    <n v="0.27"/>
    <x v="1"/>
    <x v="3"/>
    <n v="2.5"/>
    <n v="146.69"/>
    <n v="146.68619999999999"/>
    <n v="20"/>
    <x v="0"/>
    <x v="4"/>
  </r>
  <r>
    <n v="11482"/>
    <d v="2026-01-21T00:00:00"/>
    <x v="313"/>
    <x v="0"/>
    <x v="1"/>
    <n v="7"/>
    <n v="467.43"/>
    <n v="0.12"/>
    <x v="1"/>
    <x v="3"/>
    <n v="3.4"/>
    <n v="2879.37"/>
    <n v="2879.3688000000002"/>
    <n v="21"/>
    <x v="0"/>
    <x v="4"/>
  </r>
  <r>
    <n v="11483"/>
    <d v="2026-01-22T00:00:00"/>
    <x v="121"/>
    <x v="3"/>
    <x v="0"/>
    <n v="2"/>
    <n v="45.45"/>
    <n v="0.13"/>
    <x v="0"/>
    <x v="4"/>
    <n v="1.6"/>
    <n v="79.08"/>
    <n v="79.082999999999998"/>
    <n v="22"/>
    <x v="0"/>
    <x v="4"/>
  </r>
  <r>
    <n v="11484"/>
    <d v="2026-01-23T00:00:00"/>
    <x v="724"/>
    <x v="3"/>
    <x v="1"/>
    <n v="6"/>
    <n v="37.32"/>
    <n v="0.25"/>
    <x v="0"/>
    <x v="3"/>
    <n v="1.7"/>
    <n v="167.94"/>
    <n v="167.94"/>
    <n v="23"/>
    <x v="0"/>
    <x v="4"/>
  </r>
  <r>
    <n v="11485"/>
    <d v="2026-01-24T00:00:00"/>
    <x v="591"/>
    <x v="1"/>
    <x v="0"/>
    <n v="6"/>
    <n v="266.44"/>
    <n v="0.17"/>
    <x v="1"/>
    <x v="6"/>
    <n v="3.8"/>
    <n v="1326.87"/>
    <n v="1326.8711999999998"/>
    <n v="24"/>
    <x v="0"/>
    <x v="4"/>
  </r>
  <r>
    <n v="11486"/>
    <d v="2026-01-25T00:00:00"/>
    <x v="752"/>
    <x v="3"/>
    <x v="0"/>
    <n v="2"/>
    <n v="51.9"/>
    <n v="0.2"/>
    <x v="1"/>
    <x v="0"/>
    <n v="1.7"/>
    <n v="83.04"/>
    <n v="83.039999999999992"/>
    <n v="25"/>
    <x v="0"/>
    <x v="4"/>
  </r>
  <r>
    <n v="11487"/>
    <d v="2026-01-26T00:00:00"/>
    <x v="242"/>
    <x v="2"/>
    <x v="3"/>
    <n v="7"/>
    <n v="476.65"/>
    <n v="0.25"/>
    <x v="0"/>
    <x v="8"/>
    <n v="1.5"/>
    <n v="2502.41"/>
    <n v="2502.4124999999999"/>
    <n v="26"/>
    <x v="0"/>
    <x v="4"/>
  </r>
  <r>
    <n v="11488"/>
    <d v="2026-01-27T00:00:00"/>
    <x v="217"/>
    <x v="3"/>
    <x v="0"/>
    <n v="4"/>
    <n v="324.79000000000002"/>
    <n v="0.27"/>
    <x v="0"/>
    <x v="7"/>
    <n v="4.9000000000000004"/>
    <n v="948.39"/>
    <n v="948.38679999999999"/>
    <n v="27"/>
    <x v="0"/>
    <x v="4"/>
  </r>
  <r>
    <n v="11489"/>
    <d v="2026-01-28T00:00:00"/>
    <x v="433"/>
    <x v="2"/>
    <x v="0"/>
    <n v="5"/>
    <n v="31.99"/>
    <n v="0.1"/>
    <x v="0"/>
    <x v="8"/>
    <n v="1.1000000000000001"/>
    <n v="143.94999999999999"/>
    <n v="143.95499999999998"/>
    <n v="28"/>
    <x v="0"/>
    <x v="4"/>
  </r>
  <r>
    <n v="11490"/>
    <d v="2026-01-29T00:00:00"/>
    <x v="137"/>
    <x v="0"/>
    <x v="1"/>
    <n v="4"/>
    <n v="38.69"/>
    <n v="0.05"/>
    <x v="0"/>
    <x v="3"/>
    <n v="2.2999999999999998"/>
    <n v="147.02000000000001"/>
    <n v="147.02199999999999"/>
    <n v="29"/>
    <x v="0"/>
    <x v="4"/>
  </r>
  <r>
    <n v="11491"/>
    <d v="2026-01-30T00:00:00"/>
    <x v="298"/>
    <x v="0"/>
    <x v="0"/>
    <n v="1"/>
    <n v="373.41"/>
    <n v="0.1"/>
    <x v="0"/>
    <x v="10"/>
    <n v="1.1000000000000001"/>
    <n v="336.07"/>
    <n v="336.06900000000002"/>
    <n v="30"/>
    <x v="0"/>
    <x v="4"/>
  </r>
  <r>
    <n v="11492"/>
    <d v="2026-01-31T00:00:00"/>
    <x v="417"/>
    <x v="2"/>
    <x v="2"/>
    <n v="2"/>
    <n v="486.58"/>
    <n v="0.18"/>
    <x v="1"/>
    <x v="4"/>
    <n v="4.4000000000000004"/>
    <n v="797.99"/>
    <n v="797.99119999999994"/>
    <n v="31"/>
    <x v="0"/>
    <x v="4"/>
  </r>
  <r>
    <n v="11493"/>
    <d v="2026-02-01T00:00:00"/>
    <x v="753"/>
    <x v="2"/>
    <x v="1"/>
    <n v="3"/>
    <n v="271.11"/>
    <n v="0.12"/>
    <x v="1"/>
    <x v="9"/>
    <n v="3.3"/>
    <n v="715.73"/>
    <n v="715.73040000000003"/>
    <n v="1"/>
    <x v="1"/>
    <x v="4"/>
  </r>
  <r>
    <n v="11494"/>
    <d v="2026-02-02T00:00:00"/>
    <x v="404"/>
    <x v="3"/>
    <x v="1"/>
    <n v="7"/>
    <n v="339.43"/>
    <n v="0.2"/>
    <x v="2"/>
    <x v="8"/>
    <n v="1.2"/>
    <n v="1900.81"/>
    <n v="1900.8080000000002"/>
    <n v="2"/>
    <x v="1"/>
    <x v="4"/>
  </r>
  <r>
    <n v="11495"/>
    <d v="2026-02-03T00:00:00"/>
    <x v="472"/>
    <x v="2"/>
    <x v="1"/>
    <n v="2"/>
    <n v="482.9"/>
    <n v="0.02"/>
    <x v="1"/>
    <x v="0"/>
    <n v="3.5"/>
    <n v="946.48"/>
    <n v="946.48399999999992"/>
    <n v="3"/>
    <x v="1"/>
    <x v="4"/>
  </r>
  <r>
    <n v="11496"/>
    <d v="2026-02-04T00:00:00"/>
    <x v="557"/>
    <x v="0"/>
    <x v="3"/>
    <n v="1"/>
    <n v="372.15"/>
    <n v="0.18"/>
    <x v="0"/>
    <x v="5"/>
    <n v="1.5"/>
    <n v="305.16000000000003"/>
    <n v="305.16300000000001"/>
    <n v="4"/>
    <x v="1"/>
    <x v="4"/>
  </r>
  <r>
    <n v="11497"/>
    <d v="2026-02-05T00:00:00"/>
    <x v="754"/>
    <x v="2"/>
    <x v="1"/>
    <n v="6"/>
    <n v="146.47999999999999"/>
    <n v="0.13"/>
    <x v="2"/>
    <x v="0"/>
    <n v="3"/>
    <n v="764.63"/>
    <n v="764.62559999999985"/>
    <n v="5"/>
    <x v="1"/>
    <x v="4"/>
  </r>
  <r>
    <n v="11498"/>
    <d v="2026-02-06T00:00:00"/>
    <x v="488"/>
    <x v="2"/>
    <x v="0"/>
    <n v="3"/>
    <n v="373.64"/>
    <n v="0.19"/>
    <x v="2"/>
    <x v="4"/>
    <n v="3.7"/>
    <n v="907.95"/>
    <n v="907.94520000000011"/>
    <n v="6"/>
    <x v="1"/>
    <x v="4"/>
  </r>
  <r>
    <n v="11499"/>
    <d v="2026-02-07T00:00:00"/>
    <x v="744"/>
    <x v="0"/>
    <x v="2"/>
    <n v="3"/>
    <n v="382.54"/>
    <n v="0.15"/>
    <x v="1"/>
    <x v="2"/>
    <n v="1.6"/>
    <n v="975.48"/>
    <n v="975.47700000000009"/>
    <n v="7"/>
    <x v="1"/>
    <x v="4"/>
  </r>
  <r>
    <n v="11500"/>
    <d v="2026-02-08T00:00:00"/>
    <x v="444"/>
    <x v="3"/>
    <x v="1"/>
    <n v="4"/>
    <n v="444.45"/>
    <n v="0.1"/>
    <x v="2"/>
    <x v="9"/>
    <n v="3"/>
    <n v="1600.02"/>
    <n v="1600.02"/>
    <n v="8"/>
    <x v="1"/>
    <x v="4"/>
  </r>
  <r>
    <n v="11501"/>
    <d v="2026-02-09T00:00:00"/>
    <x v="26"/>
    <x v="3"/>
    <x v="1"/>
    <n v="5"/>
    <n v="378.21"/>
    <n v="0.32"/>
    <x v="2"/>
    <x v="8"/>
    <n v="2.8"/>
    <n v="1285.9100000000001"/>
    <n v="1285.914"/>
    <n v="9"/>
    <x v="1"/>
    <x v="4"/>
  </r>
  <r>
    <n v="11502"/>
    <d v="2026-02-10T00:00:00"/>
    <x v="608"/>
    <x v="2"/>
    <x v="2"/>
    <n v="4"/>
    <n v="582.01"/>
    <n v="0.06"/>
    <x v="0"/>
    <x v="3"/>
    <n v="4.7"/>
    <n v="2188.36"/>
    <n v="2188.3575999999998"/>
    <n v="10"/>
    <x v="1"/>
    <x v="4"/>
  </r>
  <r>
    <n v="11503"/>
    <d v="2026-02-11T00:00:00"/>
    <x v="755"/>
    <x v="3"/>
    <x v="1"/>
    <n v="7"/>
    <n v="130.41"/>
    <n v="0.24"/>
    <x v="1"/>
    <x v="0"/>
    <n v="5"/>
    <n v="693.78"/>
    <n v="693.78120000000001"/>
    <n v="11"/>
    <x v="1"/>
    <x v="4"/>
  </r>
  <r>
    <n v="11504"/>
    <d v="2026-02-12T00:00:00"/>
    <x v="584"/>
    <x v="1"/>
    <x v="3"/>
    <n v="3"/>
    <n v="571.39"/>
    <n v="0.32"/>
    <x v="0"/>
    <x v="1"/>
    <n v="3.6"/>
    <n v="1165.6400000000001"/>
    <n v="1165.6356000000001"/>
    <n v="12"/>
    <x v="1"/>
    <x v="4"/>
  </r>
  <r>
    <n v="11505"/>
    <d v="2026-02-13T00:00:00"/>
    <x v="699"/>
    <x v="1"/>
    <x v="0"/>
    <n v="3"/>
    <n v="329.93"/>
    <n v="0.19"/>
    <x v="0"/>
    <x v="9"/>
    <n v="4.4000000000000004"/>
    <n v="801.73"/>
    <n v="801.72989999999993"/>
    <n v="13"/>
    <x v="1"/>
    <x v="4"/>
  </r>
  <r>
    <n v="11506"/>
    <d v="2026-02-14T00:00:00"/>
    <x v="419"/>
    <x v="3"/>
    <x v="2"/>
    <n v="5"/>
    <n v="408.09"/>
    <n v="0.31"/>
    <x v="2"/>
    <x v="0"/>
    <n v="3.6"/>
    <n v="1407.91"/>
    <n v="1407.9105"/>
    <n v="14"/>
    <x v="1"/>
    <x v="4"/>
  </r>
  <r>
    <n v="11507"/>
    <d v="2026-02-15T00:00:00"/>
    <x v="686"/>
    <x v="1"/>
    <x v="2"/>
    <n v="7"/>
    <n v="73.19"/>
    <n v="0.04"/>
    <x v="2"/>
    <x v="8"/>
    <n v="4.5"/>
    <n v="491.84"/>
    <n v="491.83679999999993"/>
    <n v="15"/>
    <x v="1"/>
    <x v="4"/>
  </r>
  <r>
    <n v="11508"/>
    <d v="2026-02-16T00:00:00"/>
    <x v="533"/>
    <x v="1"/>
    <x v="3"/>
    <n v="2"/>
    <n v="237.64"/>
    <n v="0.17"/>
    <x v="2"/>
    <x v="0"/>
    <n v="2.7"/>
    <n v="394.48"/>
    <n v="394.48239999999998"/>
    <n v="16"/>
    <x v="1"/>
    <x v="4"/>
  </r>
  <r>
    <n v="11509"/>
    <d v="2026-02-17T00:00:00"/>
    <x v="666"/>
    <x v="2"/>
    <x v="0"/>
    <n v="5"/>
    <n v="465.09"/>
    <n v="0.16"/>
    <x v="1"/>
    <x v="10"/>
    <n v="3.4"/>
    <n v="1953.38"/>
    <n v="1953.3779999999997"/>
    <n v="17"/>
    <x v="1"/>
    <x v="4"/>
  </r>
  <r>
    <n v="11510"/>
    <d v="2026-02-18T00:00:00"/>
    <x v="122"/>
    <x v="3"/>
    <x v="3"/>
    <n v="6"/>
    <n v="428.54"/>
    <n v="0"/>
    <x v="1"/>
    <x v="9"/>
    <n v="4.4000000000000004"/>
    <n v="2571.2399999999998"/>
    <n v="2571.2400000000002"/>
    <n v="18"/>
    <x v="1"/>
    <x v="4"/>
  </r>
  <r>
    <n v="11511"/>
    <d v="2026-02-19T00:00:00"/>
    <x v="121"/>
    <x v="2"/>
    <x v="0"/>
    <n v="4"/>
    <n v="38.479999999999997"/>
    <n v="0.16"/>
    <x v="0"/>
    <x v="9"/>
    <n v="4.7"/>
    <n v="129.29"/>
    <n v="129.2928"/>
    <n v="19"/>
    <x v="1"/>
    <x v="4"/>
  </r>
  <r>
    <n v="11512"/>
    <d v="2026-02-20T00:00:00"/>
    <x v="128"/>
    <x v="3"/>
    <x v="3"/>
    <n v="2"/>
    <n v="334.76"/>
    <n v="0.13"/>
    <x v="2"/>
    <x v="3"/>
    <n v="1.1000000000000001"/>
    <n v="582.48"/>
    <n v="582.48239999999998"/>
    <n v="20"/>
    <x v="1"/>
    <x v="4"/>
  </r>
  <r>
    <n v="11513"/>
    <d v="2026-02-21T00:00:00"/>
    <x v="729"/>
    <x v="2"/>
    <x v="1"/>
    <n v="4"/>
    <n v="66.64"/>
    <n v="0.23"/>
    <x v="1"/>
    <x v="8"/>
    <n v="1.4"/>
    <n v="205.25"/>
    <n v="205.25119999999998"/>
    <n v="21"/>
    <x v="1"/>
    <x v="4"/>
  </r>
  <r>
    <n v="11514"/>
    <d v="2026-02-22T00:00:00"/>
    <x v="121"/>
    <x v="1"/>
    <x v="3"/>
    <n v="5"/>
    <n v="597.58000000000004"/>
    <n v="0.33"/>
    <x v="2"/>
    <x v="2"/>
    <n v="4.7"/>
    <n v="2001.89"/>
    <n v="2001.893"/>
    <n v="22"/>
    <x v="1"/>
    <x v="4"/>
  </r>
  <r>
    <n v="11515"/>
    <d v="2026-02-23T00:00:00"/>
    <x v="422"/>
    <x v="3"/>
    <x v="2"/>
    <n v="2"/>
    <n v="539.91999999999996"/>
    <n v="0.03"/>
    <x v="1"/>
    <x v="0"/>
    <n v="3.3"/>
    <n v="1047.44"/>
    <n v="1047.4448"/>
    <n v="23"/>
    <x v="1"/>
    <x v="4"/>
  </r>
  <r>
    <n v="11516"/>
    <d v="2026-02-24T00:00:00"/>
    <x v="756"/>
    <x v="2"/>
    <x v="2"/>
    <n v="5"/>
    <n v="27.33"/>
    <n v="0.11"/>
    <x v="1"/>
    <x v="6"/>
    <n v="5"/>
    <n v="121.62"/>
    <n v="121.61849999999998"/>
    <n v="24"/>
    <x v="1"/>
    <x v="4"/>
  </r>
  <r>
    <n v="11517"/>
    <d v="2026-02-25T00:00:00"/>
    <x v="757"/>
    <x v="2"/>
    <x v="2"/>
    <n v="6"/>
    <n v="517.30999999999995"/>
    <n v="0.16"/>
    <x v="2"/>
    <x v="0"/>
    <n v="4.2"/>
    <n v="2607.2399999999998"/>
    <n v="2607.2423999999996"/>
    <n v="25"/>
    <x v="1"/>
    <x v="4"/>
  </r>
  <r>
    <n v="11518"/>
    <d v="2026-02-26T00:00:00"/>
    <x v="395"/>
    <x v="2"/>
    <x v="3"/>
    <n v="1"/>
    <n v="552.87"/>
    <n v="0.16"/>
    <x v="1"/>
    <x v="8"/>
    <n v="4.3"/>
    <n v="464.41"/>
    <n v="464.41079999999999"/>
    <n v="26"/>
    <x v="1"/>
    <x v="4"/>
  </r>
  <r>
    <n v="11519"/>
    <d v="2026-02-27T00:00:00"/>
    <x v="246"/>
    <x v="1"/>
    <x v="2"/>
    <n v="3"/>
    <n v="221.83"/>
    <n v="0.27"/>
    <x v="1"/>
    <x v="6"/>
    <n v="2.5"/>
    <n v="485.81"/>
    <n v="485.80769999999995"/>
    <n v="27"/>
    <x v="1"/>
    <x v="4"/>
  </r>
  <r>
    <n v="11520"/>
    <d v="2026-02-28T00:00:00"/>
    <x v="217"/>
    <x v="3"/>
    <x v="2"/>
    <n v="7"/>
    <n v="435.91"/>
    <n v="0.16"/>
    <x v="2"/>
    <x v="10"/>
    <n v="2"/>
    <n v="2563.15"/>
    <n v="2563.1508000000003"/>
    <n v="28"/>
    <x v="1"/>
    <x v="4"/>
  </r>
  <r>
    <n v="11521"/>
    <d v="2026-03-01T00:00:00"/>
    <x v="635"/>
    <x v="2"/>
    <x v="1"/>
    <n v="2"/>
    <n v="273.63"/>
    <n v="0.01"/>
    <x v="2"/>
    <x v="7"/>
    <n v="3.4"/>
    <n v="541.79"/>
    <n v="541.78739999999993"/>
    <n v="1"/>
    <x v="2"/>
    <x v="4"/>
  </r>
  <r>
    <n v="11522"/>
    <d v="2026-03-02T00:00:00"/>
    <x v="758"/>
    <x v="3"/>
    <x v="1"/>
    <n v="3"/>
    <n v="398.31"/>
    <n v="0.25"/>
    <x v="1"/>
    <x v="4"/>
    <n v="4.5"/>
    <n v="896.2"/>
    <n v="896.19749999999999"/>
    <n v="2"/>
    <x v="2"/>
    <x v="4"/>
  </r>
  <r>
    <n v="11523"/>
    <d v="2026-03-03T00:00:00"/>
    <x v="759"/>
    <x v="2"/>
    <x v="0"/>
    <n v="1"/>
    <n v="214.09"/>
    <n v="0.31"/>
    <x v="1"/>
    <x v="8"/>
    <n v="3.9"/>
    <n v="147.72"/>
    <n v="147.72210000000001"/>
    <n v="3"/>
    <x v="2"/>
    <x v="4"/>
  </r>
  <r>
    <n v="11524"/>
    <d v="2026-03-04T00:00:00"/>
    <x v="82"/>
    <x v="1"/>
    <x v="0"/>
    <n v="2"/>
    <n v="203.7"/>
    <n v="0.18"/>
    <x v="1"/>
    <x v="10"/>
    <n v="2.9"/>
    <n v="334.07"/>
    <n v="334.06799999999998"/>
    <n v="4"/>
    <x v="2"/>
    <x v="4"/>
  </r>
  <r>
    <n v="11525"/>
    <d v="2026-03-05T00:00:00"/>
    <x v="760"/>
    <x v="0"/>
    <x v="0"/>
    <n v="3"/>
    <n v="263.29000000000002"/>
    <n v="0.2"/>
    <x v="1"/>
    <x v="3"/>
    <n v="4"/>
    <n v="631.9"/>
    <n v="631.89600000000007"/>
    <n v="5"/>
    <x v="2"/>
    <x v="4"/>
  </r>
  <r>
    <n v="11526"/>
    <d v="2026-03-06T00:00:00"/>
    <x v="677"/>
    <x v="2"/>
    <x v="3"/>
    <n v="3"/>
    <n v="100.16"/>
    <n v="0.06"/>
    <x v="1"/>
    <x v="5"/>
    <n v="3.8"/>
    <n v="282.45"/>
    <n v="282.45120000000003"/>
    <n v="6"/>
    <x v="2"/>
    <x v="4"/>
  </r>
  <r>
    <n v="11527"/>
    <d v="2026-03-07T00:00:00"/>
    <x v="382"/>
    <x v="1"/>
    <x v="0"/>
    <n v="2"/>
    <n v="501.22"/>
    <n v="0.08"/>
    <x v="1"/>
    <x v="3"/>
    <n v="4.7"/>
    <n v="922.24"/>
    <n v="922.24480000000005"/>
    <n v="7"/>
    <x v="2"/>
    <x v="4"/>
  </r>
  <r>
    <n v="11528"/>
    <d v="2026-03-08T00:00:00"/>
    <x v="209"/>
    <x v="2"/>
    <x v="3"/>
    <n v="3"/>
    <n v="218.99"/>
    <n v="0.08"/>
    <x v="1"/>
    <x v="9"/>
    <n v="2.1"/>
    <n v="604.41"/>
    <n v="604.41240000000005"/>
    <n v="8"/>
    <x v="2"/>
    <x v="4"/>
  </r>
  <r>
    <n v="11529"/>
    <d v="2026-03-09T00:00:00"/>
    <x v="462"/>
    <x v="2"/>
    <x v="3"/>
    <n v="3"/>
    <n v="249.09"/>
    <n v="0.15"/>
    <x v="0"/>
    <x v="5"/>
    <n v="1.5"/>
    <n v="635.17999999999995"/>
    <n v="635.17949999999996"/>
    <n v="9"/>
    <x v="2"/>
    <x v="4"/>
  </r>
  <r>
    <n v="11530"/>
    <d v="2026-03-10T00:00:00"/>
    <x v="272"/>
    <x v="2"/>
    <x v="0"/>
    <n v="2"/>
    <n v="538.02"/>
    <n v="0.32"/>
    <x v="1"/>
    <x v="0"/>
    <n v="2.9"/>
    <n v="731.71"/>
    <n v="731.70719999999994"/>
    <n v="10"/>
    <x v="2"/>
    <x v="4"/>
  </r>
  <r>
    <n v="11531"/>
    <d v="2026-03-11T00:00:00"/>
    <x v="761"/>
    <x v="2"/>
    <x v="0"/>
    <n v="7"/>
    <n v="305.52"/>
    <n v="0.18"/>
    <x v="1"/>
    <x v="4"/>
    <n v="2.4"/>
    <n v="1753.68"/>
    <n v="1753.6848"/>
    <n v="11"/>
    <x v="2"/>
    <x v="4"/>
  </r>
  <r>
    <n v="11532"/>
    <d v="2026-03-12T00:00:00"/>
    <x v="298"/>
    <x v="1"/>
    <x v="3"/>
    <n v="3"/>
    <n v="333.39"/>
    <n v="7.0000000000000007E-2"/>
    <x v="1"/>
    <x v="5"/>
    <n v="4.9000000000000004"/>
    <n v="930.16"/>
    <n v="930.15809999999999"/>
    <n v="12"/>
    <x v="2"/>
    <x v="4"/>
  </r>
  <r>
    <n v="11533"/>
    <d v="2026-03-13T00:00:00"/>
    <x v="488"/>
    <x v="1"/>
    <x v="1"/>
    <n v="3"/>
    <n v="574.54999999999995"/>
    <n v="0.09"/>
    <x v="1"/>
    <x v="5"/>
    <n v="1"/>
    <n v="1568.52"/>
    <n v="1568.5214999999998"/>
    <n v="13"/>
    <x v="2"/>
    <x v="4"/>
  </r>
  <r>
    <n v="11534"/>
    <d v="2026-03-14T00:00:00"/>
    <x v="17"/>
    <x v="1"/>
    <x v="2"/>
    <n v="7"/>
    <n v="533.73"/>
    <n v="0.13"/>
    <x v="2"/>
    <x v="7"/>
    <n v="4.7"/>
    <n v="3250.42"/>
    <n v="3250.4157"/>
    <n v="14"/>
    <x v="2"/>
    <x v="4"/>
  </r>
  <r>
    <n v="11535"/>
    <d v="2026-03-15T00:00:00"/>
    <x v="724"/>
    <x v="2"/>
    <x v="2"/>
    <n v="4"/>
    <n v="114.14"/>
    <n v="0.22"/>
    <x v="1"/>
    <x v="10"/>
    <n v="4.8"/>
    <n v="356.12"/>
    <n v="356.11680000000001"/>
    <n v="15"/>
    <x v="2"/>
    <x v="4"/>
  </r>
  <r>
    <n v="11536"/>
    <d v="2026-03-16T00:00:00"/>
    <x v="583"/>
    <x v="2"/>
    <x v="2"/>
    <n v="6"/>
    <n v="291.83"/>
    <n v="0.15"/>
    <x v="1"/>
    <x v="4"/>
    <n v="1.2"/>
    <n v="1488.33"/>
    <n v="1488.3330000000001"/>
    <n v="16"/>
    <x v="2"/>
    <x v="4"/>
  </r>
  <r>
    <n v="11537"/>
    <d v="2026-03-17T00:00:00"/>
    <x v="762"/>
    <x v="3"/>
    <x v="1"/>
    <n v="4"/>
    <n v="583.21"/>
    <n v="0.14000000000000001"/>
    <x v="1"/>
    <x v="0"/>
    <n v="4.5999999999999996"/>
    <n v="2006.24"/>
    <n v="2006.2424000000001"/>
    <n v="17"/>
    <x v="2"/>
    <x v="4"/>
  </r>
  <r>
    <n v="11538"/>
    <d v="2026-03-18T00:00:00"/>
    <x v="470"/>
    <x v="0"/>
    <x v="3"/>
    <n v="1"/>
    <n v="232.83"/>
    <n v="0.2"/>
    <x v="2"/>
    <x v="8"/>
    <n v="2.9"/>
    <n v="186.26"/>
    <n v="186.26400000000001"/>
    <n v="18"/>
    <x v="2"/>
    <x v="4"/>
  </r>
  <r>
    <n v="11539"/>
    <d v="2026-03-19T00:00:00"/>
    <x v="584"/>
    <x v="2"/>
    <x v="0"/>
    <n v="4"/>
    <n v="232.37"/>
    <n v="0.08"/>
    <x v="1"/>
    <x v="5"/>
    <n v="4.0999999999999996"/>
    <n v="855.12"/>
    <n v="855.12160000000006"/>
    <n v="19"/>
    <x v="2"/>
    <x v="4"/>
  </r>
  <r>
    <n v="11540"/>
    <d v="2026-03-20T00:00:00"/>
    <x v="68"/>
    <x v="0"/>
    <x v="3"/>
    <n v="4"/>
    <n v="129.09"/>
    <n v="0.03"/>
    <x v="2"/>
    <x v="1"/>
    <n v="1.3"/>
    <n v="500.87"/>
    <n v="500.86920000000003"/>
    <n v="20"/>
    <x v="2"/>
    <x v="4"/>
  </r>
  <r>
    <n v="11541"/>
    <d v="2026-03-21T00:00:00"/>
    <x v="356"/>
    <x v="1"/>
    <x v="3"/>
    <n v="1"/>
    <n v="81.88"/>
    <n v="0.01"/>
    <x v="1"/>
    <x v="10"/>
    <n v="4.8"/>
    <n v="81.06"/>
    <n v="81.061199999999999"/>
    <n v="21"/>
    <x v="2"/>
    <x v="4"/>
  </r>
  <r>
    <n v="11542"/>
    <d v="2026-03-22T00:00:00"/>
    <x v="692"/>
    <x v="1"/>
    <x v="0"/>
    <n v="3"/>
    <n v="448.08"/>
    <n v="0.09"/>
    <x v="1"/>
    <x v="5"/>
    <n v="3.4"/>
    <n v="1223.26"/>
    <n v="1223.2583999999999"/>
    <n v="22"/>
    <x v="2"/>
    <x v="4"/>
  </r>
  <r>
    <n v="11543"/>
    <d v="2026-03-23T00:00:00"/>
    <x v="525"/>
    <x v="1"/>
    <x v="1"/>
    <n v="3"/>
    <n v="465.47"/>
    <n v="0.03"/>
    <x v="2"/>
    <x v="0"/>
    <n v="4.5999999999999996"/>
    <n v="1354.52"/>
    <n v="1354.5177000000001"/>
    <n v="23"/>
    <x v="2"/>
    <x v="4"/>
  </r>
  <r>
    <n v="11544"/>
    <d v="2026-03-24T00:00:00"/>
    <x v="166"/>
    <x v="2"/>
    <x v="2"/>
    <n v="4"/>
    <n v="581.87"/>
    <n v="0.12"/>
    <x v="2"/>
    <x v="4"/>
    <n v="3.7"/>
    <n v="2048.1799999999998"/>
    <n v="2048.1824000000001"/>
    <n v="24"/>
    <x v="2"/>
    <x v="4"/>
  </r>
  <r>
    <n v="11545"/>
    <d v="2026-03-25T00:00:00"/>
    <x v="763"/>
    <x v="2"/>
    <x v="2"/>
    <n v="1"/>
    <n v="467.45"/>
    <n v="0.27"/>
    <x v="2"/>
    <x v="1"/>
    <n v="3.1"/>
    <n v="341.24"/>
    <n v="341.23849999999999"/>
    <n v="25"/>
    <x v="2"/>
    <x v="4"/>
  </r>
  <r>
    <n v="11546"/>
    <d v="2026-03-26T00:00:00"/>
    <x v="742"/>
    <x v="1"/>
    <x v="3"/>
    <n v="3"/>
    <n v="157.36000000000001"/>
    <n v="0.25"/>
    <x v="1"/>
    <x v="1"/>
    <n v="1.7"/>
    <n v="354.06"/>
    <n v="354.06000000000006"/>
    <n v="26"/>
    <x v="2"/>
    <x v="4"/>
  </r>
  <r>
    <n v="11547"/>
    <d v="2026-03-27T00:00:00"/>
    <x v="48"/>
    <x v="2"/>
    <x v="1"/>
    <n v="5"/>
    <n v="38.47"/>
    <n v="0.21"/>
    <x v="2"/>
    <x v="3"/>
    <n v="1.7"/>
    <n v="151.96"/>
    <n v="151.95650000000001"/>
    <n v="27"/>
    <x v="2"/>
    <x v="4"/>
  </r>
  <r>
    <n v="11548"/>
    <d v="2026-03-28T00:00:00"/>
    <x v="764"/>
    <x v="0"/>
    <x v="2"/>
    <n v="2"/>
    <n v="591.48"/>
    <n v="0.3"/>
    <x v="1"/>
    <x v="8"/>
    <n v="2.9"/>
    <n v="828.07"/>
    <n v="828.07200000000012"/>
    <n v="28"/>
    <x v="2"/>
    <x v="4"/>
  </r>
  <r>
    <n v="11549"/>
    <d v="2026-03-29T00:00:00"/>
    <x v="693"/>
    <x v="1"/>
    <x v="1"/>
    <n v="2"/>
    <n v="214.16"/>
    <n v="0.1"/>
    <x v="2"/>
    <x v="9"/>
    <n v="4.5"/>
    <n v="385.49"/>
    <n v="385.488"/>
    <n v="29"/>
    <x v="2"/>
    <x v="4"/>
  </r>
  <r>
    <n v="11550"/>
    <d v="2026-03-30T00:00:00"/>
    <x v="359"/>
    <x v="2"/>
    <x v="0"/>
    <n v="6"/>
    <n v="197.5"/>
    <n v="0.31"/>
    <x v="2"/>
    <x v="3"/>
    <n v="1.5"/>
    <n v="817.65"/>
    <n v="817.65"/>
    <n v="30"/>
    <x v="2"/>
    <x v="4"/>
  </r>
  <r>
    <n v="11551"/>
    <d v="2026-03-31T00:00:00"/>
    <x v="691"/>
    <x v="3"/>
    <x v="3"/>
    <n v="2"/>
    <n v="544.98"/>
    <n v="0.14000000000000001"/>
    <x v="1"/>
    <x v="9"/>
    <n v="5"/>
    <n v="937.37"/>
    <n v="937.36560000000009"/>
    <n v="31"/>
    <x v="2"/>
    <x v="4"/>
  </r>
  <r>
    <n v="11552"/>
    <d v="2026-04-01T00:00:00"/>
    <x v="742"/>
    <x v="2"/>
    <x v="3"/>
    <n v="4"/>
    <n v="357.28"/>
    <n v="0.14000000000000001"/>
    <x v="2"/>
    <x v="8"/>
    <n v="4.5"/>
    <n v="1229.04"/>
    <n v="1229.0431999999998"/>
    <n v="1"/>
    <x v="3"/>
    <x v="4"/>
  </r>
  <r>
    <n v="11553"/>
    <d v="2026-04-02T00:00:00"/>
    <x v="392"/>
    <x v="1"/>
    <x v="1"/>
    <n v="2"/>
    <n v="140.69999999999999"/>
    <n v="0.14000000000000001"/>
    <x v="2"/>
    <x v="10"/>
    <n v="2.6"/>
    <n v="242"/>
    <n v="242.00399999999996"/>
    <n v="2"/>
    <x v="3"/>
    <x v="4"/>
  </r>
  <r>
    <n v="11554"/>
    <d v="2026-04-03T00:00:00"/>
    <x v="765"/>
    <x v="3"/>
    <x v="2"/>
    <n v="2"/>
    <n v="535.12"/>
    <n v="0.03"/>
    <x v="1"/>
    <x v="1"/>
    <n v="2"/>
    <n v="1038.1300000000001"/>
    <n v="1038.1328000000001"/>
    <n v="3"/>
    <x v="3"/>
    <x v="4"/>
  </r>
  <r>
    <n v="11555"/>
    <d v="2026-04-04T00:00:00"/>
    <x v="32"/>
    <x v="0"/>
    <x v="1"/>
    <n v="5"/>
    <n v="596.12"/>
    <n v="0.34"/>
    <x v="0"/>
    <x v="4"/>
    <n v="4.7"/>
    <n v="1967.2"/>
    <n v="1967.1959999999999"/>
    <n v="4"/>
    <x v="3"/>
    <x v="4"/>
  </r>
  <r>
    <n v="11556"/>
    <d v="2026-04-05T00:00:00"/>
    <x v="766"/>
    <x v="3"/>
    <x v="0"/>
    <n v="3"/>
    <n v="65.709999999999994"/>
    <n v="0.05"/>
    <x v="0"/>
    <x v="10"/>
    <n v="1.5"/>
    <n v="187.27"/>
    <n v="187.27349999999998"/>
    <n v="5"/>
    <x v="3"/>
    <x v="4"/>
  </r>
  <r>
    <n v="11557"/>
    <d v="2026-04-06T00:00:00"/>
    <x v="756"/>
    <x v="3"/>
    <x v="2"/>
    <n v="5"/>
    <n v="519.41999999999996"/>
    <n v="0.12"/>
    <x v="1"/>
    <x v="0"/>
    <n v="2.4"/>
    <n v="2285.4499999999998"/>
    <n v="2285.4479999999999"/>
    <n v="6"/>
    <x v="3"/>
    <x v="4"/>
  </r>
  <r>
    <n v="11558"/>
    <d v="2026-04-07T00:00:00"/>
    <x v="543"/>
    <x v="3"/>
    <x v="2"/>
    <n v="4"/>
    <n v="243.45"/>
    <n v="0.11"/>
    <x v="0"/>
    <x v="0"/>
    <n v="1.3"/>
    <n v="866.68"/>
    <n v="866.68200000000002"/>
    <n v="7"/>
    <x v="3"/>
    <x v="4"/>
  </r>
  <r>
    <n v="11559"/>
    <d v="2026-04-08T00:00:00"/>
    <x v="767"/>
    <x v="0"/>
    <x v="1"/>
    <n v="2"/>
    <n v="321.58"/>
    <n v="0.03"/>
    <x v="1"/>
    <x v="6"/>
    <n v="4.8"/>
    <n v="623.87"/>
    <n v="623.86519999999996"/>
    <n v="8"/>
    <x v="3"/>
    <x v="4"/>
  </r>
  <r>
    <n v="11560"/>
    <d v="2026-04-09T00:00:00"/>
    <x v="154"/>
    <x v="2"/>
    <x v="0"/>
    <n v="7"/>
    <n v="550.16999999999996"/>
    <n v="0.05"/>
    <x v="2"/>
    <x v="4"/>
    <n v="3.5"/>
    <n v="3658.63"/>
    <n v="3658.6304999999998"/>
    <n v="9"/>
    <x v="3"/>
    <x v="4"/>
  </r>
  <r>
    <n v="11561"/>
    <d v="2026-04-10T00:00:00"/>
    <x v="145"/>
    <x v="2"/>
    <x v="2"/>
    <n v="3"/>
    <n v="584.42999999999995"/>
    <n v="0.02"/>
    <x v="0"/>
    <x v="0"/>
    <n v="2.2999999999999998"/>
    <n v="1718.22"/>
    <n v="1718.2241999999999"/>
    <n v="10"/>
    <x v="3"/>
    <x v="4"/>
  </r>
  <r>
    <n v="11562"/>
    <d v="2026-04-11T00:00:00"/>
    <x v="438"/>
    <x v="2"/>
    <x v="3"/>
    <n v="6"/>
    <n v="168.37"/>
    <n v="0.1"/>
    <x v="2"/>
    <x v="9"/>
    <n v="2.1"/>
    <n v="909.2"/>
    <n v="909.19800000000009"/>
    <n v="11"/>
    <x v="3"/>
    <x v="4"/>
  </r>
  <r>
    <n v="11563"/>
    <d v="2026-04-12T00:00:00"/>
    <x v="87"/>
    <x v="2"/>
    <x v="0"/>
    <n v="6"/>
    <n v="139.52000000000001"/>
    <n v="0.3"/>
    <x v="1"/>
    <x v="6"/>
    <n v="2.8"/>
    <n v="585.98"/>
    <n v="585.98400000000015"/>
    <n v="12"/>
    <x v="3"/>
    <x v="4"/>
  </r>
  <r>
    <n v="11564"/>
    <d v="2026-04-13T00:00:00"/>
    <x v="431"/>
    <x v="3"/>
    <x v="2"/>
    <n v="2"/>
    <n v="62.1"/>
    <n v="0.12"/>
    <x v="0"/>
    <x v="2"/>
    <n v="1.4"/>
    <n v="109.3"/>
    <n v="109.29600000000001"/>
    <n v="13"/>
    <x v="3"/>
    <x v="4"/>
  </r>
  <r>
    <n v="11565"/>
    <d v="2026-04-14T00:00:00"/>
    <x v="768"/>
    <x v="1"/>
    <x v="1"/>
    <n v="2"/>
    <n v="343.65"/>
    <n v="0.04"/>
    <x v="1"/>
    <x v="7"/>
    <n v="4.5999999999999996"/>
    <n v="659.81"/>
    <n v="659.80799999999999"/>
    <n v="14"/>
    <x v="3"/>
    <x v="4"/>
  </r>
  <r>
    <n v="11566"/>
    <d v="2026-04-15T00:00:00"/>
    <x v="769"/>
    <x v="1"/>
    <x v="2"/>
    <n v="6"/>
    <n v="22.96"/>
    <n v="0.23"/>
    <x v="1"/>
    <x v="2"/>
    <n v="3"/>
    <n v="106.08"/>
    <n v="106.0752"/>
    <n v="15"/>
    <x v="3"/>
    <x v="4"/>
  </r>
  <r>
    <n v="11567"/>
    <d v="2026-04-16T00:00:00"/>
    <x v="770"/>
    <x v="2"/>
    <x v="3"/>
    <n v="6"/>
    <n v="255.96"/>
    <n v="0.35"/>
    <x v="1"/>
    <x v="7"/>
    <n v="3.9"/>
    <n v="998.24"/>
    <n v="998.24400000000003"/>
    <n v="16"/>
    <x v="3"/>
    <x v="4"/>
  </r>
  <r>
    <n v="11568"/>
    <d v="2026-04-17T00:00:00"/>
    <x v="407"/>
    <x v="3"/>
    <x v="0"/>
    <n v="7"/>
    <n v="57.93"/>
    <n v="0.08"/>
    <x v="0"/>
    <x v="0"/>
    <n v="1.9"/>
    <n v="373.07"/>
    <n v="373.06919999999997"/>
    <n v="17"/>
    <x v="3"/>
    <x v="4"/>
  </r>
  <r>
    <n v="11569"/>
    <d v="2026-04-18T00:00:00"/>
    <x v="558"/>
    <x v="2"/>
    <x v="2"/>
    <n v="4"/>
    <n v="252.06"/>
    <n v="0.1"/>
    <x v="0"/>
    <x v="6"/>
    <n v="3"/>
    <n v="907.42"/>
    <n v="907.41599999999994"/>
    <n v="18"/>
    <x v="3"/>
    <x v="4"/>
  </r>
  <r>
    <n v="11570"/>
    <d v="2026-04-19T00:00:00"/>
    <x v="102"/>
    <x v="3"/>
    <x v="3"/>
    <n v="2"/>
    <n v="38.36"/>
    <n v="0.34"/>
    <x v="1"/>
    <x v="1"/>
    <n v="1.8"/>
    <n v="50.64"/>
    <n v="50.635199999999998"/>
    <n v="19"/>
    <x v="3"/>
    <x v="4"/>
  </r>
  <r>
    <n v="11571"/>
    <d v="2026-04-20T00:00:00"/>
    <x v="106"/>
    <x v="1"/>
    <x v="2"/>
    <n v="6"/>
    <n v="503.6"/>
    <n v="0.06"/>
    <x v="0"/>
    <x v="3"/>
    <n v="4.3"/>
    <n v="2840.3"/>
    <n v="2840.3040000000005"/>
    <n v="20"/>
    <x v="3"/>
    <x v="4"/>
  </r>
  <r>
    <n v="11572"/>
    <d v="2026-04-21T00:00:00"/>
    <x v="771"/>
    <x v="2"/>
    <x v="2"/>
    <n v="7"/>
    <n v="137.69999999999999"/>
    <n v="0.18"/>
    <x v="1"/>
    <x v="9"/>
    <n v="4.0999999999999996"/>
    <n v="790.4"/>
    <n v="790.39799999999991"/>
    <n v="21"/>
    <x v="3"/>
    <x v="4"/>
  </r>
  <r>
    <n v="11573"/>
    <d v="2026-04-22T00:00:00"/>
    <x v="157"/>
    <x v="2"/>
    <x v="0"/>
    <n v="1"/>
    <n v="207.06"/>
    <n v="0.08"/>
    <x v="0"/>
    <x v="1"/>
    <n v="1.6"/>
    <n v="190.5"/>
    <n v="190.49520000000001"/>
    <n v="22"/>
    <x v="3"/>
    <x v="4"/>
  </r>
  <r>
    <n v="11574"/>
    <d v="2026-04-23T00:00:00"/>
    <x v="284"/>
    <x v="2"/>
    <x v="1"/>
    <n v="6"/>
    <n v="523.98"/>
    <n v="0.33"/>
    <x v="2"/>
    <x v="7"/>
    <n v="1.3"/>
    <n v="2106.4"/>
    <n v="2106.3995999999997"/>
    <n v="23"/>
    <x v="3"/>
    <x v="4"/>
  </r>
  <r>
    <n v="11575"/>
    <d v="2026-04-24T00:00:00"/>
    <x v="151"/>
    <x v="3"/>
    <x v="1"/>
    <n v="3"/>
    <n v="451.57"/>
    <n v="0.34"/>
    <x v="1"/>
    <x v="5"/>
    <n v="4.3"/>
    <n v="894.11"/>
    <n v="894.10860000000002"/>
    <n v="24"/>
    <x v="3"/>
    <x v="4"/>
  </r>
  <r>
    <n v="11576"/>
    <d v="2026-04-25T00:00:00"/>
    <x v="164"/>
    <x v="0"/>
    <x v="3"/>
    <n v="3"/>
    <n v="143.13999999999999"/>
    <n v="0.28999999999999998"/>
    <x v="1"/>
    <x v="0"/>
    <n v="1.4"/>
    <n v="304.89"/>
    <n v="304.88819999999998"/>
    <n v="25"/>
    <x v="3"/>
    <x v="4"/>
  </r>
  <r>
    <n v="11577"/>
    <d v="2026-04-26T00:00:00"/>
    <x v="772"/>
    <x v="1"/>
    <x v="3"/>
    <n v="1"/>
    <n v="57.06"/>
    <n v="0.11"/>
    <x v="1"/>
    <x v="5"/>
    <n v="3.2"/>
    <n v="50.78"/>
    <n v="50.7834"/>
    <n v="26"/>
    <x v="3"/>
    <x v="4"/>
  </r>
  <r>
    <n v="11578"/>
    <d v="2026-04-27T00:00:00"/>
    <x v="162"/>
    <x v="2"/>
    <x v="3"/>
    <n v="4"/>
    <n v="433.67"/>
    <n v="0.14000000000000001"/>
    <x v="1"/>
    <x v="4"/>
    <n v="3.1"/>
    <n v="1491.82"/>
    <n v="1491.8248000000001"/>
    <n v="27"/>
    <x v="3"/>
    <x v="4"/>
  </r>
  <r>
    <n v="11579"/>
    <d v="2026-04-28T00:00:00"/>
    <x v="622"/>
    <x v="1"/>
    <x v="0"/>
    <n v="2"/>
    <n v="243.56"/>
    <n v="0.08"/>
    <x v="2"/>
    <x v="7"/>
    <n v="1.8"/>
    <n v="448.15"/>
    <n v="448.15039999999999"/>
    <n v="28"/>
    <x v="3"/>
    <x v="4"/>
  </r>
  <r>
    <n v="11580"/>
    <d v="2026-04-29T00:00:00"/>
    <x v="68"/>
    <x v="3"/>
    <x v="1"/>
    <n v="2"/>
    <n v="463.16"/>
    <n v="0.31"/>
    <x v="1"/>
    <x v="10"/>
    <n v="3.4"/>
    <n v="639.16"/>
    <n v="639.16080000000011"/>
    <n v="29"/>
    <x v="3"/>
    <x v="4"/>
  </r>
  <r>
    <n v="11581"/>
    <d v="2026-04-30T00:00:00"/>
    <x v="773"/>
    <x v="3"/>
    <x v="3"/>
    <n v="6"/>
    <n v="275.5"/>
    <n v="0.32"/>
    <x v="0"/>
    <x v="0"/>
    <n v="3"/>
    <n v="1124.04"/>
    <n v="1124.04"/>
    <n v="30"/>
    <x v="3"/>
    <x v="4"/>
  </r>
  <r>
    <n v="11582"/>
    <d v="2026-05-01T00:00:00"/>
    <x v="313"/>
    <x v="2"/>
    <x v="3"/>
    <n v="3"/>
    <n v="217.41"/>
    <n v="0.15"/>
    <x v="2"/>
    <x v="1"/>
    <n v="3"/>
    <n v="554.4"/>
    <n v="554.39550000000008"/>
    <n v="1"/>
    <x v="4"/>
    <x v="4"/>
  </r>
  <r>
    <n v="11583"/>
    <d v="2026-05-02T00:00:00"/>
    <x v="569"/>
    <x v="2"/>
    <x v="2"/>
    <n v="4"/>
    <n v="278.95999999999998"/>
    <n v="0.23"/>
    <x v="2"/>
    <x v="3"/>
    <n v="2.4"/>
    <n v="859.2"/>
    <n v="859.19679999999994"/>
    <n v="2"/>
    <x v="4"/>
    <x v="4"/>
  </r>
  <r>
    <n v="11584"/>
    <d v="2026-05-03T00:00:00"/>
    <x v="364"/>
    <x v="3"/>
    <x v="2"/>
    <n v="4"/>
    <n v="452.91"/>
    <n v="0.06"/>
    <x v="1"/>
    <x v="2"/>
    <n v="4.4000000000000004"/>
    <n v="1702.94"/>
    <n v="1702.9416000000001"/>
    <n v="3"/>
    <x v="4"/>
    <x v="4"/>
  </r>
  <r>
    <n v="11585"/>
    <d v="2026-05-04T00:00:00"/>
    <x v="394"/>
    <x v="1"/>
    <x v="3"/>
    <n v="4"/>
    <n v="542.79999999999995"/>
    <n v="0.15"/>
    <x v="0"/>
    <x v="10"/>
    <n v="1.3"/>
    <n v="1845.52"/>
    <n v="1845.52"/>
    <n v="4"/>
    <x v="4"/>
    <x v="4"/>
  </r>
  <r>
    <n v="11586"/>
    <d v="2026-05-05T00:00:00"/>
    <x v="578"/>
    <x v="2"/>
    <x v="2"/>
    <n v="6"/>
    <n v="44.11"/>
    <n v="0.22"/>
    <x v="2"/>
    <x v="2"/>
    <n v="2.8"/>
    <n v="206.43"/>
    <n v="206.43479999999997"/>
    <n v="5"/>
    <x v="4"/>
    <x v="4"/>
  </r>
  <r>
    <n v="11587"/>
    <d v="2026-05-06T00:00:00"/>
    <x v="429"/>
    <x v="2"/>
    <x v="2"/>
    <n v="2"/>
    <n v="321.61"/>
    <n v="0.13"/>
    <x v="0"/>
    <x v="9"/>
    <n v="2"/>
    <n v="559.6"/>
    <n v="559.60140000000001"/>
    <n v="6"/>
    <x v="4"/>
    <x v="4"/>
  </r>
  <r>
    <n v="11588"/>
    <d v="2026-05-07T00:00:00"/>
    <x v="774"/>
    <x v="1"/>
    <x v="2"/>
    <n v="4"/>
    <n v="34.21"/>
    <n v="0.13"/>
    <x v="0"/>
    <x v="3"/>
    <n v="4.4000000000000004"/>
    <n v="119.05"/>
    <n v="119.05080000000001"/>
    <n v="7"/>
    <x v="4"/>
    <x v="4"/>
  </r>
  <r>
    <n v="11589"/>
    <d v="2026-05-08T00:00:00"/>
    <x v="52"/>
    <x v="0"/>
    <x v="0"/>
    <n v="6"/>
    <n v="289.02"/>
    <n v="0"/>
    <x v="1"/>
    <x v="10"/>
    <n v="1.9"/>
    <n v="1734.12"/>
    <n v="1734.12"/>
    <n v="8"/>
    <x v="4"/>
    <x v="4"/>
  </r>
  <r>
    <n v="11590"/>
    <d v="2026-05-09T00:00:00"/>
    <x v="775"/>
    <x v="0"/>
    <x v="3"/>
    <n v="6"/>
    <n v="532.89"/>
    <n v="0.28000000000000003"/>
    <x v="1"/>
    <x v="6"/>
    <n v="4.0999999999999996"/>
    <n v="2302.08"/>
    <n v="2302.0848000000001"/>
    <n v="9"/>
    <x v="4"/>
    <x v="4"/>
  </r>
  <r>
    <n v="11591"/>
    <d v="2026-05-10T00:00:00"/>
    <x v="281"/>
    <x v="1"/>
    <x v="3"/>
    <n v="1"/>
    <n v="226.53"/>
    <n v="0.31"/>
    <x v="0"/>
    <x v="6"/>
    <n v="3.4"/>
    <n v="156.31"/>
    <n v="156.3057"/>
    <n v="10"/>
    <x v="4"/>
    <x v="4"/>
  </r>
  <r>
    <n v="11592"/>
    <d v="2026-05-11T00:00:00"/>
    <x v="734"/>
    <x v="1"/>
    <x v="2"/>
    <n v="5"/>
    <n v="560.48"/>
    <n v="0.34"/>
    <x v="0"/>
    <x v="1"/>
    <n v="4.5"/>
    <n v="1849.58"/>
    <n v="1849.5839999999998"/>
    <n v="11"/>
    <x v="4"/>
    <x v="4"/>
  </r>
  <r>
    <n v="11593"/>
    <d v="2026-05-12T00:00:00"/>
    <x v="776"/>
    <x v="2"/>
    <x v="0"/>
    <n v="4"/>
    <n v="383.91"/>
    <n v="0.25"/>
    <x v="2"/>
    <x v="9"/>
    <n v="3.4"/>
    <n v="1151.73"/>
    <n v="1151.73"/>
    <n v="12"/>
    <x v="4"/>
    <x v="4"/>
  </r>
  <r>
    <n v="11594"/>
    <d v="2026-05-13T00:00:00"/>
    <x v="777"/>
    <x v="1"/>
    <x v="2"/>
    <n v="5"/>
    <n v="561.48"/>
    <n v="0.19"/>
    <x v="1"/>
    <x v="6"/>
    <n v="3.2"/>
    <n v="2273.9899999999998"/>
    <n v="2273.9940000000001"/>
    <n v="13"/>
    <x v="4"/>
    <x v="4"/>
  </r>
  <r>
    <n v="11595"/>
    <d v="2026-05-14T00:00:00"/>
    <x v="778"/>
    <x v="1"/>
    <x v="0"/>
    <n v="2"/>
    <n v="457.94"/>
    <n v="0.09"/>
    <x v="2"/>
    <x v="7"/>
    <n v="4.2"/>
    <n v="833.45"/>
    <n v="833.45079999999996"/>
    <n v="14"/>
    <x v="4"/>
    <x v="4"/>
  </r>
  <r>
    <n v="11596"/>
    <d v="2026-05-15T00:00:00"/>
    <x v="21"/>
    <x v="1"/>
    <x v="3"/>
    <n v="6"/>
    <n v="75.510000000000005"/>
    <n v="0.35"/>
    <x v="1"/>
    <x v="2"/>
    <n v="3.2"/>
    <n v="294.49"/>
    <n v="294.48900000000003"/>
    <n v="15"/>
    <x v="4"/>
    <x v="4"/>
  </r>
  <r>
    <n v="11597"/>
    <d v="2026-05-16T00:00:00"/>
    <x v="707"/>
    <x v="1"/>
    <x v="2"/>
    <n v="7"/>
    <n v="150.22"/>
    <n v="0.21"/>
    <x v="1"/>
    <x v="7"/>
    <n v="4.4000000000000004"/>
    <n v="830.72"/>
    <n v="830.71659999999997"/>
    <n v="16"/>
    <x v="4"/>
    <x v="4"/>
  </r>
  <r>
    <n v="11598"/>
    <d v="2026-05-17T00:00:00"/>
    <x v="96"/>
    <x v="2"/>
    <x v="3"/>
    <n v="4"/>
    <n v="245.59"/>
    <n v="0.24"/>
    <x v="2"/>
    <x v="0"/>
    <n v="1.2"/>
    <n v="746.59"/>
    <n v="746.59360000000004"/>
    <n v="17"/>
    <x v="4"/>
    <x v="4"/>
  </r>
  <r>
    <n v="11599"/>
    <d v="2026-05-18T00:00:00"/>
    <x v="1"/>
    <x v="2"/>
    <x v="0"/>
    <n v="7"/>
    <n v="114.51"/>
    <n v="0.24"/>
    <x v="1"/>
    <x v="9"/>
    <n v="3"/>
    <n v="609.19000000000005"/>
    <n v="609.19320000000005"/>
    <n v="18"/>
    <x v="4"/>
    <x v="4"/>
  </r>
  <r>
    <n v="11600"/>
    <d v="2026-05-19T00:00:00"/>
    <x v="779"/>
    <x v="2"/>
    <x v="1"/>
    <n v="3"/>
    <n v="304.52"/>
    <n v="0.3"/>
    <x v="2"/>
    <x v="1"/>
    <n v="4.3"/>
    <n v="639.49"/>
    <n v="639.49199999999996"/>
    <n v="19"/>
    <x v="4"/>
    <x v="4"/>
  </r>
  <r>
    <n v="11601"/>
    <d v="2026-05-20T00:00:00"/>
    <x v="436"/>
    <x v="2"/>
    <x v="0"/>
    <n v="2"/>
    <n v="290.75"/>
    <n v="0"/>
    <x v="0"/>
    <x v="4"/>
    <n v="4.4000000000000004"/>
    <n v="581.5"/>
    <n v="581.5"/>
    <n v="20"/>
    <x v="4"/>
    <x v="4"/>
  </r>
  <r>
    <n v="11602"/>
    <d v="2026-05-21T00:00:00"/>
    <x v="687"/>
    <x v="2"/>
    <x v="1"/>
    <n v="1"/>
    <n v="574.41"/>
    <n v="0.08"/>
    <x v="0"/>
    <x v="9"/>
    <n v="4.3"/>
    <n v="528.46"/>
    <n v="528.45719999999994"/>
    <n v="21"/>
    <x v="4"/>
    <x v="4"/>
  </r>
  <r>
    <n v="11603"/>
    <d v="2026-05-22T00:00:00"/>
    <x v="780"/>
    <x v="0"/>
    <x v="3"/>
    <n v="1"/>
    <n v="268.73"/>
    <n v="0.23"/>
    <x v="0"/>
    <x v="7"/>
    <n v="3.4"/>
    <n v="206.92"/>
    <n v="206.9221"/>
    <n v="22"/>
    <x v="4"/>
    <x v="4"/>
  </r>
  <r>
    <n v="11604"/>
    <d v="2026-05-23T00:00:00"/>
    <x v="781"/>
    <x v="1"/>
    <x v="3"/>
    <n v="5"/>
    <n v="474.59"/>
    <n v="0.31"/>
    <x v="0"/>
    <x v="6"/>
    <n v="5"/>
    <n v="1637.34"/>
    <n v="1637.3354999999999"/>
    <n v="23"/>
    <x v="4"/>
    <x v="4"/>
  </r>
  <r>
    <n v="11605"/>
    <d v="2026-05-24T00:00:00"/>
    <x v="178"/>
    <x v="1"/>
    <x v="2"/>
    <n v="6"/>
    <n v="566.02"/>
    <n v="0.24"/>
    <x v="1"/>
    <x v="1"/>
    <n v="1.7"/>
    <n v="2581.0500000000002"/>
    <n v="2581.0511999999999"/>
    <n v="24"/>
    <x v="4"/>
    <x v="4"/>
  </r>
  <r>
    <n v="11606"/>
    <d v="2026-05-25T00:00:00"/>
    <x v="53"/>
    <x v="0"/>
    <x v="1"/>
    <n v="5"/>
    <n v="528.04"/>
    <n v="0.14000000000000001"/>
    <x v="0"/>
    <x v="1"/>
    <n v="1.7"/>
    <n v="2270.5700000000002"/>
    <n v="2270.5719999999997"/>
    <n v="25"/>
    <x v="4"/>
    <x v="4"/>
  </r>
  <r>
    <n v="11607"/>
    <d v="2026-05-26T00:00:00"/>
    <x v="696"/>
    <x v="0"/>
    <x v="0"/>
    <n v="3"/>
    <n v="137.07"/>
    <n v="0.13"/>
    <x v="0"/>
    <x v="2"/>
    <n v="1.1000000000000001"/>
    <n v="357.75"/>
    <n v="357.7527"/>
    <n v="26"/>
    <x v="4"/>
    <x v="4"/>
  </r>
  <r>
    <n v="11608"/>
    <d v="2026-05-27T00:00:00"/>
    <x v="497"/>
    <x v="1"/>
    <x v="3"/>
    <n v="3"/>
    <n v="305.18"/>
    <n v="0.26"/>
    <x v="0"/>
    <x v="2"/>
    <n v="5"/>
    <n v="677.5"/>
    <n v="677.49959999999999"/>
    <n v="27"/>
    <x v="4"/>
    <x v="4"/>
  </r>
  <r>
    <n v="11609"/>
    <d v="2026-05-28T00:00:00"/>
    <x v="503"/>
    <x v="3"/>
    <x v="1"/>
    <n v="1"/>
    <n v="218.43"/>
    <n v="0.26"/>
    <x v="2"/>
    <x v="7"/>
    <n v="2.4"/>
    <n v="161.63999999999999"/>
    <n v="161.63820000000001"/>
    <n v="28"/>
    <x v="4"/>
    <x v="4"/>
  </r>
  <r>
    <n v="11610"/>
    <d v="2026-05-29T00:00:00"/>
    <x v="26"/>
    <x v="2"/>
    <x v="0"/>
    <n v="7"/>
    <n v="248.92"/>
    <n v="0.21"/>
    <x v="1"/>
    <x v="3"/>
    <n v="4"/>
    <n v="1376.53"/>
    <n v="1376.5275999999999"/>
    <n v="29"/>
    <x v="4"/>
    <x v="4"/>
  </r>
  <r>
    <n v="11611"/>
    <d v="2026-05-30T00:00:00"/>
    <x v="27"/>
    <x v="2"/>
    <x v="1"/>
    <n v="4"/>
    <n v="226.07"/>
    <n v="0.1"/>
    <x v="1"/>
    <x v="8"/>
    <n v="1.2"/>
    <n v="813.85"/>
    <n v="813.85199999999998"/>
    <n v="30"/>
    <x v="4"/>
    <x v="4"/>
  </r>
  <r>
    <n v="11612"/>
    <d v="2026-05-31T00:00:00"/>
    <x v="393"/>
    <x v="1"/>
    <x v="0"/>
    <n v="1"/>
    <n v="498.42"/>
    <n v="0.32"/>
    <x v="1"/>
    <x v="8"/>
    <n v="2.2000000000000002"/>
    <n v="338.93"/>
    <n v="338.92560000000003"/>
    <n v="31"/>
    <x v="4"/>
    <x v="4"/>
  </r>
  <r>
    <n v="11613"/>
    <d v="2026-06-01T00:00:00"/>
    <x v="764"/>
    <x v="3"/>
    <x v="0"/>
    <n v="1"/>
    <n v="279.5"/>
    <n v="0.19"/>
    <x v="0"/>
    <x v="5"/>
    <n v="3.5"/>
    <n v="226.4"/>
    <n v="226.39499999999998"/>
    <n v="1"/>
    <x v="5"/>
    <x v="4"/>
  </r>
  <r>
    <n v="11614"/>
    <d v="2026-06-02T00:00:00"/>
    <x v="39"/>
    <x v="3"/>
    <x v="0"/>
    <n v="7"/>
    <n v="321.36"/>
    <n v="0.28000000000000003"/>
    <x v="2"/>
    <x v="10"/>
    <n v="3.1"/>
    <n v="1619.65"/>
    <n v="1619.6543999999999"/>
    <n v="2"/>
    <x v="5"/>
    <x v="4"/>
  </r>
  <r>
    <n v="11615"/>
    <d v="2026-06-03T00:00:00"/>
    <x v="498"/>
    <x v="2"/>
    <x v="0"/>
    <n v="7"/>
    <n v="589.73"/>
    <n v="0.08"/>
    <x v="0"/>
    <x v="9"/>
    <n v="1.8"/>
    <n v="3797.86"/>
    <n v="3797.8612000000007"/>
    <n v="3"/>
    <x v="5"/>
    <x v="4"/>
  </r>
  <r>
    <n v="11616"/>
    <d v="2026-06-04T00:00:00"/>
    <x v="782"/>
    <x v="2"/>
    <x v="1"/>
    <n v="3"/>
    <n v="50.09"/>
    <n v="0.12"/>
    <x v="2"/>
    <x v="9"/>
    <n v="2.8"/>
    <n v="132.24"/>
    <n v="132.23760000000001"/>
    <n v="4"/>
    <x v="5"/>
    <x v="4"/>
  </r>
  <r>
    <n v="11617"/>
    <d v="2026-06-05T00:00:00"/>
    <x v="783"/>
    <x v="1"/>
    <x v="1"/>
    <n v="7"/>
    <n v="300.45999999999998"/>
    <n v="0.31"/>
    <x v="2"/>
    <x v="6"/>
    <n v="1.4"/>
    <n v="1451.22"/>
    <n v="1451.2217999999998"/>
    <n v="5"/>
    <x v="5"/>
    <x v="4"/>
  </r>
  <r>
    <n v="11618"/>
    <d v="2026-06-06T00:00:00"/>
    <x v="202"/>
    <x v="2"/>
    <x v="2"/>
    <n v="5"/>
    <n v="467.83"/>
    <n v="0.02"/>
    <x v="1"/>
    <x v="2"/>
    <n v="3.2"/>
    <n v="2292.37"/>
    <n v="2292.3670000000002"/>
    <n v="6"/>
    <x v="5"/>
    <x v="4"/>
  </r>
  <r>
    <n v="11619"/>
    <d v="2026-06-07T00:00:00"/>
    <x v="784"/>
    <x v="1"/>
    <x v="1"/>
    <n v="3"/>
    <n v="103.43"/>
    <n v="0.18"/>
    <x v="1"/>
    <x v="2"/>
    <n v="1.4"/>
    <n v="254.44"/>
    <n v="254.43780000000004"/>
    <n v="7"/>
    <x v="5"/>
    <x v="4"/>
  </r>
  <r>
    <n v="11620"/>
    <d v="2026-06-08T00:00:00"/>
    <x v="273"/>
    <x v="3"/>
    <x v="1"/>
    <n v="7"/>
    <n v="372.75"/>
    <n v="0.17"/>
    <x v="1"/>
    <x v="0"/>
    <n v="3.5"/>
    <n v="2165.6799999999998"/>
    <n v="2165.6774999999998"/>
    <n v="8"/>
    <x v="5"/>
    <x v="4"/>
  </r>
  <r>
    <n v="11621"/>
    <d v="2026-06-09T00:00:00"/>
    <x v="51"/>
    <x v="3"/>
    <x v="2"/>
    <n v="6"/>
    <n v="155.09"/>
    <n v="0.26"/>
    <x v="2"/>
    <x v="7"/>
    <n v="1.6"/>
    <n v="688.6"/>
    <n v="688.59960000000001"/>
    <n v="9"/>
    <x v="5"/>
    <x v="4"/>
  </r>
  <r>
    <n v="11622"/>
    <d v="2026-06-10T00:00:00"/>
    <x v="641"/>
    <x v="3"/>
    <x v="1"/>
    <n v="3"/>
    <n v="522.42999999999995"/>
    <n v="0.1"/>
    <x v="1"/>
    <x v="6"/>
    <n v="3.2"/>
    <n v="1410.56"/>
    <n v="1410.5609999999999"/>
    <n v="10"/>
    <x v="5"/>
    <x v="4"/>
  </r>
  <r>
    <n v="11623"/>
    <d v="2026-06-11T00:00:00"/>
    <x v="748"/>
    <x v="0"/>
    <x v="0"/>
    <n v="3"/>
    <n v="206.35"/>
    <n v="0.08"/>
    <x v="2"/>
    <x v="3"/>
    <n v="1.5"/>
    <n v="569.53"/>
    <n v="569.52599999999995"/>
    <n v="11"/>
    <x v="5"/>
    <x v="4"/>
  </r>
  <r>
    <n v="11624"/>
    <d v="2026-06-12T00:00:00"/>
    <x v="569"/>
    <x v="1"/>
    <x v="3"/>
    <n v="1"/>
    <n v="207.5"/>
    <n v="0.32"/>
    <x v="1"/>
    <x v="3"/>
    <n v="2.6"/>
    <n v="141.1"/>
    <n v="141.1"/>
    <n v="12"/>
    <x v="5"/>
    <x v="4"/>
  </r>
  <r>
    <n v="11625"/>
    <d v="2026-06-13T00:00:00"/>
    <x v="18"/>
    <x v="3"/>
    <x v="3"/>
    <n v="4"/>
    <n v="364.94"/>
    <n v="0.2"/>
    <x v="0"/>
    <x v="10"/>
    <n v="2.4"/>
    <n v="1167.81"/>
    <n v="1167.808"/>
    <n v="13"/>
    <x v="5"/>
    <x v="4"/>
  </r>
  <r>
    <n v="11626"/>
    <d v="2026-06-14T00:00:00"/>
    <x v="532"/>
    <x v="1"/>
    <x v="2"/>
    <n v="1"/>
    <n v="122.38"/>
    <n v="0.04"/>
    <x v="1"/>
    <x v="7"/>
    <n v="4"/>
    <n v="117.48"/>
    <n v="117.48479999999999"/>
    <n v="14"/>
    <x v="5"/>
    <x v="4"/>
  </r>
  <r>
    <n v="11627"/>
    <d v="2026-06-15T00:00:00"/>
    <x v="785"/>
    <x v="2"/>
    <x v="1"/>
    <n v="2"/>
    <n v="181.66"/>
    <n v="7.0000000000000007E-2"/>
    <x v="2"/>
    <x v="1"/>
    <n v="3.6"/>
    <n v="337.89"/>
    <n v="337.88760000000002"/>
    <n v="15"/>
    <x v="5"/>
    <x v="4"/>
  </r>
  <r>
    <n v="11628"/>
    <d v="2026-06-16T00:00:00"/>
    <x v="474"/>
    <x v="2"/>
    <x v="1"/>
    <n v="3"/>
    <n v="258.73"/>
    <n v="0.35"/>
    <x v="1"/>
    <x v="8"/>
    <n v="4.7"/>
    <n v="504.52"/>
    <n v="504.52350000000007"/>
    <n v="16"/>
    <x v="5"/>
    <x v="4"/>
  </r>
  <r>
    <n v="11629"/>
    <d v="2026-06-17T00:00:00"/>
    <x v="216"/>
    <x v="2"/>
    <x v="2"/>
    <n v="7"/>
    <n v="221.88"/>
    <n v="7.0000000000000007E-2"/>
    <x v="2"/>
    <x v="4"/>
    <n v="4.7"/>
    <n v="1444.44"/>
    <n v="1444.4387999999999"/>
    <n v="17"/>
    <x v="5"/>
    <x v="4"/>
  </r>
  <r>
    <n v="11630"/>
    <d v="2026-06-18T00:00:00"/>
    <x v="502"/>
    <x v="1"/>
    <x v="3"/>
    <n v="7"/>
    <n v="322.05"/>
    <n v="0.21"/>
    <x v="1"/>
    <x v="6"/>
    <n v="3.9"/>
    <n v="1780.94"/>
    <n v="1780.9364999999998"/>
    <n v="18"/>
    <x v="5"/>
    <x v="4"/>
  </r>
  <r>
    <n v="11631"/>
    <d v="2026-06-19T00:00:00"/>
    <x v="786"/>
    <x v="1"/>
    <x v="0"/>
    <n v="7"/>
    <n v="365.79"/>
    <n v="0.15"/>
    <x v="2"/>
    <x v="8"/>
    <n v="4.0999999999999996"/>
    <n v="2176.4499999999998"/>
    <n v="2176.4504999999999"/>
    <n v="19"/>
    <x v="5"/>
    <x v="4"/>
  </r>
  <r>
    <n v="11632"/>
    <d v="2026-06-20T00:00:00"/>
    <x v="31"/>
    <x v="3"/>
    <x v="1"/>
    <n v="3"/>
    <n v="346.5"/>
    <n v="0.31"/>
    <x v="0"/>
    <x v="10"/>
    <n v="3.5"/>
    <n v="717.26"/>
    <n v="717.255"/>
    <n v="20"/>
    <x v="5"/>
    <x v="4"/>
  </r>
  <r>
    <n v="11633"/>
    <d v="2026-06-21T00:00:00"/>
    <x v="524"/>
    <x v="2"/>
    <x v="2"/>
    <n v="7"/>
    <n v="397.69"/>
    <n v="0.26"/>
    <x v="1"/>
    <x v="0"/>
    <n v="3.8"/>
    <n v="2060.0300000000002"/>
    <n v="2060.0342000000001"/>
    <n v="21"/>
    <x v="5"/>
    <x v="4"/>
  </r>
  <r>
    <n v="11634"/>
    <d v="2026-06-22T00:00:00"/>
    <x v="460"/>
    <x v="2"/>
    <x v="0"/>
    <n v="2"/>
    <n v="195.03"/>
    <n v="0.21"/>
    <x v="1"/>
    <x v="5"/>
    <n v="3.5"/>
    <n v="308.14999999999998"/>
    <n v="308.1474"/>
    <n v="22"/>
    <x v="5"/>
    <x v="4"/>
  </r>
  <r>
    <n v="11635"/>
    <d v="2026-06-23T00:00:00"/>
    <x v="130"/>
    <x v="0"/>
    <x v="2"/>
    <n v="3"/>
    <n v="88.96"/>
    <n v="0"/>
    <x v="2"/>
    <x v="2"/>
    <n v="2.2000000000000002"/>
    <n v="266.88"/>
    <n v="266.88"/>
    <n v="23"/>
    <x v="5"/>
    <x v="4"/>
  </r>
  <r>
    <n v="11636"/>
    <d v="2026-06-24T00:00:00"/>
    <x v="20"/>
    <x v="2"/>
    <x v="2"/>
    <n v="7"/>
    <n v="460.07"/>
    <n v="0.31"/>
    <x v="2"/>
    <x v="1"/>
    <n v="2.4"/>
    <n v="2222.14"/>
    <n v="2222.1380999999997"/>
    <n v="24"/>
    <x v="5"/>
    <x v="4"/>
  </r>
  <r>
    <n v="11637"/>
    <d v="2026-06-25T00:00:00"/>
    <x v="687"/>
    <x v="1"/>
    <x v="2"/>
    <n v="3"/>
    <n v="512.71"/>
    <n v="0.16"/>
    <x v="1"/>
    <x v="9"/>
    <n v="3.3"/>
    <n v="1292.03"/>
    <n v="1292.0292000000002"/>
    <n v="25"/>
    <x v="5"/>
    <x v="4"/>
  </r>
  <r>
    <n v="11638"/>
    <d v="2026-06-26T00:00:00"/>
    <x v="787"/>
    <x v="1"/>
    <x v="3"/>
    <n v="6"/>
    <n v="165.35"/>
    <n v="0.33"/>
    <x v="2"/>
    <x v="5"/>
    <n v="3.9"/>
    <n v="664.71"/>
    <n v="664.70699999999988"/>
    <n v="26"/>
    <x v="5"/>
    <x v="4"/>
  </r>
  <r>
    <n v="11639"/>
    <d v="2026-06-27T00:00:00"/>
    <x v="788"/>
    <x v="1"/>
    <x v="3"/>
    <n v="3"/>
    <n v="253.15"/>
    <n v="0.17"/>
    <x v="1"/>
    <x v="2"/>
    <n v="2.6"/>
    <n v="630.34"/>
    <n v="630.34350000000006"/>
    <n v="27"/>
    <x v="5"/>
    <x v="4"/>
  </r>
  <r>
    <n v="11640"/>
    <d v="2026-06-28T00:00:00"/>
    <x v="535"/>
    <x v="2"/>
    <x v="2"/>
    <n v="2"/>
    <n v="306.66000000000003"/>
    <n v="0.24"/>
    <x v="1"/>
    <x v="0"/>
    <n v="1.6"/>
    <n v="466.12"/>
    <n v="466.12320000000005"/>
    <n v="28"/>
    <x v="5"/>
    <x v="4"/>
  </r>
  <r>
    <n v="11641"/>
    <d v="2026-06-29T00:00:00"/>
    <x v="349"/>
    <x v="2"/>
    <x v="1"/>
    <n v="1"/>
    <n v="327"/>
    <n v="0.02"/>
    <x v="1"/>
    <x v="10"/>
    <n v="2.8"/>
    <n v="320.45999999999998"/>
    <n v="320.45999999999998"/>
    <n v="29"/>
    <x v="5"/>
    <x v="4"/>
  </r>
  <r>
    <n v="11642"/>
    <d v="2026-06-30T00:00:00"/>
    <x v="785"/>
    <x v="2"/>
    <x v="0"/>
    <n v="3"/>
    <n v="400.8"/>
    <n v="0.26"/>
    <x v="0"/>
    <x v="8"/>
    <n v="4.9000000000000004"/>
    <n v="889.78"/>
    <n v="889.77600000000007"/>
    <n v="30"/>
    <x v="5"/>
    <x v="4"/>
  </r>
  <r>
    <n v="11643"/>
    <d v="2026-07-01T00:00:00"/>
    <x v="493"/>
    <x v="1"/>
    <x v="1"/>
    <n v="4"/>
    <n v="39.340000000000003"/>
    <n v="0.12"/>
    <x v="2"/>
    <x v="8"/>
    <n v="1.9"/>
    <n v="138.47999999999999"/>
    <n v="138.47680000000003"/>
    <n v="1"/>
    <x v="6"/>
    <x v="4"/>
  </r>
  <r>
    <n v="11644"/>
    <d v="2026-07-02T00:00:00"/>
    <x v="789"/>
    <x v="1"/>
    <x v="3"/>
    <n v="2"/>
    <n v="437.06"/>
    <n v="0.12"/>
    <x v="2"/>
    <x v="5"/>
    <n v="3.6"/>
    <n v="769.23"/>
    <n v="769.22559999999999"/>
    <n v="2"/>
    <x v="6"/>
    <x v="4"/>
  </r>
  <r>
    <n v="11645"/>
    <d v="2026-07-03T00:00:00"/>
    <x v="577"/>
    <x v="2"/>
    <x v="0"/>
    <n v="5"/>
    <n v="51.25"/>
    <n v="0.04"/>
    <x v="0"/>
    <x v="1"/>
    <n v="4.9000000000000004"/>
    <n v="246"/>
    <n v="246"/>
    <n v="3"/>
    <x v="6"/>
    <x v="4"/>
  </r>
  <r>
    <n v="11646"/>
    <d v="2026-07-04T00:00:00"/>
    <x v="512"/>
    <x v="1"/>
    <x v="2"/>
    <n v="6"/>
    <n v="288.95"/>
    <n v="0.05"/>
    <x v="1"/>
    <x v="1"/>
    <n v="2.5"/>
    <n v="1647.01"/>
    <n v="1647.0149999999999"/>
    <n v="4"/>
    <x v="6"/>
    <x v="4"/>
  </r>
  <r>
    <n v="11647"/>
    <d v="2026-07-05T00:00:00"/>
    <x v="276"/>
    <x v="3"/>
    <x v="1"/>
    <n v="2"/>
    <n v="499.19"/>
    <n v="7.0000000000000007E-2"/>
    <x v="2"/>
    <x v="10"/>
    <n v="4.5999999999999996"/>
    <n v="928.49"/>
    <n v="928.49339999999995"/>
    <n v="5"/>
    <x v="6"/>
    <x v="4"/>
  </r>
  <r>
    <n v="11648"/>
    <d v="2026-07-06T00:00:00"/>
    <x v="790"/>
    <x v="2"/>
    <x v="1"/>
    <n v="1"/>
    <n v="278.95999999999998"/>
    <n v="0.11"/>
    <x v="0"/>
    <x v="8"/>
    <n v="4.5"/>
    <n v="248.27"/>
    <n v="248.27439999999999"/>
    <n v="6"/>
    <x v="6"/>
    <x v="4"/>
  </r>
  <r>
    <n v="11649"/>
    <d v="2026-07-07T00:00:00"/>
    <x v="412"/>
    <x v="1"/>
    <x v="2"/>
    <n v="7"/>
    <n v="102.22"/>
    <n v="0.31"/>
    <x v="1"/>
    <x v="0"/>
    <n v="2.4"/>
    <n v="493.72"/>
    <n v="493.72259999999994"/>
    <n v="7"/>
    <x v="6"/>
    <x v="4"/>
  </r>
  <r>
    <n v="11650"/>
    <d v="2026-07-08T00:00:00"/>
    <x v="43"/>
    <x v="3"/>
    <x v="1"/>
    <n v="7"/>
    <n v="591.24"/>
    <n v="0.13"/>
    <x v="1"/>
    <x v="5"/>
    <n v="1.4"/>
    <n v="3600.65"/>
    <n v="3600.6516000000001"/>
    <n v="8"/>
    <x v="6"/>
    <x v="4"/>
  </r>
  <r>
    <n v="11651"/>
    <d v="2026-07-09T00:00:00"/>
    <x v="130"/>
    <x v="2"/>
    <x v="3"/>
    <n v="2"/>
    <n v="535.23"/>
    <n v="0.25"/>
    <x v="0"/>
    <x v="5"/>
    <n v="1.7"/>
    <n v="802.84"/>
    <n v="802.84500000000003"/>
    <n v="9"/>
    <x v="6"/>
    <x v="4"/>
  </r>
  <r>
    <n v="11652"/>
    <d v="2026-07-10T00:00:00"/>
    <x v="6"/>
    <x v="2"/>
    <x v="2"/>
    <n v="5"/>
    <n v="466.22"/>
    <n v="0.03"/>
    <x v="0"/>
    <x v="6"/>
    <n v="2.5"/>
    <n v="2261.17"/>
    <n v="2261.1670000000004"/>
    <n v="10"/>
    <x v="6"/>
    <x v="4"/>
  </r>
  <r>
    <n v="11653"/>
    <d v="2026-07-11T00:00:00"/>
    <x v="665"/>
    <x v="1"/>
    <x v="1"/>
    <n v="7"/>
    <n v="255.73"/>
    <n v="0.21"/>
    <x v="1"/>
    <x v="9"/>
    <n v="4.8"/>
    <n v="1414.19"/>
    <n v="1414.1868999999999"/>
    <n v="11"/>
    <x v="6"/>
    <x v="4"/>
  </r>
  <r>
    <n v="11654"/>
    <d v="2026-07-12T00:00:00"/>
    <x v="38"/>
    <x v="0"/>
    <x v="2"/>
    <n v="6"/>
    <n v="122.55"/>
    <n v="0.17"/>
    <x v="1"/>
    <x v="3"/>
    <n v="2.1"/>
    <n v="610.29999999999995"/>
    <n v="610.29899999999998"/>
    <n v="12"/>
    <x v="6"/>
    <x v="4"/>
  </r>
  <r>
    <n v="11655"/>
    <d v="2026-07-13T00:00:00"/>
    <x v="564"/>
    <x v="3"/>
    <x v="0"/>
    <n v="4"/>
    <n v="565.73"/>
    <n v="0.34"/>
    <x v="1"/>
    <x v="6"/>
    <n v="4.7"/>
    <n v="1493.53"/>
    <n v="1493.5272"/>
    <n v="13"/>
    <x v="6"/>
    <x v="4"/>
  </r>
  <r>
    <n v="11656"/>
    <d v="2026-07-14T00:00:00"/>
    <x v="164"/>
    <x v="1"/>
    <x v="2"/>
    <n v="5"/>
    <n v="326.43"/>
    <n v="0.3"/>
    <x v="1"/>
    <x v="3"/>
    <n v="1.7"/>
    <n v="1142.5"/>
    <n v="1142.5050000000001"/>
    <n v="14"/>
    <x v="6"/>
    <x v="4"/>
  </r>
  <r>
    <n v="11657"/>
    <d v="2026-07-15T00:00:00"/>
    <x v="243"/>
    <x v="3"/>
    <x v="1"/>
    <n v="2"/>
    <n v="513.63"/>
    <n v="0.16"/>
    <x v="1"/>
    <x v="1"/>
    <n v="4.9000000000000004"/>
    <n v="862.9"/>
    <n v="862.89840000000004"/>
    <n v="15"/>
    <x v="6"/>
    <x v="4"/>
  </r>
  <r>
    <n v="11658"/>
    <d v="2026-07-16T00:00:00"/>
    <x v="763"/>
    <x v="1"/>
    <x v="3"/>
    <n v="5"/>
    <n v="215.13"/>
    <n v="0.27"/>
    <x v="2"/>
    <x v="3"/>
    <n v="2.2000000000000002"/>
    <n v="785.22"/>
    <n v="785.22450000000003"/>
    <n v="16"/>
    <x v="6"/>
    <x v="4"/>
  </r>
  <r>
    <n v="11659"/>
    <d v="2026-07-17T00:00:00"/>
    <x v="289"/>
    <x v="1"/>
    <x v="2"/>
    <n v="7"/>
    <n v="211.14"/>
    <n v="7.0000000000000007E-2"/>
    <x v="0"/>
    <x v="4"/>
    <n v="3.5"/>
    <n v="1374.52"/>
    <n v="1374.5214000000001"/>
    <n v="17"/>
    <x v="6"/>
    <x v="4"/>
  </r>
  <r>
    <n v="11660"/>
    <d v="2026-07-18T00:00:00"/>
    <x v="11"/>
    <x v="1"/>
    <x v="2"/>
    <n v="7"/>
    <n v="591.54"/>
    <n v="0.2"/>
    <x v="1"/>
    <x v="1"/>
    <n v="1.3"/>
    <n v="3312.62"/>
    <n v="3312.6239999999998"/>
    <n v="18"/>
    <x v="6"/>
    <x v="4"/>
  </r>
  <r>
    <n v="11661"/>
    <d v="2026-07-19T00:00:00"/>
    <x v="458"/>
    <x v="2"/>
    <x v="1"/>
    <n v="2"/>
    <n v="320.27"/>
    <n v="0.03"/>
    <x v="0"/>
    <x v="7"/>
    <n v="2.2000000000000002"/>
    <n v="621.32000000000005"/>
    <n v="621.32380000000001"/>
    <n v="19"/>
    <x v="6"/>
    <x v="4"/>
  </r>
  <r>
    <n v="11662"/>
    <d v="2026-07-20T00:00:00"/>
    <x v="534"/>
    <x v="3"/>
    <x v="3"/>
    <n v="7"/>
    <n v="97.31"/>
    <n v="0.12"/>
    <x v="1"/>
    <x v="3"/>
    <n v="1.8"/>
    <n v="599.42999999999995"/>
    <n v="599.42960000000005"/>
    <n v="20"/>
    <x v="6"/>
    <x v="4"/>
  </r>
  <r>
    <n v="11663"/>
    <d v="2026-07-21T00:00:00"/>
    <x v="238"/>
    <x v="1"/>
    <x v="3"/>
    <n v="7"/>
    <n v="143.51"/>
    <n v="0.08"/>
    <x v="1"/>
    <x v="4"/>
    <n v="1"/>
    <n v="924.2"/>
    <n v="924.20439999999996"/>
    <n v="21"/>
    <x v="6"/>
    <x v="4"/>
  </r>
  <r>
    <n v="11664"/>
    <d v="2026-07-22T00:00:00"/>
    <x v="791"/>
    <x v="1"/>
    <x v="0"/>
    <n v="4"/>
    <n v="296.94"/>
    <n v="0.25"/>
    <x v="2"/>
    <x v="10"/>
    <n v="1.6"/>
    <n v="890.82"/>
    <n v="890.81999999999994"/>
    <n v="22"/>
    <x v="6"/>
    <x v="4"/>
  </r>
  <r>
    <n v="11665"/>
    <d v="2026-07-23T00:00:00"/>
    <x v="219"/>
    <x v="0"/>
    <x v="0"/>
    <n v="4"/>
    <n v="39.85"/>
    <n v="0.17"/>
    <x v="1"/>
    <x v="8"/>
    <n v="3.4"/>
    <n v="132.30000000000001"/>
    <n v="132.30199999999999"/>
    <n v="23"/>
    <x v="6"/>
    <x v="4"/>
  </r>
  <r>
    <n v="11666"/>
    <d v="2026-07-24T00:00:00"/>
    <x v="792"/>
    <x v="2"/>
    <x v="1"/>
    <n v="1"/>
    <n v="285.58"/>
    <n v="0.26"/>
    <x v="1"/>
    <x v="8"/>
    <n v="2.6"/>
    <n v="211.33"/>
    <n v="211.32919999999999"/>
    <n v="24"/>
    <x v="6"/>
    <x v="4"/>
  </r>
  <r>
    <n v="11667"/>
    <d v="2026-07-25T00:00:00"/>
    <x v="337"/>
    <x v="2"/>
    <x v="3"/>
    <n v="4"/>
    <n v="260.08"/>
    <n v="0.18"/>
    <x v="0"/>
    <x v="8"/>
    <n v="3.9"/>
    <n v="853.06"/>
    <n v="853.06240000000003"/>
    <n v="25"/>
    <x v="6"/>
    <x v="4"/>
  </r>
  <r>
    <n v="11668"/>
    <d v="2026-07-26T00:00:00"/>
    <x v="460"/>
    <x v="2"/>
    <x v="3"/>
    <n v="3"/>
    <n v="470.91"/>
    <n v="0.03"/>
    <x v="1"/>
    <x v="3"/>
    <n v="3.7"/>
    <n v="1370.35"/>
    <n v="1370.3480999999999"/>
    <n v="26"/>
    <x v="6"/>
    <x v="4"/>
  </r>
  <r>
    <n v="11669"/>
    <d v="2026-07-27T00:00:00"/>
    <x v="413"/>
    <x v="3"/>
    <x v="0"/>
    <n v="5"/>
    <n v="222.64"/>
    <n v="0.26"/>
    <x v="2"/>
    <x v="8"/>
    <n v="4.2"/>
    <n v="823.77"/>
    <n v="823.7679999999998"/>
    <n v="27"/>
    <x v="6"/>
    <x v="4"/>
  </r>
  <r>
    <n v="11670"/>
    <d v="2026-07-28T00:00:00"/>
    <x v="793"/>
    <x v="3"/>
    <x v="0"/>
    <n v="5"/>
    <n v="589.79"/>
    <n v="0.28999999999999998"/>
    <x v="1"/>
    <x v="2"/>
    <n v="4.5"/>
    <n v="2093.75"/>
    <n v="2093.7545"/>
    <n v="28"/>
    <x v="6"/>
    <x v="4"/>
  </r>
  <r>
    <n v="11671"/>
    <d v="2026-07-29T00:00:00"/>
    <x v="90"/>
    <x v="2"/>
    <x v="1"/>
    <n v="2"/>
    <n v="120.75"/>
    <n v="0.32"/>
    <x v="1"/>
    <x v="8"/>
    <n v="4.3"/>
    <n v="164.22"/>
    <n v="164.22"/>
    <n v="29"/>
    <x v="6"/>
    <x v="4"/>
  </r>
  <r>
    <n v="11672"/>
    <d v="2026-07-30T00:00:00"/>
    <x v="794"/>
    <x v="3"/>
    <x v="3"/>
    <n v="4"/>
    <n v="360.73"/>
    <n v="0.2"/>
    <x v="2"/>
    <x v="3"/>
    <n v="2.8"/>
    <n v="1154.3399999999999"/>
    <n v="1154.336"/>
    <n v="30"/>
    <x v="6"/>
    <x v="4"/>
  </r>
  <r>
    <n v="11673"/>
    <d v="2026-07-31T00:00:00"/>
    <x v="264"/>
    <x v="1"/>
    <x v="2"/>
    <n v="1"/>
    <n v="67.47"/>
    <n v="0.26"/>
    <x v="0"/>
    <x v="3"/>
    <n v="2.2000000000000002"/>
    <n v="49.93"/>
    <n v="49.927799999999998"/>
    <n v="31"/>
    <x v="6"/>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Product Category">
  <location ref="A3:B8" firstHeaderRow="1" firstDataRow="1" firstDataCol="1"/>
  <pivotFields count="16">
    <pivotField showAll="0"/>
    <pivotField numFmtId="14" showAll="0"/>
    <pivotField showAll="0"/>
    <pivotField axis="axisRow"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Revenue_Calculated" fld="12" baseField="0" baseItem="0" numFmtId="1"/>
  </dataFields>
  <formats count="4">
    <format dxfId="63">
      <pivotArea outline="0" collapsedLevelsAreSubtotals="1" fieldPosition="0">
        <references count="1">
          <reference field="4294967294" count="1" selected="0">
            <x v="0"/>
          </reference>
        </references>
      </pivotArea>
    </format>
    <format dxfId="62">
      <pivotArea outline="0" collapsedLevelsAreSubtotals="1" fieldPosition="0">
        <references count="1">
          <reference field="4294967294" count="1" selected="0">
            <x v="0"/>
          </reference>
        </references>
      </pivotArea>
    </format>
    <format dxfId="61">
      <pivotArea outline="0" collapsedLevelsAreSubtotals="1" fieldPosition="0">
        <references count="1">
          <reference field="4294967294" count="1" selected="0">
            <x v="0"/>
          </reference>
        </references>
      </pivotArea>
    </format>
    <format dxfId="60">
      <pivotArea outline="0" collapsedLevelsAreSubtotals="1" fieldPosition="0">
        <references count="1">
          <reference field="4294967294" count="1" selected="0">
            <x v="0"/>
          </reference>
        </references>
      </pivotArea>
    </format>
  </formats>
  <conditionalFormats count="1">
    <conditionalFormat priority="12">
      <pivotAreas count="1">
        <pivotArea type="data" collapsedLevelsAreSubtotals="1" fieldPosition="0">
          <references count="2">
            <reference field="4294967294" count="1" selected="0">
              <x v="0"/>
            </reference>
            <reference field="3" count="4">
              <x v="0"/>
              <x v="1"/>
              <x v="2"/>
              <x v="3"/>
            </reference>
          </references>
        </pivotArea>
      </pivotAreas>
    </conditionalFormat>
  </conditionalFormats>
  <chartFormats count="3">
    <chartFormat chart="2"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elivery Days">
  <location ref="F17:G29" firstHeaderRow="1" firstDataRow="1" firstDataCol="1"/>
  <pivotFields count="16">
    <pivotField showAll="0"/>
    <pivotField numFmtId="14" showAll="0"/>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pivotField axis="axisRow" showAll="0" sortType="ascending">
      <items count="12">
        <item x="4"/>
        <item x="5"/>
        <item x="3"/>
        <item x="2"/>
        <item x="10"/>
        <item x="1"/>
        <item x="6"/>
        <item x="8"/>
        <item x="9"/>
        <item x="0"/>
        <item x="7"/>
        <item t="default"/>
      </items>
    </pivotField>
    <pivotField dataField="1" showAll="0"/>
    <pivotField showAll="0"/>
    <pivotField showAll="0"/>
    <pivotField showAll="0"/>
    <pivotField showAll="0">
      <items count="13">
        <item x="0"/>
        <item x="1"/>
        <item x="2"/>
        <item x="3"/>
        <item x="4"/>
        <item x="5"/>
        <item x="6"/>
        <item x="7"/>
        <item x="8"/>
        <item x="9"/>
        <item x="10"/>
        <item x="11"/>
        <item t="default"/>
      </items>
    </pivotField>
    <pivotField showAll="0">
      <items count="6">
        <item x="0"/>
        <item x="1"/>
        <item x="2"/>
        <item x="3"/>
        <item x="4"/>
        <item t="default"/>
      </items>
    </pivotField>
  </pivotFields>
  <rowFields count="1">
    <field x="9"/>
  </rowFields>
  <rowItems count="12">
    <i>
      <x/>
    </i>
    <i>
      <x v="1"/>
    </i>
    <i>
      <x v="2"/>
    </i>
    <i>
      <x v="3"/>
    </i>
    <i>
      <x v="4"/>
    </i>
    <i>
      <x v="5"/>
    </i>
    <i>
      <x v="6"/>
    </i>
    <i>
      <x v="7"/>
    </i>
    <i>
      <x v="8"/>
    </i>
    <i>
      <x v="9"/>
    </i>
    <i>
      <x v="10"/>
    </i>
    <i t="grand">
      <x/>
    </i>
  </rowItems>
  <colItems count="1">
    <i/>
  </colItems>
  <dataFields count="1">
    <dataField name="Average of customer_rating" fld="10" subtotal="average" baseField="9" baseItem="0" numFmtId="2"/>
  </dataFields>
  <formats count="9">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outline="0" collapsedLevelsAreSubtotals="1" fieldPosition="0"/>
    </format>
    <format dxfId="64">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9" count="11">
              <x v="0"/>
              <x v="1"/>
              <x v="2"/>
              <x v="3"/>
              <x v="4"/>
              <x v="5"/>
              <x v="6"/>
              <x v="7"/>
              <x v="8"/>
              <x v="9"/>
              <x v="10"/>
            </reference>
          </references>
        </pivotArea>
      </pivotAreas>
    </conditionalFormat>
  </conditionalFormat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Region">
  <location ref="A19:B24" firstHeaderRow="1" firstDataRow="1" firstDataCol="1"/>
  <pivotFields count="16">
    <pivotField showAll="0"/>
    <pivotField numFmtId="14" showAll="0"/>
    <pivotField showAll="0"/>
    <pivotField showAll="0">
      <items count="5">
        <item x="0"/>
        <item x="1"/>
        <item x="2"/>
        <item x="3"/>
        <item t="default"/>
      </items>
    </pivotField>
    <pivotField axis="axisRow" showAll="0">
      <items count="5">
        <item x="1"/>
        <item x="3"/>
        <item x="0"/>
        <item x="2"/>
        <item t="default"/>
      </items>
    </pivotField>
    <pivotField showAll="0"/>
    <pivotField showAll="0"/>
    <pivotField showAll="0"/>
    <pivotField showAll="0"/>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Sum of Revenue_Calculated" fld="12" baseField="0" baseItem="0" numFmtId="1"/>
  </dataFields>
  <formats count="4">
    <format dxfId="0">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0"/>
          </reference>
        </references>
      </pivotArea>
    </format>
  </formats>
  <conditionalFormats count="1">
    <conditionalFormat priority="8">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chartFormats count="2">
    <chartFormat chart="4" format="14"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Months-Year">
  <location ref="G2:H15" firstHeaderRow="1" firstDataRow="1" firstDataCol="1"/>
  <pivotFields count="16">
    <pivotField showAll="0"/>
    <pivotField numFmtId="14" showAll="0"/>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showAll="0"/>
    <pivotField showAll="0"/>
    <pivotField dataField="1" showAll="0"/>
    <pivotField showAll="0"/>
    <pivotField axis="axisRow" showAll="0">
      <items count="13">
        <item sd="0" x="0"/>
        <item sd="0" x="1"/>
        <item sd="0" x="2"/>
        <item sd="0" x="3"/>
        <item sd="0" x="4"/>
        <item sd="0" x="5"/>
        <item sd="0" x="6"/>
        <item sd="0" x="7"/>
        <item sd="0" x="8"/>
        <item sd="0" x="9"/>
        <item sd="0" x="10"/>
        <item sd="0" x="11"/>
        <item t="default"/>
      </items>
    </pivotField>
    <pivotField axis="axisRow" showAll="0">
      <items count="6">
        <item x="0"/>
        <item x="1"/>
        <item x="2"/>
        <item x="3"/>
        <item x="4"/>
        <item t="default"/>
      </items>
    </pivotField>
  </pivotFields>
  <rowFields count="2">
    <field x="14"/>
    <field x="15"/>
  </rowFields>
  <rowItems count="13">
    <i>
      <x/>
    </i>
    <i>
      <x v="1"/>
    </i>
    <i>
      <x v="2"/>
    </i>
    <i>
      <x v="3"/>
    </i>
    <i>
      <x v="4"/>
    </i>
    <i>
      <x v="5"/>
    </i>
    <i>
      <x v="6"/>
    </i>
    <i>
      <x v="7"/>
    </i>
    <i>
      <x v="8"/>
    </i>
    <i>
      <x v="9"/>
    </i>
    <i>
      <x v="10"/>
    </i>
    <i>
      <x v="11"/>
    </i>
    <i t="grand">
      <x/>
    </i>
  </rowItems>
  <colItems count="1">
    <i/>
  </colItems>
  <dataFields count="1">
    <dataField name="Sum of Revenue_Calculated" fld="12" baseField="0" baseItem="0" numFmtId="1"/>
  </dataFields>
  <formats count="4">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outline="0" collapsedLevelsAreSubtotals="1" fieldPosition="0"/>
    </format>
  </formats>
  <conditionalFormats count="1">
    <conditionalFormat priority="7">
      <pivotAreas count="12">
        <pivotArea type="data" collapsedLevelsAreSubtotals="1" fieldPosition="0">
          <references count="2">
            <reference field="4294967294" count="1" selected="0">
              <x v="0"/>
            </reference>
            <reference field="14" count="1">
              <x v="0"/>
            </reference>
          </references>
        </pivotArea>
        <pivotArea type="data" collapsedLevelsAreSubtotals="1" fieldPosition="0">
          <references count="2">
            <reference field="4294967294" count="1" selected="0">
              <x v="0"/>
            </reference>
            <reference field="14" count="1">
              <x v="1"/>
            </reference>
          </references>
        </pivotArea>
        <pivotArea type="data" collapsedLevelsAreSubtotals="1" fieldPosition="0">
          <references count="2">
            <reference field="4294967294" count="1" selected="0">
              <x v="0"/>
            </reference>
            <reference field="14" count="1">
              <x v="2"/>
            </reference>
          </references>
        </pivotArea>
        <pivotArea type="data" collapsedLevelsAreSubtotals="1" fieldPosition="0">
          <references count="2">
            <reference field="4294967294" count="1" selected="0">
              <x v="0"/>
            </reference>
            <reference field="14" count="1">
              <x v="3"/>
            </reference>
          </references>
        </pivotArea>
        <pivotArea type="data" collapsedLevelsAreSubtotals="1" fieldPosition="0">
          <references count="2">
            <reference field="4294967294" count="1" selected="0">
              <x v="0"/>
            </reference>
            <reference field="14" count="1">
              <x v="4"/>
            </reference>
          </references>
        </pivotArea>
        <pivotArea type="data" collapsedLevelsAreSubtotals="1" fieldPosition="0">
          <references count="2">
            <reference field="4294967294" count="1" selected="0">
              <x v="0"/>
            </reference>
            <reference field="14" count="1">
              <x v="5"/>
            </reference>
          </references>
        </pivotArea>
        <pivotArea type="data" collapsedLevelsAreSubtotals="1" fieldPosition="0">
          <references count="2">
            <reference field="4294967294" count="1" selected="0">
              <x v="0"/>
            </reference>
            <reference field="14" count="1">
              <x v="6"/>
            </reference>
          </references>
        </pivotArea>
        <pivotArea type="data" collapsedLevelsAreSubtotals="1" fieldPosition="0">
          <references count="2">
            <reference field="4294967294" count="1" selected="0">
              <x v="0"/>
            </reference>
            <reference field="14" count="1">
              <x v="7"/>
            </reference>
          </references>
        </pivotArea>
        <pivotArea type="data" collapsedLevelsAreSubtotals="1" fieldPosition="0">
          <references count="2">
            <reference field="4294967294" count="1" selected="0">
              <x v="0"/>
            </reference>
            <reference field="14" count="1">
              <x v="8"/>
            </reference>
          </references>
        </pivotArea>
        <pivotArea type="data" collapsedLevelsAreSubtotals="1" fieldPosition="0">
          <references count="2">
            <reference field="4294967294" count="1" selected="0">
              <x v="0"/>
            </reference>
            <reference field="14" count="1">
              <x v="9"/>
            </reference>
          </references>
        </pivotArea>
        <pivotArea type="data" collapsedLevelsAreSubtotals="1" fieldPosition="0">
          <references count="2">
            <reference field="4294967294" count="1" selected="0">
              <x v="0"/>
            </reference>
            <reference field="14" count="1">
              <x v="10"/>
            </reference>
          </references>
        </pivotArea>
        <pivotArea type="data" collapsedLevelsAreSubtotals="1" fieldPosition="0">
          <references count="2">
            <reference field="4294967294" count="1" selected="0">
              <x v="0"/>
            </reference>
            <reference field="14" count="1">
              <x v="11"/>
            </reference>
          </references>
        </pivotArea>
      </pivotAreas>
    </conditionalFormat>
  </conditional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30:J35" firstHeaderRow="1" firstDataRow="1" firstDataCol="1"/>
  <pivotFields count="16">
    <pivotField showAll="0"/>
    <pivotField numFmtId="14" showAll="0"/>
    <pivotField showAll="0"/>
    <pivotField showAll="0">
      <items count="5">
        <item x="0"/>
        <item x="1"/>
        <item x="2"/>
        <item x="3"/>
        <item t="default"/>
      </items>
    </pivotField>
    <pivotField axis="axisRow" showAll="0" sortType="ascending">
      <items count="5">
        <item x="1"/>
        <item x="3"/>
        <item x="0"/>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6">
        <item x="0"/>
        <item x="1"/>
        <item x="2"/>
        <item x="3"/>
        <item x="4"/>
        <item t="default"/>
      </items>
    </pivotField>
  </pivotFields>
  <rowFields count="1">
    <field x="4"/>
  </rowFields>
  <rowItems count="5">
    <i>
      <x v="2"/>
    </i>
    <i>
      <x/>
    </i>
    <i>
      <x v="3"/>
    </i>
    <i>
      <x v="1"/>
    </i>
    <i t="grand">
      <x/>
    </i>
  </rowItems>
  <colItems count="1">
    <i/>
  </colItems>
  <dataFields count="1">
    <dataField name="Sum of quantity" fld="5" baseField="0" baseItem="0"/>
  </dataFields>
  <conditionalFormats count="1">
    <conditionalFormat priority="1">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Payment Method">
  <location ref="A12:B16" firstHeaderRow="1" firstDataRow="1" firstDataCol="1"/>
  <pivotFields count="16">
    <pivotField showAll="0"/>
    <pivotField numFmtId="14" showAll="0"/>
    <pivotField showAll="0"/>
    <pivotField showAll="0">
      <items count="5">
        <item x="0"/>
        <item x="1"/>
        <item x="2"/>
        <item x="3"/>
        <item t="default"/>
      </items>
    </pivotField>
    <pivotField showAll="0">
      <items count="5">
        <item x="1"/>
        <item x="3"/>
        <item x="0"/>
        <item x="2"/>
        <item t="default"/>
      </items>
    </pivotField>
    <pivotField dataField="1" showAll="0"/>
    <pivotField showAll="0"/>
    <pivotField showAll="0"/>
    <pivotField axis="axisRow" showAll="0">
      <items count="4">
        <item x="1"/>
        <item x="2"/>
        <item x="0"/>
        <item t="default"/>
      </items>
    </pivotField>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6">
        <item x="0"/>
        <item x="1"/>
        <item x="2"/>
        <item x="3"/>
        <item x="4"/>
        <item t="default"/>
      </items>
    </pivotField>
  </pivotFields>
  <rowFields count="1">
    <field x="8"/>
  </rowFields>
  <rowItems count="4">
    <i>
      <x/>
    </i>
    <i>
      <x v="1"/>
    </i>
    <i>
      <x v="2"/>
    </i>
    <i t="grand">
      <x/>
    </i>
  </rowItems>
  <colItems count="1">
    <i/>
  </colItems>
  <dataFields count="1">
    <dataField name="Sum of quantity" fld="5" baseField="8" baseItem="0"/>
  </dataFields>
  <conditionalFormats count="1">
    <conditionalFormat priority="3">
      <pivotAreas count="1">
        <pivotArea type="data" collapsedLevelsAreSubtotals="1" fieldPosition="0">
          <references count="2">
            <reference field="4294967294" count="1" selected="0">
              <x v="0"/>
            </reference>
            <reference field="8"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21:J25" firstHeaderRow="1" firstDataRow="1" firstDataCol="1"/>
  <pivotFields count="16">
    <pivotField showAll="0"/>
    <pivotField numFmtId="14" showAll="0"/>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axis="axisRow" showAll="0">
      <items count="4">
        <item x="1"/>
        <item x="2"/>
        <item x="0"/>
        <item t="default"/>
      </items>
    </pivotField>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showAll="0">
      <items count="6">
        <item x="0"/>
        <item x="1"/>
        <item x="2"/>
        <item x="3"/>
        <item x="4"/>
        <item t="default"/>
      </items>
    </pivotField>
  </pivotFields>
  <rowFields count="1">
    <field x="8"/>
  </rowFields>
  <rowItems count="4">
    <i>
      <x/>
    </i>
    <i>
      <x v="1"/>
    </i>
    <i>
      <x v="2"/>
    </i>
    <i t="grand">
      <x/>
    </i>
  </rowItems>
  <colItems count="1">
    <i/>
  </colItems>
  <dataFields count="1">
    <dataField name="Sum of Revenue_Calculated" fld="12" baseField="0" baseItem="0" numFmtId="1"/>
  </dataFields>
  <formats count="3">
    <format dxfId="79">
      <pivotArea outline="0" collapsedLevelsAreSubtotals="1" fieldPosition="0"/>
    </format>
    <format dxfId="78">
      <pivotArea outline="0" collapsedLevelsAreSubtotals="1" fieldPosition="0"/>
    </format>
    <format dxfId="77">
      <pivotArea outline="0" collapsedLevelsAreSubtotals="1"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_ID">
  <location ref="A27:C38" firstHeaderRow="0" firstDataRow="1" firstDataCol="1"/>
  <pivotFields count="16">
    <pivotField dataField="1" showAll="0"/>
    <pivotField numFmtId="14" showAll="0"/>
    <pivotField axis="axisRow" showAll="0" measureFilter="1" sortType="ascending">
      <items count="796">
        <item x="451"/>
        <item x="717"/>
        <item x="242"/>
        <item x="97"/>
        <item x="737"/>
        <item x="650"/>
        <item x="359"/>
        <item x="420"/>
        <item x="289"/>
        <item x="285"/>
        <item x="158"/>
        <item x="380"/>
        <item x="693"/>
        <item x="654"/>
        <item x="364"/>
        <item x="261"/>
        <item x="362"/>
        <item x="514"/>
        <item x="623"/>
        <item x="45"/>
        <item x="222"/>
        <item x="461"/>
        <item x="212"/>
        <item x="400"/>
        <item x="593"/>
        <item x="496"/>
        <item x="778"/>
        <item x="312"/>
        <item x="785"/>
        <item x="705"/>
        <item x="274"/>
        <item x="377"/>
        <item x="160"/>
        <item x="345"/>
        <item x="406"/>
        <item x="48"/>
        <item x="325"/>
        <item x="29"/>
        <item x="273"/>
        <item x="550"/>
        <item x="198"/>
        <item x="238"/>
        <item x="433"/>
        <item x="774"/>
        <item x="533"/>
        <item x="718"/>
        <item x="286"/>
        <item x="675"/>
        <item x="78"/>
        <item x="784"/>
        <item x="780"/>
        <item x="281"/>
        <item x="542"/>
        <item x="582"/>
        <item x="82"/>
        <item x="147"/>
        <item x="280"/>
        <item x="363"/>
        <item x="607"/>
        <item x="603"/>
        <item x="114"/>
        <item x="390"/>
        <item x="310"/>
        <item x="643"/>
        <item x="738"/>
        <item x="329"/>
        <item x="527"/>
        <item x="320"/>
        <item x="551"/>
        <item x="465"/>
        <item x="734"/>
        <item x="644"/>
        <item x="608"/>
        <item x="439"/>
        <item x="262"/>
        <item x="476"/>
        <item x="770"/>
        <item x="393"/>
        <item x="728"/>
        <item x="184"/>
        <item x="708"/>
        <item x="70"/>
        <item x="296"/>
        <item x="321"/>
        <item x="576"/>
        <item x="725"/>
        <item x="175"/>
        <item x="534"/>
        <item x="767"/>
        <item x="587"/>
        <item x="448"/>
        <item x="258"/>
        <item x="333"/>
        <item x="788"/>
        <item x="295"/>
        <item x="522"/>
        <item x="111"/>
        <item x="322"/>
        <item x="419"/>
        <item x="51"/>
        <item x="518"/>
        <item x="17"/>
        <item x="169"/>
        <item x="625"/>
        <item x="510"/>
        <item x="726"/>
        <item x="388"/>
        <item x="744"/>
        <item x="179"/>
        <item x="99"/>
        <item x="2"/>
        <item x="649"/>
        <item x="173"/>
        <item x="37"/>
        <item x="786"/>
        <item x="241"/>
        <item x="375"/>
        <item x="619"/>
        <item x="316"/>
        <item x="531"/>
        <item x="647"/>
        <item x="493"/>
        <item x="663"/>
        <item x="715"/>
        <item x="727"/>
        <item x="757"/>
        <item x="546"/>
        <item x="488"/>
        <item x="59"/>
        <item x="145"/>
        <item x="125"/>
        <item x="414"/>
        <item x="257"/>
        <item x="249"/>
        <item x="484"/>
        <item x="404"/>
        <item x="562"/>
        <item x="54"/>
        <item x="429"/>
        <item x="230"/>
        <item x="347"/>
        <item x="392"/>
        <item x="223"/>
        <item x="501"/>
        <item x="394"/>
        <item x="581"/>
        <item x="423"/>
        <item x="89"/>
        <item x="745"/>
        <item x="278"/>
        <item x="57"/>
        <item x="389"/>
        <item x="735"/>
        <item x="100"/>
        <item x="584"/>
        <item x="772"/>
        <item x="123"/>
        <item x="695"/>
        <item x="382"/>
        <item x="235"/>
        <item x="26"/>
        <item x="154"/>
        <item x="567"/>
        <item x="781"/>
        <item x="443"/>
        <item x="328"/>
        <item x="405"/>
        <item x="768"/>
        <item x="201"/>
        <item x="656"/>
        <item x="195"/>
        <item x="170"/>
        <item x="677"/>
        <item x="369"/>
        <item x="113"/>
        <item x="437"/>
        <item x="455"/>
        <item x="671"/>
        <item x="430"/>
        <item x="381"/>
        <item x="595"/>
        <item x="46"/>
        <item x="146"/>
        <item x="284"/>
        <item x="67"/>
        <item x="77"/>
        <item x="418"/>
        <item x="139"/>
        <item x="88"/>
        <item x="271"/>
        <item x="22"/>
        <item x="164"/>
        <item x="167"/>
        <item x="116"/>
        <item x="641"/>
        <item x="471"/>
        <item x="507"/>
        <item x="386"/>
        <item x="473"/>
        <item x="759"/>
        <item x="492"/>
        <item x="263"/>
        <item x="442"/>
        <item x="336"/>
        <item x="109"/>
        <item x="36"/>
        <item x="660"/>
        <item x="213"/>
        <item x="180"/>
        <item x="434"/>
        <item x="602"/>
        <item x="161"/>
        <item x="645"/>
        <item x="243"/>
        <item x="370"/>
        <item x="185"/>
        <item x="544"/>
        <item x="601"/>
        <item x="93"/>
        <item x="506"/>
        <item x="153"/>
        <item x="103"/>
        <item x="157"/>
        <item x="107"/>
        <item x="606"/>
        <item x="791"/>
        <item x="108"/>
        <item x="685"/>
        <item x="529"/>
        <item x="631"/>
        <item x="719"/>
        <item x="571"/>
        <item x="762"/>
        <item x="277"/>
        <item x="216"/>
        <item x="611"/>
        <item x="323"/>
        <item x="452"/>
        <item x="91"/>
        <item x="105"/>
        <item x="6"/>
        <item x="44"/>
        <item x="192"/>
        <item x="409"/>
        <item x="459"/>
        <item x="666"/>
        <item x="516"/>
        <item x="539"/>
        <item x="228"/>
        <item x="177"/>
        <item x="481"/>
        <item x="512"/>
        <item x="332"/>
        <item x="49"/>
        <item x="372"/>
        <item x="395"/>
        <item x="156"/>
        <item x="765"/>
        <item x="42"/>
        <item x="326"/>
        <item x="220"/>
        <item x="508"/>
        <item x="135"/>
        <item x="637"/>
        <item x="309"/>
        <item x="225"/>
        <item x="337"/>
        <item x="750"/>
        <item x="597"/>
        <item x="668"/>
        <item x="687"/>
        <item x="408"/>
        <item x="18"/>
        <item x="376"/>
        <item x="20"/>
        <item x="776"/>
        <item x="272"/>
        <item x="303"/>
        <item x="547"/>
        <item x="428"/>
        <item x="424"/>
        <item x="186"/>
        <item x="399"/>
        <item x="554"/>
        <item x="299"/>
        <item x="730"/>
        <item x="218"/>
        <item x="128"/>
        <item x="58"/>
        <item x="199"/>
        <item x="624"/>
        <item x="163"/>
        <item x="239"/>
        <item x="283"/>
        <item x="202"/>
        <item x="378"/>
        <item x="245"/>
        <item x="743"/>
        <item x="427"/>
        <item x="754"/>
        <item x="440"/>
        <item x="210"/>
        <item x="694"/>
        <item x="790"/>
        <item x="211"/>
        <item x="758"/>
        <item x="373"/>
        <item x="237"/>
        <item x="293"/>
        <item x="691"/>
        <item x="773"/>
        <item x="200"/>
        <item x="500"/>
        <item x="742"/>
        <item x="8"/>
        <item x="162"/>
        <item x="468"/>
        <item x="291"/>
        <item x="259"/>
        <item x="265"/>
        <item x="226"/>
        <item x="358"/>
        <item x="716"/>
        <item x="495"/>
        <item x="431"/>
        <item x="497"/>
        <item x="63"/>
        <item x="753"/>
        <item x="521"/>
        <item x="700"/>
        <item x="610"/>
        <item x="133"/>
        <item x="548"/>
        <item x="311"/>
        <item x="706"/>
        <item x="454"/>
        <item x="327"/>
        <item x="746"/>
        <item x="196"/>
        <item x="485"/>
        <item x="178"/>
        <item x="152"/>
        <item x="681"/>
        <item x="294"/>
        <item x="371"/>
        <item x="537"/>
        <item x="52"/>
        <item x="86"/>
        <item x="69"/>
        <item x="182"/>
        <item x="50"/>
        <item x="83"/>
        <item x="38"/>
        <item x="445"/>
        <item x="723"/>
        <item x="609"/>
        <item x="197"/>
        <item x="94"/>
        <item x="174"/>
        <item x="282"/>
        <item x="724"/>
        <item x="513"/>
        <item x="159"/>
        <item x="658"/>
        <item x="482"/>
        <item x="709"/>
        <item x="655"/>
        <item x="188"/>
        <item x="600"/>
        <item x="387"/>
        <item x="696"/>
        <item x="673"/>
        <item x="590"/>
        <item x="572"/>
        <item x="783"/>
        <item x="592"/>
        <item x="190"/>
        <item x="674"/>
        <item x="472"/>
        <item x="126"/>
        <item x="664"/>
        <item x="552"/>
        <item x="355"/>
        <item x="557"/>
        <item x="348"/>
        <item x="441"/>
        <item x="350"/>
        <item x="41"/>
        <item x="234"/>
        <item x="76"/>
        <item x="579"/>
        <item x="203"/>
        <item x="55"/>
        <item x="330"/>
        <item x="150"/>
        <item x="604"/>
        <item x="502"/>
        <item x="563"/>
        <item x="132"/>
        <item x="231"/>
        <item x="561"/>
        <item x="119"/>
        <item x="24"/>
        <item x="140"/>
        <item x="279"/>
        <item x="446"/>
        <item x="56"/>
        <item x="536"/>
        <item x="346"/>
        <item x="751"/>
        <item x="90"/>
        <item x="43"/>
        <item x="39"/>
        <item x="435"/>
        <item x="205"/>
        <item x="129"/>
        <item x="401"/>
        <item x="334"/>
        <item x="535"/>
        <item x="713"/>
        <item x="10"/>
        <item x="672"/>
        <item x="269"/>
        <item x="102"/>
        <item x="176"/>
        <item x="32"/>
        <item x="13"/>
        <item x="627"/>
        <item x="511"/>
        <item x="101"/>
        <item x="74"/>
        <item x="300"/>
        <item x="574"/>
        <item x="612"/>
        <item x="633"/>
        <item x="749"/>
        <item x="453"/>
        <item x="632"/>
        <item x="526"/>
        <item x="415"/>
        <item x="703"/>
        <item x="232"/>
        <item x="591"/>
        <item x="250"/>
        <item x="341"/>
        <item x="626"/>
        <item x="1"/>
        <item x="458"/>
        <item x="466"/>
        <item x="777"/>
        <item x="793"/>
        <item x="75"/>
        <item x="483"/>
        <item x="701"/>
        <item x="314"/>
        <item x="313"/>
        <item x="136"/>
        <item x="498"/>
        <item x="486"/>
        <item x="247"/>
        <item x="288"/>
        <item x="25"/>
        <item x="504"/>
        <item x="217"/>
        <item x="721"/>
        <item x="580"/>
        <item x="391"/>
        <item x="151"/>
        <item x="622"/>
        <item x="305"/>
        <item x="244"/>
        <item x="92"/>
        <item x="254"/>
        <item x="398"/>
        <item x="168"/>
        <item x="490"/>
        <item x="525"/>
        <item x="509"/>
        <item x="171"/>
        <item x="134"/>
        <item x="747"/>
        <item x="85"/>
        <item x="640"/>
        <item x="62"/>
        <item x="236"/>
        <item x="27"/>
        <item x="207"/>
        <item x="530"/>
        <item x="118"/>
        <item x="138"/>
        <item x="769"/>
        <item x="208"/>
        <item x="505"/>
        <item x="335"/>
        <item x="224"/>
        <item x="15"/>
        <item x="775"/>
        <item x="426"/>
        <item x="515"/>
        <item x="73"/>
        <item x="340"/>
        <item x="692"/>
        <item x="577"/>
        <item x="665"/>
        <item x="215"/>
        <item x="596"/>
        <item x="469"/>
        <item x="766"/>
        <item x="403"/>
        <item x="421"/>
        <item x="270"/>
        <item x="204"/>
        <item x="782"/>
        <item x="68"/>
        <item x="23"/>
        <item x="412"/>
        <item x="467"/>
        <item x="71"/>
        <item x="560"/>
        <item x="110"/>
        <item x="682"/>
        <item x="479"/>
        <item x="648"/>
        <item x="736"/>
        <item x="12"/>
        <item x="594"/>
        <item x="733"/>
        <item x="564"/>
        <item x="268"/>
        <item x="477"/>
        <item x="756"/>
        <item x="366"/>
        <item x="712"/>
        <item x="397"/>
        <item x="702"/>
        <item x="732"/>
        <item x="219"/>
        <item x="64"/>
        <item x="704"/>
        <item x="33"/>
        <item x="779"/>
        <item x="688"/>
        <item x="21"/>
        <item x="651"/>
        <item x="638"/>
        <item x="413"/>
        <item x="297"/>
        <item x="642"/>
        <item x="356"/>
        <item x="565"/>
        <item x="720"/>
        <item x="290"/>
        <item x="771"/>
        <item x="106"/>
        <item x="741"/>
        <item x="255"/>
        <item x="760"/>
        <item x="739"/>
        <item x="137"/>
        <item x="374"/>
        <item x="794"/>
        <item x="460"/>
        <item x="344"/>
        <item x="209"/>
        <item x="620"/>
        <item x="667"/>
        <item x="256"/>
        <item x="517"/>
        <item x="30"/>
        <item x="61"/>
        <item x="519"/>
        <item x="449"/>
        <item x="3"/>
        <item x="98"/>
        <item x="425"/>
        <item x="233"/>
        <item x="528"/>
        <item x="416"/>
        <item x="292"/>
        <item x="729"/>
        <item x="214"/>
        <item x="480"/>
        <item x="684"/>
        <item x="365"/>
        <item x="298"/>
        <item x="35"/>
        <item x="104"/>
        <item x="614"/>
        <item x="636"/>
        <item x="652"/>
        <item x="248"/>
        <item x="383"/>
        <item x="53"/>
        <item x="193"/>
        <item x="66"/>
        <item x="181"/>
        <item x="618"/>
        <item x="447"/>
        <item x="639"/>
        <item x="545"/>
        <item x="221"/>
        <item x="227"/>
        <item x="141"/>
        <item x="339"/>
        <item x="589"/>
        <item x="699"/>
        <item x="317"/>
        <item x="343"/>
        <item x="206"/>
        <item x="617"/>
        <item x="475"/>
        <item x="240"/>
        <item x="166"/>
        <item x="115"/>
        <item x="686"/>
        <item x="11"/>
        <item x="679"/>
        <item x="588"/>
        <item x="697"/>
        <item x="764"/>
        <item x="304"/>
        <item x="172"/>
        <item x="80"/>
        <item x="659"/>
        <item x="464"/>
        <item x="251"/>
        <item x="96"/>
        <item x="144"/>
        <item x="260"/>
        <item x="417"/>
        <item x="331"/>
        <item x="556"/>
        <item x="28"/>
        <item x="361"/>
        <item x="47"/>
        <item x="450"/>
        <item x="117"/>
        <item x="267"/>
        <item x="541"/>
        <item x="252"/>
        <item x="662"/>
        <item x="569"/>
        <item x="357"/>
        <item x="474"/>
        <item x="748"/>
        <item x="599"/>
        <item x="524"/>
        <item x="384"/>
        <item x="553"/>
        <item x="575"/>
        <item x="352"/>
        <item x="187"/>
        <item x="555"/>
        <item x="487"/>
        <item x="60"/>
        <item x="653"/>
        <item x="559"/>
        <item x="324"/>
        <item x="95"/>
        <item x="31"/>
        <item x="191"/>
        <item x="755"/>
        <item x="353"/>
        <item x="121"/>
        <item x="787"/>
        <item x="379"/>
        <item x="457"/>
        <item x="319"/>
        <item x="306"/>
        <item x="287"/>
        <item x="411"/>
        <item x="585"/>
        <item x="276"/>
        <item x="275"/>
        <item x="616"/>
        <item x="605"/>
        <item x="264"/>
        <item x="402"/>
        <item x="763"/>
        <item x="722"/>
        <item x="131"/>
        <item x="657"/>
        <item x="707"/>
        <item x="143"/>
        <item x="583"/>
        <item x="543"/>
        <item x="566"/>
        <item x="19"/>
        <item x="246"/>
        <item x="127"/>
        <item x="367"/>
        <item x="438"/>
        <item x="573"/>
        <item x="410"/>
        <item x="266"/>
        <item x="253"/>
        <item x="9"/>
        <item x="678"/>
        <item x="308"/>
        <item x="615"/>
        <item x="444"/>
        <item x="436"/>
        <item x="360"/>
        <item x="499"/>
        <item x="229"/>
        <item x="318"/>
        <item x="661"/>
        <item x="538"/>
        <item x="4"/>
        <item x="87"/>
        <item x="621"/>
        <item x="315"/>
        <item x="0"/>
        <item x="16"/>
        <item x="155"/>
        <item x="646"/>
        <item x="752"/>
        <item x="183"/>
        <item x="635"/>
        <item x="463"/>
        <item x="669"/>
        <item x="72"/>
        <item x="570"/>
        <item x="494"/>
        <item x="740"/>
        <item x="14"/>
        <item x="194"/>
        <item x="629"/>
        <item x="789"/>
        <item x="628"/>
        <item x="81"/>
        <item x="586"/>
        <item x="630"/>
        <item x="456"/>
        <item x="503"/>
        <item x="549"/>
        <item x="676"/>
        <item x="5"/>
        <item x="568"/>
        <item x="462"/>
        <item x="698"/>
        <item x="124"/>
        <item x="130"/>
        <item x="520"/>
        <item x="670"/>
        <item x="40"/>
        <item x="432"/>
        <item x="680"/>
        <item x="307"/>
        <item x="112"/>
        <item x="407"/>
        <item x="349"/>
        <item x="149"/>
        <item x="422"/>
        <item x="354"/>
        <item x="489"/>
        <item x="540"/>
        <item x="120"/>
        <item x="710"/>
        <item x="385"/>
        <item x="338"/>
        <item x="301"/>
        <item x="189"/>
        <item x="79"/>
        <item x="634"/>
        <item x="148"/>
        <item x="792"/>
        <item x="558"/>
        <item x="142"/>
        <item x="342"/>
        <item x="683"/>
        <item x="532"/>
        <item x="470"/>
        <item x="34"/>
        <item x="7"/>
        <item x="396"/>
        <item x="523"/>
        <item x="368"/>
        <item x="351"/>
        <item x="478"/>
        <item x="122"/>
        <item x="65"/>
        <item x="731"/>
        <item x="491"/>
        <item x="761"/>
        <item x="613"/>
        <item x="302"/>
        <item x="598"/>
        <item x="689"/>
        <item x="711"/>
        <item x="165"/>
        <item x="714"/>
        <item x="690"/>
        <item x="84"/>
        <item x="578"/>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showAll="0">
      <items count="6">
        <item x="0"/>
        <item x="1"/>
        <item x="2"/>
        <item x="3"/>
        <item x="4"/>
        <item t="default"/>
      </items>
    </pivotField>
  </pivotFields>
  <rowFields count="1">
    <field x="2"/>
  </rowFields>
  <rowItems count="11">
    <i>
      <x v="160"/>
    </i>
    <i>
      <x v="213"/>
    </i>
    <i>
      <x v="568"/>
    </i>
    <i>
      <x v="24"/>
    </i>
    <i>
      <x v="585"/>
    </i>
    <i>
      <x v="391"/>
    </i>
    <i>
      <x v="92"/>
    </i>
    <i>
      <x v="35"/>
    </i>
    <i>
      <x v="101"/>
    </i>
    <i>
      <x v="315"/>
    </i>
    <i t="grand">
      <x/>
    </i>
  </rowItems>
  <colFields count="1">
    <field x="-2"/>
  </colFields>
  <colItems count="2">
    <i>
      <x/>
    </i>
    <i i="1">
      <x v="1"/>
    </i>
  </colItems>
  <dataFields count="2">
    <dataField name="Sum of Revenue_Calculated" fld="12" baseField="0" baseItem="0" numFmtId="1"/>
    <dataField name="Number Of Orders" fld="0" subtotal="count" baseField="2" baseItem="24"/>
  </dataFields>
  <formats count="4">
    <format dxfId="83">
      <pivotArea outline="0" collapsedLevelsAreSubtotals="1" fieldPosition="0">
        <references count="1">
          <reference field="4294967294" count="1" selected="0">
            <x v="0"/>
          </reference>
        </references>
      </pivotArea>
    </format>
    <format dxfId="82">
      <pivotArea outline="0" collapsedLevelsAreSubtotals="1" fieldPosition="0">
        <references count="1">
          <reference field="4294967294" count="1" selected="0">
            <x v="0"/>
          </reference>
        </references>
      </pivotArea>
    </format>
    <format dxfId="81">
      <pivotArea outline="0" collapsedLevelsAreSubtotals="1" fieldPosition="0">
        <references count="1">
          <reference field="4294967294" count="1" selected="0">
            <x v="0"/>
          </reference>
        </references>
      </pivotArea>
    </format>
    <format dxfId="80">
      <pivotArea outline="0" collapsedLevelsAreSubtotals="1" fieldPosition="0">
        <references count="1">
          <reference field="4294967294" count="1" selected="0">
            <x v="0"/>
          </reference>
        </references>
      </pivotArea>
    </format>
  </formats>
  <conditionalFormats count="1">
    <conditionalFormat priority="4">
      <pivotAreas count="1">
        <pivotArea type="data" collapsedLevelsAreSubtotals="1" fieldPosition="0">
          <references count="2">
            <reference field="4294967294" count="1" selected="0">
              <x v="0"/>
            </reference>
            <reference field="2" count="10">
              <x v="24"/>
              <x v="35"/>
              <x v="92"/>
              <x v="101"/>
              <x v="160"/>
              <x v="213"/>
              <x v="315"/>
              <x v="391"/>
              <x v="568"/>
              <x v="585"/>
            </reference>
          </references>
        </pivotArea>
      </pivotAreas>
    </conditionalFormat>
  </conditional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8"/>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8"/>
  </pivotTables>
  <data>
    <tabular pivotCacheId="1">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8"/>
  </pivotTables>
  <data>
    <tabular pivotCacheId="1">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5"/>
    <pivotTable tabId="2" name="PivotTable1"/>
    <pivotTable tabId="2" name="PivotTable2"/>
    <pivotTable tabId="2" name="PivotTable3"/>
    <pivotTable tabId="2" name="PivotTable4"/>
    <pivotTable tabId="2" name="PivotTable6"/>
    <pivotTable tabId="2" name="PivotTable8"/>
    <pivotTable tabId="2" name="PivotTable9"/>
  </pivotTables>
  <data>
    <tabular pivotCacheId="1">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_category" cache="Slicer_product_category" caption="product_category" rowHeight="234950"/>
  <slicer name="region" cache="Slicer_region" caption="region" rowHeight="234950"/>
  <slicer name="Month" cache="Slicer_Month" caption="Month" rowHeight="234950"/>
  <slicer name="Year" cache="Slicer_Year" caption="Year" startItem="2" rowHeight="234950"/>
</slicers>
</file>

<file path=xl/tables/table1.xml><?xml version="1.0" encoding="utf-8"?>
<table xmlns="http://schemas.openxmlformats.org/spreadsheetml/2006/main" id="1" name="Table1" displayName="Table1" ref="A1:P1674" totalsRowShown="0">
  <autoFilter ref="A1:P1674"/>
  <tableColumns count="16">
    <tableColumn id="1" name="order_id"/>
    <tableColumn id="2" name="order_date" dataDxfId="88"/>
    <tableColumn id="3" name="customer_id"/>
    <tableColumn id="4" name="product_category"/>
    <tableColumn id="5" name="region"/>
    <tableColumn id="6" name="quantity"/>
    <tableColumn id="7" name="unit_price"/>
    <tableColumn id="8" name="discount"/>
    <tableColumn id="9" name="payment_method"/>
    <tableColumn id="10" name="delivery_days"/>
    <tableColumn id="11" name="customer_rating"/>
    <tableColumn id="12" name="revenue"/>
    <tableColumn id="13" name="Revenue_Calculated" dataDxfId="87">
      <calculatedColumnFormula>(Table1[[#This Row],[unit_price]]*Table1[[#This Row],[quantity]])-(Table1[[#This Row],[unit_price]]*Table1[[#This Row],[discount]]*Table1[[#This Row],[quantity]])</calculatedColumnFormula>
    </tableColumn>
    <tableColumn id="14" name="Day" dataDxfId="86">
      <calculatedColumnFormula>DAY(Table1[[#This Row],[order_date]])</calculatedColumnFormula>
    </tableColumn>
    <tableColumn id="15" name="Month" dataDxfId="85">
      <calculatedColumnFormula>TEXT(Table1[[#This Row],[order_date]],"mmm")</calculatedColumnFormula>
    </tableColumn>
    <tableColumn id="16" name="Year" dataDxfId="84">
      <calculatedColumnFormula>YEAR(Table1[[#This Row],[order_date]])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74"/>
  <sheetViews>
    <sheetView topLeftCell="A2" workbookViewId="0">
      <selection sqref="A1:P1674"/>
    </sheetView>
  </sheetViews>
  <sheetFormatPr defaultRowHeight="14.4" x14ac:dyDescent="0.3"/>
  <cols>
    <col min="1" max="1" width="10" customWidth="1"/>
    <col min="2" max="2" width="12.5546875" style="1" bestFit="1" customWidth="1"/>
    <col min="3" max="3" width="13.33203125" customWidth="1"/>
    <col min="4" max="4" width="17.88671875" customWidth="1"/>
    <col min="5" max="5" width="8.21875" customWidth="1"/>
    <col min="6" max="6" width="10" customWidth="1"/>
    <col min="7" max="7" width="11.33203125" customWidth="1"/>
    <col min="8" max="8" width="10.109375" customWidth="1"/>
    <col min="9" max="9" width="18.109375" customWidth="1"/>
    <col min="10" max="10" width="14.44140625" customWidth="1"/>
    <col min="11" max="11" width="16.6640625" customWidth="1"/>
    <col min="12" max="12" width="9.77734375" customWidth="1"/>
    <col min="13" max="13" width="16.6640625" customWidth="1"/>
  </cols>
  <sheetData>
    <row r="1" spans="1:16" x14ac:dyDescent="0.3">
      <c r="A1" t="s">
        <v>0</v>
      </c>
      <c r="B1" s="1" t="s">
        <v>1</v>
      </c>
      <c r="C1" t="s">
        <v>2</v>
      </c>
      <c r="D1" t="s">
        <v>3</v>
      </c>
      <c r="E1" t="s">
        <v>4</v>
      </c>
      <c r="F1" t="s">
        <v>5</v>
      </c>
      <c r="G1" t="s">
        <v>6</v>
      </c>
      <c r="H1" t="s">
        <v>7</v>
      </c>
      <c r="I1" t="s">
        <v>8</v>
      </c>
      <c r="J1" t="s">
        <v>9</v>
      </c>
      <c r="K1" t="s">
        <v>10</v>
      </c>
      <c r="L1" t="s">
        <v>11</v>
      </c>
      <c r="M1" t="s">
        <v>23</v>
      </c>
      <c r="N1" t="s">
        <v>24</v>
      </c>
      <c r="O1" t="s">
        <v>25</v>
      </c>
      <c r="P1" t="s">
        <v>26</v>
      </c>
    </row>
    <row r="2" spans="1:16" x14ac:dyDescent="0.3">
      <c r="A2">
        <v>10001</v>
      </c>
      <c r="B2" s="1">
        <v>44562</v>
      </c>
      <c r="C2">
        <v>1102</v>
      </c>
      <c r="D2" t="s">
        <v>12</v>
      </c>
      <c r="E2" t="s">
        <v>13</v>
      </c>
      <c r="F2">
        <v>7</v>
      </c>
      <c r="G2">
        <v>373.65</v>
      </c>
      <c r="H2">
        <v>0.28000000000000003</v>
      </c>
      <c r="I2" t="s">
        <v>14</v>
      </c>
      <c r="J2">
        <v>10</v>
      </c>
      <c r="K2">
        <v>4.7</v>
      </c>
      <c r="L2">
        <v>1883.2</v>
      </c>
      <c r="M2">
        <f>(Table1[[#This Row],[unit_price]]*Table1[[#This Row],[quantity]])-(Table1[[#This Row],[unit_price]]*Table1[[#This Row],[discount]]*Table1[[#This Row],[quantity]])</f>
        <v>1883.1959999999997</v>
      </c>
      <c r="N2">
        <f>DAY(Table1[[#This Row],[order_date]])</f>
        <v>1</v>
      </c>
      <c r="O2" t="str">
        <f>TEXT(Table1[[#This Row],[order_date]],"mmm")</f>
        <v>Jan</v>
      </c>
      <c r="P2">
        <f>YEAR(Table1[[#This Row],[order_date]])</f>
        <v>2022</v>
      </c>
    </row>
    <row r="3" spans="1:16" x14ac:dyDescent="0.3">
      <c r="A3">
        <v>10002</v>
      </c>
      <c r="B3" s="1">
        <v>44563</v>
      </c>
      <c r="C3">
        <v>1435</v>
      </c>
      <c r="D3" t="s">
        <v>15</v>
      </c>
      <c r="E3" t="s">
        <v>13</v>
      </c>
      <c r="F3">
        <v>7</v>
      </c>
      <c r="G3">
        <v>47.74</v>
      </c>
      <c r="H3">
        <v>0.09</v>
      </c>
      <c r="I3" t="s">
        <v>16</v>
      </c>
      <c r="J3">
        <v>6</v>
      </c>
      <c r="K3">
        <v>3.9</v>
      </c>
      <c r="L3">
        <v>304.10000000000002</v>
      </c>
      <c r="M3">
        <f>(Table1[[#This Row],[unit_price]]*Table1[[#This Row],[quantity]])-(Table1[[#This Row],[unit_price]]*Table1[[#This Row],[discount]]*Table1[[#This Row],[quantity]])</f>
        <v>304.10379999999998</v>
      </c>
      <c r="N3">
        <f>DAY(Table1[[#This Row],[order_date]])</f>
        <v>2</v>
      </c>
      <c r="O3" t="str">
        <f>TEXT(Table1[[#This Row],[order_date]],"mmm")</f>
        <v>Jan</v>
      </c>
      <c r="P3">
        <f>YEAR(Table1[[#This Row],[order_date]])</f>
        <v>2022</v>
      </c>
    </row>
    <row r="4" spans="1:16" x14ac:dyDescent="0.3">
      <c r="A4">
        <v>10003</v>
      </c>
      <c r="B4" s="1">
        <v>44564</v>
      </c>
      <c r="C4">
        <v>1860</v>
      </c>
      <c r="D4" t="s">
        <v>12</v>
      </c>
      <c r="E4" t="s">
        <v>17</v>
      </c>
      <c r="F4">
        <v>3</v>
      </c>
      <c r="G4">
        <v>311.27999999999997</v>
      </c>
      <c r="H4">
        <v>0.31</v>
      </c>
      <c r="I4" t="s">
        <v>18</v>
      </c>
      <c r="J4">
        <v>6</v>
      </c>
      <c r="K4">
        <v>2.5</v>
      </c>
      <c r="L4">
        <v>644.35</v>
      </c>
      <c r="M4">
        <f>(Table1[[#This Row],[unit_price]]*Table1[[#This Row],[quantity]])-(Table1[[#This Row],[unit_price]]*Table1[[#This Row],[discount]]*Table1[[#This Row],[quantity]])</f>
        <v>644.34960000000001</v>
      </c>
      <c r="N4">
        <f>DAY(Table1[[#This Row],[order_date]])</f>
        <v>3</v>
      </c>
      <c r="O4" t="str">
        <f>TEXT(Table1[[#This Row],[order_date]],"mmm")</f>
        <v>Jan</v>
      </c>
      <c r="P4">
        <f>YEAR(Table1[[#This Row],[order_date]])</f>
        <v>2022</v>
      </c>
    </row>
    <row r="5" spans="1:16" x14ac:dyDescent="0.3">
      <c r="A5">
        <v>10004</v>
      </c>
      <c r="B5" s="1">
        <v>44565</v>
      </c>
      <c r="C5">
        <v>1270</v>
      </c>
      <c r="D5" t="s">
        <v>19</v>
      </c>
      <c r="E5" t="s">
        <v>20</v>
      </c>
      <c r="F5">
        <v>5</v>
      </c>
      <c r="G5">
        <v>524.47</v>
      </c>
      <c r="H5">
        <v>0.02</v>
      </c>
      <c r="I5" t="s">
        <v>14</v>
      </c>
      <c r="J5">
        <v>6</v>
      </c>
      <c r="K5">
        <v>1.6</v>
      </c>
      <c r="L5">
        <v>2569.9</v>
      </c>
      <c r="M5">
        <f>(Table1[[#This Row],[unit_price]]*Table1[[#This Row],[quantity]])-(Table1[[#This Row],[unit_price]]*Table1[[#This Row],[discount]]*Table1[[#This Row],[quantity]])</f>
        <v>2569.9030000000002</v>
      </c>
      <c r="N5">
        <f>DAY(Table1[[#This Row],[order_date]])</f>
        <v>4</v>
      </c>
      <c r="O5" t="str">
        <f>TEXT(Table1[[#This Row],[order_date]],"mmm")</f>
        <v>Jan</v>
      </c>
      <c r="P5">
        <f>YEAR(Table1[[#This Row],[order_date]])</f>
        <v>2022</v>
      </c>
    </row>
    <row r="6" spans="1:16" x14ac:dyDescent="0.3">
      <c r="A6">
        <v>10005</v>
      </c>
      <c r="B6" s="1">
        <v>44566</v>
      </c>
      <c r="C6">
        <v>1106</v>
      </c>
      <c r="D6" t="s">
        <v>15</v>
      </c>
      <c r="E6" t="s">
        <v>20</v>
      </c>
      <c r="F6">
        <v>5</v>
      </c>
      <c r="G6">
        <v>139.87</v>
      </c>
      <c r="H6">
        <v>0.33</v>
      </c>
      <c r="I6" t="s">
        <v>14</v>
      </c>
      <c r="J6">
        <v>4</v>
      </c>
      <c r="K6">
        <v>4.9000000000000004</v>
      </c>
      <c r="L6">
        <v>468.56</v>
      </c>
      <c r="M6">
        <f>(Table1[[#This Row],[unit_price]]*Table1[[#This Row],[quantity]])-(Table1[[#This Row],[unit_price]]*Table1[[#This Row],[discount]]*Table1[[#This Row],[quantity]])</f>
        <v>468.56449999999995</v>
      </c>
      <c r="N6">
        <f>DAY(Table1[[#This Row],[order_date]])</f>
        <v>5</v>
      </c>
      <c r="O6" t="str">
        <f>TEXT(Table1[[#This Row],[order_date]],"mmm")</f>
        <v>Jan</v>
      </c>
      <c r="P6">
        <f>YEAR(Table1[[#This Row],[order_date]])</f>
        <v>2022</v>
      </c>
    </row>
    <row r="7" spans="1:16" x14ac:dyDescent="0.3">
      <c r="A7">
        <v>10006</v>
      </c>
      <c r="B7" s="1">
        <v>44567</v>
      </c>
      <c r="C7">
        <v>1071</v>
      </c>
      <c r="D7" t="s">
        <v>19</v>
      </c>
      <c r="E7" t="s">
        <v>20</v>
      </c>
      <c r="F7">
        <v>2</v>
      </c>
      <c r="G7">
        <v>264.44</v>
      </c>
      <c r="H7">
        <v>0.2</v>
      </c>
      <c r="I7" t="s">
        <v>16</v>
      </c>
      <c r="J7">
        <v>3</v>
      </c>
      <c r="K7">
        <v>3.3</v>
      </c>
      <c r="L7">
        <v>423.1</v>
      </c>
      <c r="M7">
        <f>(Table1[[#This Row],[unit_price]]*Table1[[#This Row],[quantity]])-(Table1[[#This Row],[unit_price]]*Table1[[#This Row],[discount]]*Table1[[#This Row],[quantity]])</f>
        <v>423.10399999999998</v>
      </c>
      <c r="N7">
        <f>DAY(Table1[[#This Row],[order_date]])</f>
        <v>6</v>
      </c>
      <c r="O7" t="str">
        <f>TEXT(Table1[[#This Row],[order_date]],"mmm")</f>
        <v>Jan</v>
      </c>
      <c r="P7">
        <f>YEAR(Table1[[#This Row],[order_date]])</f>
        <v>2022</v>
      </c>
    </row>
    <row r="8" spans="1:16" x14ac:dyDescent="0.3">
      <c r="A8">
        <v>10007</v>
      </c>
      <c r="B8" s="1">
        <v>44568</v>
      </c>
      <c r="C8">
        <v>1700</v>
      </c>
      <c r="D8" t="s">
        <v>15</v>
      </c>
      <c r="E8" t="s">
        <v>13</v>
      </c>
      <c r="F8">
        <v>6</v>
      </c>
      <c r="G8">
        <v>564.6</v>
      </c>
      <c r="H8">
        <v>0.23</v>
      </c>
      <c r="I8" t="s">
        <v>16</v>
      </c>
      <c r="J8">
        <v>1</v>
      </c>
      <c r="K8">
        <v>1.8</v>
      </c>
      <c r="L8">
        <v>2608.4499999999998</v>
      </c>
      <c r="M8">
        <f>(Table1[[#This Row],[unit_price]]*Table1[[#This Row],[quantity]])-(Table1[[#This Row],[unit_price]]*Table1[[#This Row],[discount]]*Table1[[#This Row],[quantity]])</f>
        <v>2608.4520000000002</v>
      </c>
      <c r="N8">
        <f>DAY(Table1[[#This Row],[order_date]])</f>
        <v>7</v>
      </c>
      <c r="O8" t="str">
        <f>TEXT(Table1[[#This Row],[order_date]],"mmm")</f>
        <v>Jan</v>
      </c>
      <c r="P8">
        <f>YEAR(Table1[[#This Row],[order_date]])</f>
        <v>2022</v>
      </c>
    </row>
    <row r="9" spans="1:16" x14ac:dyDescent="0.3">
      <c r="A9">
        <v>10008</v>
      </c>
      <c r="B9" s="1">
        <v>44569</v>
      </c>
      <c r="C9">
        <v>1020</v>
      </c>
      <c r="D9" t="s">
        <v>12</v>
      </c>
      <c r="E9" t="s">
        <v>21</v>
      </c>
      <c r="F9">
        <v>6</v>
      </c>
      <c r="G9">
        <v>265.70999999999998</v>
      </c>
      <c r="H9">
        <v>0.13</v>
      </c>
      <c r="I9" t="s">
        <v>16</v>
      </c>
      <c r="J9">
        <v>2</v>
      </c>
      <c r="K9">
        <v>3.7</v>
      </c>
      <c r="L9">
        <v>1387.01</v>
      </c>
      <c r="M9">
        <f>(Table1[[#This Row],[unit_price]]*Table1[[#This Row],[quantity]])-(Table1[[#This Row],[unit_price]]*Table1[[#This Row],[discount]]*Table1[[#This Row],[quantity]])</f>
        <v>1387.0061999999998</v>
      </c>
      <c r="N9">
        <f>DAY(Table1[[#This Row],[order_date]])</f>
        <v>8</v>
      </c>
      <c r="O9" t="str">
        <f>TEXT(Table1[[#This Row],[order_date]],"mmm")</f>
        <v>Jan</v>
      </c>
      <c r="P9">
        <f>YEAR(Table1[[#This Row],[order_date]])</f>
        <v>2022</v>
      </c>
    </row>
    <row r="10" spans="1:16" x14ac:dyDescent="0.3">
      <c r="A10">
        <v>10009</v>
      </c>
      <c r="B10" s="1">
        <v>44570</v>
      </c>
      <c r="C10">
        <v>1614</v>
      </c>
      <c r="D10" t="s">
        <v>15</v>
      </c>
      <c r="E10" t="s">
        <v>13</v>
      </c>
      <c r="F10">
        <v>6</v>
      </c>
      <c r="G10">
        <v>224.65</v>
      </c>
      <c r="H10">
        <v>0.27</v>
      </c>
      <c r="I10" t="s">
        <v>16</v>
      </c>
      <c r="J10">
        <v>2</v>
      </c>
      <c r="K10">
        <v>1.4</v>
      </c>
      <c r="L10">
        <v>983.97</v>
      </c>
      <c r="M10">
        <f>(Table1[[#This Row],[unit_price]]*Table1[[#This Row],[quantity]])-(Table1[[#This Row],[unit_price]]*Table1[[#This Row],[discount]]*Table1[[#This Row],[quantity]])</f>
        <v>983.9670000000001</v>
      </c>
      <c r="N10">
        <f>DAY(Table1[[#This Row],[order_date]])</f>
        <v>9</v>
      </c>
      <c r="O10" t="str">
        <f>TEXT(Table1[[#This Row],[order_date]],"mmm")</f>
        <v>Jan</v>
      </c>
      <c r="P10">
        <f>YEAR(Table1[[#This Row],[order_date]])</f>
        <v>2022</v>
      </c>
    </row>
    <row r="11" spans="1:16" x14ac:dyDescent="0.3">
      <c r="A11">
        <v>10010</v>
      </c>
      <c r="B11" s="1">
        <v>44571</v>
      </c>
      <c r="C11">
        <v>1121</v>
      </c>
      <c r="D11" t="s">
        <v>15</v>
      </c>
      <c r="E11" t="s">
        <v>20</v>
      </c>
      <c r="F11">
        <v>4</v>
      </c>
      <c r="G11">
        <v>272.70999999999998</v>
      </c>
      <c r="H11">
        <v>0.06</v>
      </c>
      <c r="I11" t="s">
        <v>16</v>
      </c>
      <c r="J11">
        <v>10</v>
      </c>
      <c r="K11">
        <v>4.5</v>
      </c>
      <c r="L11">
        <v>1025.3900000000001</v>
      </c>
      <c r="M11">
        <f>(Table1[[#This Row],[unit_price]]*Table1[[#This Row],[quantity]])-(Table1[[#This Row],[unit_price]]*Table1[[#This Row],[discount]]*Table1[[#This Row],[quantity]])</f>
        <v>1025.3896</v>
      </c>
      <c r="N11">
        <f>DAY(Table1[[#This Row],[order_date]])</f>
        <v>10</v>
      </c>
      <c r="O11" t="str">
        <f>TEXT(Table1[[#This Row],[order_date]],"mmm")</f>
        <v>Jan</v>
      </c>
      <c r="P11">
        <f>YEAR(Table1[[#This Row],[order_date]])</f>
        <v>2022</v>
      </c>
    </row>
    <row r="12" spans="1:16" x14ac:dyDescent="0.3">
      <c r="A12">
        <v>10011</v>
      </c>
      <c r="B12" s="1">
        <v>44572</v>
      </c>
      <c r="C12">
        <v>1466</v>
      </c>
      <c r="D12" t="s">
        <v>15</v>
      </c>
      <c r="E12" t="s">
        <v>20</v>
      </c>
      <c r="F12">
        <v>6</v>
      </c>
      <c r="G12">
        <v>318.88</v>
      </c>
      <c r="H12">
        <v>0.02</v>
      </c>
      <c r="I12" t="s">
        <v>18</v>
      </c>
      <c r="J12">
        <v>7</v>
      </c>
      <c r="K12">
        <v>1.4</v>
      </c>
      <c r="L12">
        <v>1875.01</v>
      </c>
      <c r="M12">
        <f>(Table1[[#This Row],[unit_price]]*Table1[[#This Row],[quantity]])-(Table1[[#This Row],[unit_price]]*Table1[[#This Row],[discount]]*Table1[[#This Row],[quantity]])</f>
        <v>1875.0144</v>
      </c>
      <c r="N12">
        <f>DAY(Table1[[#This Row],[order_date]])</f>
        <v>11</v>
      </c>
      <c r="O12" t="str">
        <f>TEXT(Table1[[#This Row],[order_date]],"mmm")</f>
        <v>Jan</v>
      </c>
      <c r="P12">
        <f>YEAR(Table1[[#This Row],[order_date]])</f>
        <v>2022</v>
      </c>
    </row>
    <row r="13" spans="1:16" x14ac:dyDescent="0.3">
      <c r="A13">
        <v>10012</v>
      </c>
      <c r="B13" s="1">
        <v>44573</v>
      </c>
      <c r="C13">
        <v>1214</v>
      </c>
      <c r="D13" t="s">
        <v>19</v>
      </c>
      <c r="E13" t="s">
        <v>20</v>
      </c>
      <c r="F13">
        <v>3</v>
      </c>
      <c r="G13">
        <v>384.71</v>
      </c>
      <c r="H13">
        <v>0.14000000000000001</v>
      </c>
      <c r="I13" t="s">
        <v>18</v>
      </c>
      <c r="J13">
        <v>11</v>
      </c>
      <c r="K13">
        <v>1.9</v>
      </c>
      <c r="L13">
        <v>992.55</v>
      </c>
      <c r="M13">
        <f>(Table1[[#This Row],[unit_price]]*Table1[[#This Row],[quantity]])-(Table1[[#This Row],[unit_price]]*Table1[[#This Row],[discount]]*Table1[[#This Row],[quantity]])</f>
        <v>992.55179999999984</v>
      </c>
      <c r="N13">
        <f>DAY(Table1[[#This Row],[order_date]])</f>
        <v>12</v>
      </c>
      <c r="O13" t="str">
        <f>TEXT(Table1[[#This Row],[order_date]],"mmm")</f>
        <v>Jan</v>
      </c>
      <c r="P13">
        <f>YEAR(Table1[[#This Row],[order_date]])</f>
        <v>2022</v>
      </c>
    </row>
    <row r="14" spans="1:16" x14ac:dyDescent="0.3">
      <c r="A14">
        <v>10013</v>
      </c>
      <c r="B14" s="1">
        <v>44574</v>
      </c>
      <c r="C14">
        <v>1330</v>
      </c>
      <c r="D14" t="s">
        <v>12</v>
      </c>
      <c r="E14" t="s">
        <v>13</v>
      </c>
      <c r="F14">
        <v>7</v>
      </c>
      <c r="G14">
        <v>483.41</v>
      </c>
      <c r="H14">
        <v>0.3</v>
      </c>
      <c r="I14" t="s">
        <v>18</v>
      </c>
      <c r="J14">
        <v>6</v>
      </c>
      <c r="K14">
        <v>1.4</v>
      </c>
      <c r="L14">
        <v>2368.71</v>
      </c>
      <c r="M14">
        <f>(Table1[[#This Row],[unit_price]]*Table1[[#This Row],[quantity]])-(Table1[[#This Row],[unit_price]]*Table1[[#This Row],[discount]]*Table1[[#This Row],[quantity]])</f>
        <v>2368.7090000000003</v>
      </c>
      <c r="N14">
        <f>DAY(Table1[[#This Row],[order_date]])</f>
        <v>13</v>
      </c>
      <c r="O14" t="str">
        <f>TEXT(Table1[[#This Row],[order_date]],"mmm")</f>
        <v>Jan</v>
      </c>
      <c r="P14">
        <f>YEAR(Table1[[#This Row],[order_date]])</f>
        <v>2022</v>
      </c>
    </row>
    <row r="15" spans="1:16" x14ac:dyDescent="0.3">
      <c r="A15">
        <v>10014</v>
      </c>
      <c r="B15" s="1">
        <v>44575</v>
      </c>
      <c r="C15">
        <v>1458</v>
      </c>
      <c r="D15" t="s">
        <v>15</v>
      </c>
      <c r="E15" t="s">
        <v>20</v>
      </c>
      <c r="F15">
        <v>7</v>
      </c>
      <c r="G15">
        <v>279.48</v>
      </c>
      <c r="H15">
        <v>0.26</v>
      </c>
      <c r="I15" t="s">
        <v>18</v>
      </c>
      <c r="J15">
        <v>8</v>
      </c>
      <c r="K15">
        <v>1.4</v>
      </c>
      <c r="L15">
        <v>1447.71</v>
      </c>
      <c r="M15">
        <f>(Table1[[#This Row],[unit_price]]*Table1[[#This Row],[quantity]])-(Table1[[#This Row],[unit_price]]*Table1[[#This Row],[discount]]*Table1[[#This Row],[quantity]])</f>
        <v>1447.7064</v>
      </c>
      <c r="N15">
        <f>DAY(Table1[[#This Row],[order_date]])</f>
        <v>14</v>
      </c>
      <c r="O15" t="str">
        <f>TEXT(Table1[[#This Row],[order_date]],"mmm")</f>
        <v>Jan</v>
      </c>
      <c r="P15">
        <f>YEAR(Table1[[#This Row],[order_date]])</f>
        <v>2022</v>
      </c>
    </row>
    <row r="16" spans="1:16" x14ac:dyDescent="0.3">
      <c r="A16">
        <v>10015</v>
      </c>
      <c r="B16" s="1">
        <v>44576</v>
      </c>
      <c r="C16">
        <v>1087</v>
      </c>
      <c r="D16" t="s">
        <v>15</v>
      </c>
      <c r="E16" t="s">
        <v>17</v>
      </c>
      <c r="F16">
        <v>4</v>
      </c>
      <c r="G16">
        <v>493.23</v>
      </c>
      <c r="H16">
        <v>0.18</v>
      </c>
      <c r="I16" t="s">
        <v>16</v>
      </c>
      <c r="J16">
        <v>9</v>
      </c>
      <c r="K16">
        <v>3.1</v>
      </c>
      <c r="L16">
        <v>1617.79</v>
      </c>
      <c r="M16">
        <f>(Table1[[#This Row],[unit_price]]*Table1[[#This Row],[quantity]])-(Table1[[#This Row],[unit_price]]*Table1[[#This Row],[discount]]*Table1[[#This Row],[quantity]])</f>
        <v>1617.7944</v>
      </c>
      <c r="N16">
        <f>DAY(Table1[[#This Row],[order_date]])</f>
        <v>15</v>
      </c>
      <c r="O16" t="str">
        <f>TEXT(Table1[[#This Row],[order_date]],"mmm")</f>
        <v>Jan</v>
      </c>
      <c r="P16">
        <f>YEAR(Table1[[#This Row],[order_date]])</f>
        <v>2022</v>
      </c>
    </row>
    <row r="17" spans="1:16" x14ac:dyDescent="0.3">
      <c r="A17">
        <v>10016</v>
      </c>
      <c r="B17" s="1">
        <v>44577</v>
      </c>
      <c r="C17">
        <v>1372</v>
      </c>
      <c r="D17" t="s">
        <v>15</v>
      </c>
      <c r="E17" t="s">
        <v>20</v>
      </c>
      <c r="F17">
        <v>2</v>
      </c>
      <c r="G17">
        <v>327.23</v>
      </c>
      <c r="H17">
        <v>0.2</v>
      </c>
      <c r="I17" t="s">
        <v>14</v>
      </c>
      <c r="J17">
        <v>5</v>
      </c>
      <c r="K17">
        <v>3.7</v>
      </c>
      <c r="L17">
        <v>523.57000000000005</v>
      </c>
      <c r="M17">
        <f>(Table1[[#This Row],[unit_price]]*Table1[[#This Row],[quantity]])-(Table1[[#This Row],[unit_price]]*Table1[[#This Row],[discount]]*Table1[[#This Row],[quantity]])</f>
        <v>523.56799999999998</v>
      </c>
      <c r="N17">
        <f>DAY(Table1[[#This Row],[order_date]])</f>
        <v>16</v>
      </c>
      <c r="O17" t="str">
        <f>TEXT(Table1[[#This Row],[order_date]],"mmm")</f>
        <v>Jan</v>
      </c>
      <c r="P17">
        <f>YEAR(Table1[[#This Row],[order_date]])</f>
        <v>2022</v>
      </c>
    </row>
    <row r="18" spans="1:16" x14ac:dyDescent="0.3">
      <c r="A18">
        <v>10017</v>
      </c>
      <c r="B18" s="1">
        <v>44578</v>
      </c>
      <c r="C18">
        <v>1099</v>
      </c>
      <c r="D18" t="s">
        <v>15</v>
      </c>
      <c r="E18" t="s">
        <v>21</v>
      </c>
      <c r="F18">
        <v>3</v>
      </c>
      <c r="G18">
        <v>213.01</v>
      </c>
      <c r="H18">
        <v>0.05</v>
      </c>
      <c r="I18" t="s">
        <v>14</v>
      </c>
      <c r="J18">
        <v>11</v>
      </c>
      <c r="K18">
        <v>4.2</v>
      </c>
      <c r="L18">
        <v>607.08000000000004</v>
      </c>
      <c r="M18">
        <f>(Table1[[#This Row],[unit_price]]*Table1[[#This Row],[quantity]])-(Table1[[#This Row],[unit_price]]*Table1[[#This Row],[discount]]*Table1[[#This Row],[quantity]])</f>
        <v>607.07849999999996</v>
      </c>
      <c r="N18">
        <f>DAY(Table1[[#This Row],[order_date]])</f>
        <v>17</v>
      </c>
      <c r="O18" t="str">
        <f>TEXT(Table1[[#This Row],[order_date]],"mmm")</f>
        <v>Jan</v>
      </c>
      <c r="P18">
        <f>YEAR(Table1[[#This Row],[order_date]])</f>
        <v>2022</v>
      </c>
    </row>
    <row r="19" spans="1:16" x14ac:dyDescent="0.3">
      <c r="A19">
        <v>10018</v>
      </c>
      <c r="B19" s="1">
        <v>44579</v>
      </c>
      <c r="C19">
        <v>1871</v>
      </c>
      <c r="D19" t="s">
        <v>19</v>
      </c>
      <c r="E19" t="s">
        <v>17</v>
      </c>
      <c r="F19">
        <v>7</v>
      </c>
      <c r="G19">
        <v>399.9</v>
      </c>
      <c r="H19">
        <v>0.28999999999999998</v>
      </c>
      <c r="I19" t="s">
        <v>18</v>
      </c>
      <c r="J19">
        <v>3</v>
      </c>
      <c r="K19">
        <v>3.8</v>
      </c>
      <c r="L19">
        <v>1987.5</v>
      </c>
      <c r="M19">
        <f>(Table1[[#This Row],[unit_price]]*Table1[[#This Row],[quantity]])-(Table1[[#This Row],[unit_price]]*Table1[[#This Row],[discount]]*Table1[[#This Row],[quantity]])</f>
        <v>1987.5029999999997</v>
      </c>
      <c r="N19">
        <f>DAY(Table1[[#This Row],[order_date]])</f>
        <v>18</v>
      </c>
      <c r="O19" t="str">
        <f>TEXT(Table1[[#This Row],[order_date]],"mmm")</f>
        <v>Jan</v>
      </c>
      <c r="P19">
        <f>YEAR(Table1[[#This Row],[order_date]])</f>
        <v>2022</v>
      </c>
    </row>
    <row r="20" spans="1:16" x14ac:dyDescent="0.3">
      <c r="A20">
        <v>10019</v>
      </c>
      <c r="B20" s="1">
        <v>44580</v>
      </c>
      <c r="C20">
        <v>1663</v>
      </c>
      <c r="D20" t="s">
        <v>22</v>
      </c>
      <c r="E20" t="s">
        <v>20</v>
      </c>
      <c r="F20">
        <v>3</v>
      </c>
      <c r="G20">
        <v>434.87</v>
      </c>
      <c r="H20">
        <v>0.28000000000000003</v>
      </c>
      <c r="I20" t="s">
        <v>14</v>
      </c>
      <c r="J20">
        <v>4</v>
      </c>
      <c r="K20">
        <v>2.5</v>
      </c>
      <c r="L20">
        <v>939.32</v>
      </c>
      <c r="M20">
        <f>(Table1[[#This Row],[unit_price]]*Table1[[#This Row],[quantity]])-(Table1[[#This Row],[unit_price]]*Table1[[#This Row],[discount]]*Table1[[#This Row],[quantity]])</f>
        <v>939.31920000000014</v>
      </c>
      <c r="N20">
        <f>DAY(Table1[[#This Row],[order_date]])</f>
        <v>19</v>
      </c>
      <c r="O20" t="str">
        <f>TEXT(Table1[[#This Row],[order_date]],"mmm")</f>
        <v>Jan</v>
      </c>
      <c r="P20">
        <f>YEAR(Table1[[#This Row],[order_date]])</f>
        <v>2022</v>
      </c>
    </row>
    <row r="21" spans="1:16" x14ac:dyDescent="0.3">
      <c r="A21">
        <v>10020</v>
      </c>
      <c r="B21" s="1">
        <v>44581</v>
      </c>
      <c r="C21">
        <v>1130</v>
      </c>
      <c r="D21" t="s">
        <v>19</v>
      </c>
      <c r="E21" t="s">
        <v>17</v>
      </c>
      <c r="F21">
        <v>7</v>
      </c>
      <c r="G21">
        <v>341.46</v>
      </c>
      <c r="H21">
        <v>0.23</v>
      </c>
      <c r="I21" t="s">
        <v>16</v>
      </c>
      <c r="J21">
        <v>11</v>
      </c>
      <c r="K21">
        <v>3.2</v>
      </c>
      <c r="L21">
        <v>1840.47</v>
      </c>
      <c r="M21">
        <f>(Table1[[#This Row],[unit_price]]*Table1[[#This Row],[quantity]])-(Table1[[#This Row],[unit_price]]*Table1[[#This Row],[discount]]*Table1[[#This Row],[quantity]])</f>
        <v>1840.4694</v>
      </c>
      <c r="N21">
        <f>DAY(Table1[[#This Row],[order_date]])</f>
        <v>20</v>
      </c>
      <c r="O21" t="str">
        <f>TEXT(Table1[[#This Row],[order_date]],"mmm")</f>
        <v>Jan</v>
      </c>
      <c r="P21">
        <f>YEAR(Table1[[#This Row],[order_date]])</f>
        <v>2022</v>
      </c>
    </row>
    <row r="22" spans="1:16" x14ac:dyDescent="0.3">
      <c r="A22">
        <v>10021</v>
      </c>
      <c r="B22" s="1">
        <v>44582</v>
      </c>
      <c r="C22">
        <v>1661</v>
      </c>
      <c r="D22" t="s">
        <v>22</v>
      </c>
      <c r="E22" t="s">
        <v>20</v>
      </c>
      <c r="F22">
        <v>1</v>
      </c>
      <c r="G22">
        <v>48.12</v>
      </c>
      <c r="H22">
        <v>0.16</v>
      </c>
      <c r="I22" t="s">
        <v>18</v>
      </c>
      <c r="J22">
        <v>8</v>
      </c>
      <c r="K22">
        <v>4.7</v>
      </c>
      <c r="L22">
        <v>40.42</v>
      </c>
      <c r="M22">
        <f>(Table1[[#This Row],[unit_price]]*Table1[[#This Row],[quantity]])-(Table1[[#This Row],[unit_price]]*Table1[[#This Row],[discount]]*Table1[[#This Row],[quantity]])</f>
        <v>40.4208</v>
      </c>
      <c r="N22">
        <f>DAY(Table1[[#This Row],[order_date]])</f>
        <v>21</v>
      </c>
      <c r="O22" t="str">
        <f>TEXT(Table1[[#This Row],[order_date]],"mmm")</f>
        <v>Jan</v>
      </c>
      <c r="P22">
        <f>YEAR(Table1[[#This Row],[order_date]])</f>
        <v>2022</v>
      </c>
    </row>
    <row r="23" spans="1:16" x14ac:dyDescent="0.3">
      <c r="A23">
        <v>10022</v>
      </c>
      <c r="B23" s="1">
        <v>44583</v>
      </c>
      <c r="C23">
        <v>1308</v>
      </c>
      <c r="D23" t="s">
        <v>22</v>
      </c>
      <c r="E23" t="s">
        <v>21</v>
      </c>
      <c r="F23">
        <v>2</v>
      </c>
      <c r="G23">
        <v>114.38</v>
      </c>
      <c r="H23">
        <v>0.34</v>
      </c>
      <c r="I23" t="s">
        <v>16</v>
      </c>
      <c r="J23">
        <v>3</v>
      </c>
      <c r="K23">
        <v>2.6</v>
      </c>
      <c r="L23">
        <v>150.97999999999999</v>
      </c>
      <c r="M23">
        <f>(Table1[[#This Row],[unit_price]]*Table1[[#This Row],[quantity]])-(Table1[[#This Row],[unit_price]]*Table1[[#This Row],[discount]]*Table1[[#This Row],[quantity]])</f>
        <v>150.98159999999999</v>
      </c>
      <c r="N23">
        <f>DAY(Table1[[#This Row],[order_date]])</f>
        <v>22</v>
      </c>
      <c r="O23" t="str">
        <f>TEXT(Table1[[#This Row],[order_date]],"mmm")</f>
        <v>Jan</v>
      </c>
      <c r="P23">
        <f>YEAR(Table1[[#This Row],[order_date]])</f>
        <v>2022</v>
      </c>
    </row>
    <row r="24" spans="1:16" x14ac:dyDescent="0.3">
      <c r="A24">
        <v>10023</v>
      </c>
      <c r="B24" s="1">
        <v>44584</v>
      </c>
      <c r="C24">
        <v>1769</v>
      </c>
      <c r="D24" t="s">
        <v>22</v>
      </c>
      <c r="E24" t="s">
        <v>20</v>
      </c>
      <c r="F24">
        <v>2</v>
      </c>
      <c r="G24">
        <v>181.9</v>
      </c>
      <c r="H24">
        <v>0.31</v>
      </c>
      <c r="I24" t="s">
        <v>16</v>
      </c>
      <c r="J24">
        <v>2</v>
      </c>
      <c r="K24">
        <v>2</v>
      </c>
      <c r="L24">
        <v>251.02</v>
      </c>
      <c r="M24">
        <f>(Table1[[#This Row],[unit_price]]*Table1[[#This Row],[quantity]])-(Table1[[#This Row],[unit_price]]*Table1[[#This Row],[discount]]*Table1[[#This Row],[quantity]])</f>
        <v>251.02199999999999</v>
      </c>
      <c r="N24">
        <f>DAY(Table1[[#This Row],[order_date]])</f>
        <v>23</v>
      </c>
      <c r="O24" t="str">
        <f>TEXT(Table1[[#This Row],[order_date]],"mmm")</f>
        <v>Jan</v>
      </c>
      <c r="P24">
        <f>YEAR(Table1[[#This Row],[order_date]])</f>
        <v>2022</v>
      </c>
    </row>
    <row r="25" spans="1:16" x14ac:dyDescent="0.3">
      <c r="A25">
        <v>10024</v>
      </c>
      <c r="B25" s="1">
        <v>44585</v>
      </c>
      <c r="C25">
        <v>1343</v>
      </c>
      <c r="D25" t="s">
        <v>15</v>
      </c>
      <c r="E25" t="s">
        <v>17</v>
      </c>
      <c r="F25">
        <v>1</v>
      </c>
      <c r="G25">
        <v>180.34</v>
      </c>
      <c r="H25">
        <v>0.23</v>
      </c>
      <c r="I25" t="s">
        <v>16</v>
      </c>
      <c r="J25">
        <v>7</v>
      </c>
      <c r="K25">
        <v>3.1</v>
      </c>
      <c r="L25">
        <v>138.86000000000001</v>
      </c>
      <c r="M25">
        <f>(Table1[[#This Row],[unit_price]]*Table1[[#This Row],[quantity]])-(Table1[[#This Row],[unit_price]]*Table1[[#This Row],[discount]]*Table1[[#This Row],[quantity]])</f>
        <v>138.86180000000002</v>
      </c>
      <c r="N25">
        <f>DAY(Table1[[#This Row],[order_date]])</f>
        <v>24</v>
      </c>
      <c r="O25" t="str">
        <f>TEXT(Table1[[#This Row],[order_date]],"mmm")</f>
        <v>Jan</v>
      </c>
      <c r="P25">
        <f>YEAR(Table1[[#This Row],[order_date]])</f>
        <v>2022</v>
      </c>
    </row>
    <row r="26" spans="1:16" x14ac:dyDescent="0.3">
      <c r="A26">
        <v>10025</v>
      </c>
      <c r="B26" s="1">
        <v>44586</v>
      </c>
      <c r="C26">
        <v>1491</v>
      </c>
      <c r="D26" t="s">
        <v>15</v>
      </c>
      <c r="E26" t="s">
        <v>21</v>
      </c>
      <c r="F26">
        <v>4</v>
      </c>
      <c r="G26">
        <v>408.95</v>
      </c>
      <c r="H26">
        <v>0.13</v>
      </c>
      <c r="I26" t="s">
        <v>18</v>
      </c>
      <c r="J26">
        <v>4</v>
      </c>
      <c r="K26">
        <v>2.2000000000000002</v>
      </c>
      <c r="L26">
        <v>1423.15</v>
      </c>
      <c r="M26">
        <f>(Table1[[#This Row],[unit_price]]*Table1[[#This Row],[quantity]])-(Table1[[#This Row],[unit_price]]*Table1[[#This Row],[discount]]*Table1[[#This Row],[quantity]])</f>
        <v>1423.146</v>
      </c>
      <c r="N26">
        <f>DAY(Table1[[#This Row],[order_date]])</f>
        <v>25</v>
      </c>
      <c r="O26" t="str">
        <f>TEXT(Table1[[#This Row],[order_date]],"mmm")</f>
        <v>Jan</v>
      </c>
      <c r="P26">
        <f>YEAR(Table1[[#This Row],[order_date]])</f>
        <v>2022</v>
      </c>
    </row>
    <row r="27" spans="1:16" x14ac:dyDescent="0.3">
      <c r="A27">
        <v>10026</v>
      </c>
      <c r="B27" s="1">
        <v>44587</v>
      </c>
      <c r="C27">
        <v>1413</v>
      </c>
      <c r="D27" t="s">
        <v>19</v>
      </c>
      <c r="E27" t="s">
        <v>13</v>
      </c>
      <c r="F27">
        <v>7</v>
      </c>
      <c r="G27">
        <v>25.73</v>
      </c>
      <c r="H27">
        <v>0.22</v>
      </c>
      <c r="I27" t="s">
        <v>16</v>
      </c>
      <c r="J27">
        <v>8</v>
      </c>
      <c r="K27">
        <v>2</v>
      </c>
      <c r="L27">
        <v>140.49</v>
      </c>
      <c r="M27">
        <f>(Table1[[#This Row],[unit_price]]*Table1[[#This Row],[quantity]])-(Table1[[#This Row],[unit_price]]*Table1[[#This Row],[discount]]*Table1[[#This Row],[quantity]])</f>
        <v>140.48580000000001</v>
      </c>
      <c r="N27">
        <f>DAY(Table1[[#This Row],[order_date]])</f>
        <v>26</v>
      </c>
      <c r="O27" t="str">
        <f>TEXT(Table1[[#This Row],[order_date]],"mmm")</f>
        <v>Jan</v>
      </c>
      <c r="P27">
        <f>YEAR(Table1[[#This Row],[order_date]])</f>
        <v>2022</v>
      </c>
    </row>
    <row r="28" spans="1:16" x14ac:dyDescent="0.3">
      <c r="A28">
        <v>10027</v>
      </c>
      <c r="B28" s="1">
        <v>44588</v>
      </c>
      <c r="C28">
        <v>1805</v>
      </c>
      <c r="D28" t="s">
        <v>22</v>
      </c>
      <c r="E28" t="s">
        <v>21</v>
      </c>
      <c r="F28">
        <v>7</v>
      </c>
      <c r="G28">
        <v>457.07</v>
      </c>
      <c r="H28">
        <v>0.2</v>
      </c>
      <c r="I28" t="s">
        <v>18</v>
      </c>
      <c r="J28">
        <v>1</v>
      </c>
      <c r="K28">
        <v>4.0999999999999996</v>
      </c>
      <c r="L28">
        <v>2559.59</v>
      </c>
      <c r="M28">
        <f>(Table1[[#This Row],[unit_price]]*Table1[[#This Row],[quantity]])-(Table1[[#This Row],[unit_price]]*Table1[[#This Row],[discount]]*Table1[[#This Row],[quantity]])</f>
        <v>2559.5919999999996</v>
      </c>
      <c r="N28">
        <f>DAY(Table1[[#This Row],[order_date]])</f>
        <v>27</v>
      </c>
      <c r="O28" t="str">
        <f>TEXT(Table1[[#This Row],[order_date]],"mmm")</f>
        <v>Jan</v>
      </c>
      <c r="P28">
        <f>YEAR(Table1[[#This Row],[order_date]])</f>
        <v>2022</v>
      </c>
    </row>
    <row r="29" spans="1:16" x14ac:dyDescent="0.3">
      <c r="A29">
        <v>10028</v>
      </c>
      <c r="B29" s="1">
        <v>44589</v>
      </c>
      <c r="C29">
        <v>1385</v>
      </c>
      <c r="D29" t="s">
        <v>19</v>
      </c>
      <c r="E29" t="s">
        <v>21</v>
      </c>
      <c r="F29">
        <v>7</v>
      </c>
      <c r="G29">
        <v>170.23</v>
      </c>
      <c r="H29">
        <v>0.14000000000000001</v>
      </c>
      <c r="I29" t="s">
        <v>16</v>
      </c>
      <c r="J29">
        <v>8</v>
      </c>
      <c r="K29">
        <v>4.5999999999999996</v>
      </c>
      <c r="L29">
        <v>1024.78</v>
      </c>
      <c r="M29">
        <f>(Table1[[#This Row],[unit_price]]*Table1[[#This Row],[quantity]])-(Table1[[#This Row],[unit_price]]*Table1[[#This Row],[discount]]*Table1[[#This Row],[quantity]])</f>
        <v>1024.7846</v>
      </c>
      <c r="N29">
        <f>DAY(Table1[[#This Row],[order_date]])</f>
        <v>28</v>
      </c>
      <c r="O29" t="str">
        <f>TEXT(Table1[[#This Row],[order_date]],"mmm")</f>
        <v>Jan</v>
      </c>
      <c r="P29">
        <f>YEAR(Table1[[#This Row],[order_date]])</f>
        <v>2022</v>
      </c>
    </row>
    <row r="30" spans="1:16" x14ac:dyDescent="0.3">
      <c r="A30">
        <v>10029</v>
      </c>
      <c r="B30" s="1">
        <v>44590</v>
      </c>
      <c r="C30">
        <v>1191</v>
      </c>
      <c r="D30" t="s">
        <v>15</v>
      </c>
      <c r="E30" t="s">
        <v>21</v>
      </c>
      <c r="F30">
        <v>6</v>
      </c>
      <c r="G30">
        <v>196.36</v>
      </c>
      <c r="H30">
        <v>0.11</v>
      </c>
      <c r="I30" t="s">
        <v>14</v>
      </c>
      <c r="J30">
        <v>5</v>
      </c>
      <c r="K30">
        <v>3</v>
      </c>
      <c r="L30">
        <v>1048.56</v>
      </c>
      <c r="M30">
        <f>(Table1[[#This Row],[unit_price]]*Table1[[#This Row],[quantity]])-(Table1[[#This Row],[unit_price]]*Table1[[#This Row],[discount]]*Table1[[#This Row],[quantity]])</f>
        <v>1048.5624</v>
      </c>
      <c r="N30">
        <f>DAY(Table1[[#This Row],[order_date]])</f>
        <v>29</v>
      </c>
      <c r="O30" t="str">
        <f>TEXT(Table1[[#This Row],[order_date]],"mmm")</f>
        <v>Jan</v>
      </c>
      <c r="P30">
        <f>YEAR(Table1[[#This Row],[order_date]])</f>
        <v>2022</v>
      </c>
    </row>
    <row r="31" spans="1:16" x14ac:dyDescent="0.3">
      <c r="A31">
        <v>10030</v>
      </c>
      <c r="B31" s="1">
        <v>44591</v>
      </c>
      <c r="C31">
        <v>1955</v>
      </c>
      <c r="D31" t="s">
        <v>19</v>
      </c>
      <c r="E31" t="s">
        <v>17</v>
      </c>
      <c r="F31">
        <v>6</v>
      </c>
      <c r="G31">
        <v>323.83</v>
      </c>
      <c r="H31">
        <v>0.14000000000000001</v>
      </c>
      <c r="I31" t="s">
        <v>18</v>
      </c>
      <c r="J31">
        <v>2</v>
      </c>
      <c r="K31">
        <v>4.0999999999999996</v>
      </c>
      <c r="L31">
        <v>1670.96</v>
      </c>
      <c r="M31">
        <f>(Table1[[#This Row],[unit_price]]*Table1[[#This Row],[quantity]])-(Table1[[#This Row],[unit_price]]*Table1[[#This Row],[discount]]*Table1[[#This Row],[quantity]])</f>
        <v>1670.9628</v>
      </c>
      <c r="N31">
        <f>DAY(Table1[[#This Row],[order_date]])</f>
        <v>30</v>
      </c>
      <c r="O31" t="str">
        <f>TEXT(Table1[[#This Row],[order_date]],"mmm")</f>
        <v>Jan</v>
      </c>
      <c r="P31">
        <f>YEAR(Table1[[#This Row],[order_date]])</f>
        <v>2022</v>
      </c>
    </row>
    <row r="32" spans="1:16" x14ac:dyDescent="0.3">
      <c r="A32">
        <v>10031</v>
      </c>
      <c r="B32" s="1">
        <v>44592</v>
      </c>
      <c r="C32">
        <v>1276</v>
      </c>
      <c r="D32" t="s">
        <v>19</v>
      </c>
      <c r="E32" t="s">
        <v>21</v>
      </c>
      <c r="F32">
        <v>6</v>
      </c>
      <c r="G32">
        <v>141.32</v>
      </c>
      <c r="H32">
        <v>0.2</v>
      </c>
      <c r="I32" t="s">
        <v>16</v>
      </c>
      <c r="J32">
        <v>1</v>
      </c>
      <c r="K32">
        <v>1.7</v>
      </c>
      <c r="L32">
        <v>678.34</v>
      </c>
      <c r="M32">
        <f>(Table1[[#This Row],[unit_price]]*Table1[[#This Row],[quantity]])-(Table1[[#This Row],[unit_price]]*Table1[[#This Row],[discount]]*Table1[[#This Row],[quantity]])</f>
        <v>678.33600000000001</v>
      </c>
      <c r="N32">
        <f>DAY(Table1[[#This Row],[order_date]])</f>
        <v>31</v>
      </c>
      <c r="O32" t="str">
        <f>TEXT(Table1[[#This Row],[order_date]],"mmm")</f>
        <v>Jan</v>
      </c>
      <c r="P32">
        <f>YEAR(Table1[[#This Row],[order_date]])</f>
        <v>2022</v>
      </c>
    </row>
    <row r="33" spans="1:16" x14ac:dyDescent="0.3">
      <c r="A33">
        <v>10032</v>
      </c>
      <c r="B33" s="1">
        <v>44593</v>
      </c>
      <c r="C33">
        <v>1160</v>
      </c>
      <c r="D33" t="s">
        <v>15</v>
      </c>
      <c r="E33" t="s">
        <v>20</v>
      </c>
      <c r="F33">
        <v>6</v>
      </c>
      <c r="G33">
        <v>532.41999999999996</v>
      </c>
      <c r="H33">
        <v>0.15</v>
      </c>
      <c r="I33" t="s">
        <v>16</v>
      </c>
      <c r="J33">
        <v>6</v>
      </c>
      <c r="K33">
        <v>3.2</v>
      </c>
      <c r="L33">
        <v>2715.34</v>
      </c>
      <c r="M33">
        <f>(Table1[[#This Row],[unit_price]]*Table1[[#This Row],[quantity]])-(Table1[[#This Row],[unit_price]]*Table1[[#This Row],[discount]]*Table1[[#This Row],[quantity]])</f>
        <v>2715.3419999999996</v>
      </c>
      <c r="N33">
        <f>DAY(Table1[[#This Row],[order_date]])</f>
        <v>1</v>
      </c>
      <c r="O33" t="str">
        <f>TEXT(Table1[[#This Row],[order_date]],"mmm")</f>
        <v>Feb</v>
      </c>
      <c r="P33">
        <f>YEAR(Table1[[#This Row],[order_date]])</f>
        <v>2022</v>
      </c>
    </row>
    <row r="34" spans="1:16" x14ac:dyDescent="0.3">
      <c r="A34">
        <v>10033</v>
      </c>
      <c r="B34" s="1">
        <v>44594</v>
      </c>
      <c r="C34">
        <v>1459</v>
      </c>
      <c r="D34" t="s">
        <v>19</v>
      </c>
      <c r="E34" t="s">
        <v>21</v>
      </c>
      <c r="F34">
        <v>6</v>
      </c>
      <c r="G34">
        <v>64.94</v>
      </c>
      <c r="H34">
        <v>0.09</v>
      </c>
      <c r="I34" t="s">
        <v>14</v>
      </c>
      <c r="J34">
        <v>9</v>
      </c>
      <c r="K34">
        <v>3.5</v>
      </c>
      <c r="L34">
        <v>354.57</v>
      </c>
      <c r="M34">
        <f>(Table1[[#This Row],[unit_price]]*Table1[[#This Row],[quantity]])-(Table1[[#This Row],[unit_price]]*Table1[[#This Row],[discount]]*Table1[[#This Row],[quantity]])</f>
        <v>354.57240000000002</v>
      </c>
      <c r="N34">
        <f>DAY(Table1[[#This Row],[order_date]])</f>
        <v>2</v>
      </c>
      <c r="O34" t="str">
        <f>TEXT(Table1[[#This Row],[order_date]],"mmm")</f>
        <v>Feb</v>
      </c>
      <c r="P34">
        <f>YEAR(Table1[[#This Row],[order_date]])</f>
        <v>2022</v>
      </c>
    </row>
    <row r="35" spans="1:16" x14ac:dyDescent="0.3">
      <c r="A35">
        <v>10034</v>
      </c>
      <c r="B35" s="1">
        <v>44595</v>
      </c>
      <c r="C35">
        <v>1313</v>
      </c>
      <c r="D35" t="s">
        <v>22</v>
      </c>
      <c r="E35" t="s">
        <v>21</v>
      </c>
      <c r="F35">
        <v>1</v>
      </c>
      <c r="G35">
        <v>274.95999999999998</v>
      </c>
      <c r="H35">
        <v>0.27</v>
      </c>
      <c r="I35" t="s">
        <v>16</v>
      </c>
      <c r="J35">
        <v>9</v>
      </c>
      <c r="K35">
        <v>3</v>
      </c>
      <c r="L35">
        <v>200.72</v>
      </c>
      <c r="M35">
        <f>(Table1[[#This Row],[unit_price]]*Table1[[#This Row],[quantity]])-(Table1[[#This Row],[unit_price]]*Table1[[#This Row],[discount]]*Table1[[#This Row],[quantity]])</f>
        <v>200.7208</v>
      </c>
      <c r="N35">
        <f>DAY(Table1[[#This Row],[order_date]])</f>
        <v>3</v>
      </c>
      <c r="O35" t="str">
        <f>TEXT(Table1[[#This Row],[order_date]],"mmm")</f>
        <v>Feb</v>
      </c>
      <c r="P35">
        <f>YEAR(Table1[[#This Row],[order_date]])</f>
        <v>2022</v>
      </c>
    </row>
    <row r="36" spans="1:16" x14ac:dyDescent="0.3">
      <c r="A36">
        <v>10035</v>
      </c>
      <c r="B36" s="1">
        <v>44596</v>
      </c>
      <c r="C36">
        <v>1021</v>
      </c>
      <c r="D36" t="s">
        <v>19</v>
      </c>
      <c r="E36" t="s">
        <v>20</v>
      </c>
      <c r="F36">
        <v>2</v>
      </c>
      <c r="G36">
        <v>511.91</v>
      </c>
      <c r="H36">
        <v>0.19</v>
      </c>
      <c r="I36" t="s">
        <v>18</v>
      </c>
      <c r="J36">
        <v>9</v>
      </c>
      <c r="K36">
        <v>1.5</v>
      </c>
      <c r="L36">
        <v>829.29</v>
      </c>
      <c r="M36">
        <f>(Table1[[#This Row],[unit_price]]*Table1[[#This Row],[quantity]])-(Table1[[#This Row],[unit_price]]*Table1[[#This Row],[discount]]*Table1[[#This Row],[quantity]])</f>
        <v>829.29420000000005</v>
      </c>
      <c r="N36">
        <f>DAY(Table1[[#This Row],[order_date]])</f>
        <v>4</v>
      </c>
      <c r="O36" t="str">
        <f>TEXT(Table1[[#This Row],[order_date]],"mmm")</f>
        <v>Feb</v>
      </c>
      <c r="P36">
        <f>YEAR(Table1[[#This Row],[order_date]])</f>
        <v>2022</v>
      </c>
    </row>
    <row r="37" spans="1:16" x14ac:dyDescent="0.3">
      <c r="A37">
        <v>10036</v>
      </c>
      <c r="B37" s="1">
        <v>44597</v>
      </c>
      <c r="C37">
        <v>1252</v>
      </c>
      <c r="D37" t="s">
        <v>19</v>
      </c>
      <c r="E37" t="s">
        <v>20</v>
      </c>
      <c r="F37">
        <v>4</v>
      </c>
      <c r="G37">
        <v>375.27</v>
      </c>
      <c r="H37">
        <v>0.02</v>
      </c>
      <c r="I37" t="s">
        <v>18</v>
      </c>
      <c r="J37">
        <v>11</v>
      </c>
      <c r="K37">
        <v>3.9</v>
      </c>
      <c r="L37">
        <v>1471.06</v>
      </c>
      <c r="M37">
        <f>(Table1[[#This Row],[unit_price]]*Table1[[#This Row],[quantity]])-(Table1[[#This Row],[unit_price]]*Table1[[#This Row],[discount]]*Table1[[#This Row],[quantity]])</f>
        <v>1471.0583999999999</v>
      </c>
      <c r="N37">
        <f>DAY(Table1[[#This Row],[order_date]])</f>
        <v>5</v>
      </c>
      <c r="O37" t="str">
        <f>TEXT(Table1[[#This Row],[order_date]],"mmm")</f>
        <v>Feb</v>
      </c>
      <c r="P37">
        <f>YEAR(Table1[[#This Row],[order_date]])</f>
        <v>2022</v>
      </c>
    </row>
    <row r="38" spans="1:16" x14ac:dyDescent="0.3">
      <c r="A38">
        <v>10037</v>
      </c>
      <c r="B38" s="1">
        <v>44598</v>
      </c>
      <c r="C38">
        <v>1747</v>
      </c>
      <c r="D38" t="s">
        <v>15</v>
      </c>
      <c r="E38" t="s">
        <v>13</v>
      </c>
      <c r="F38">
        <v>3</v>
      </c>
      <c r="G38">
        <v>186.01</v>
      </c>
      <c r="H38">
        <v>0.13</v>
      </c>
      <c r="I38" t="s">
        <v>16</v>
      </c>
      <c r="J38">
        <v>4</v>
      </c>
      <c r="K38">
        <v>4.4000000000000004</v>
      </c>
      <c r="L38">
        <v>485.49</v>
      </c>
      <c r="M38">
        <f>(Table1[[#This Row],[unit_price]]*Table1[[#This Row],[quantity]])-(Table1[[#This Row],[unit_price]]*Table1[[#This Row],[discount]]*Table1[[#This Row],[quantity]])</f>
        <v>485.48609999999996</v>
      </c>
      <c r="N38">
        <f>DAY(Table1[[#This Row],[order_date]])</f>
        <v>6</v>
      </c>
      <c r="O38" t="str">
        <f>TEXT(Table1[[#This Row],[order_date]],"mmm")</f>
        <v>Feb</v>
      </c>
      <c r="P38">
        <f>YEAR(Table1[[#This Row],[order_date]])</f>
        <v>2022</v>
      </c>
    </row>
    <row r="39" spans="1:16" x14ac:dyDescent="0.3">
      <c r="A39">
        <v>10038</v>
      </c>
      <c r="B39" s="1">
        <v>44599</v>
      </c>
      <c r="C39">
        <v>1856</v>
      </c>
      <c r="D39" t="s">
        <v>19</v>
      </c>
      <c r="E39" t="s">
        <v>21</v>
      </c>
      <c r="F39">
        <v>6</v>
      </c>
      <c r="G39">
        <v>261.14</v>
      </c>
      <c r="H39">
        <v>0.31</v>
      </c>
      <c r="I39" t="s">
        <v>16</v>
      </c>
      <c r="J39">
        <v>6</v>
      </c>
      <c r="K39">
        <v>3.5</v>
      </c>
      <c r="L39">
        <v>1081.1199999999999</v>
      </c>
      <c r="M39">
        <f>(Table1[[#This Row],[unit_price]]*Table1[[#This Row],[quantity]])-(Table1[[#This Row],[unit_price]]*Table1[[#This Row],[discount]]*Table1[[#This Row],[quantity]])</f>
        <v>1081.1196</v>
      </c>
      <c r="N39">
        <f>DAY(Table1[[#This Row],[order_date]])</f>
        <v>7</v>
      </c>
      <c r="O39" t="str">
        <f>TEXT(Table1[[#This Row],[order_date]],"mmm")</f>
        <v>Feb</v>
      </c>
      <c r="P39">
        <f>YEAR(Table1[[#This Row],[order_date]])</f>
        <v>2022</v>
      </c>
    </row>
    <row r="40" spans="1:16" x14ac:dyDescent="0.3">
      <c r="A40">
        <v>10039</v>
      </c>
      <c r="B40" s="1">
        <v>44600</v>
      </c>
      <c r="C40">
        <v>1560</v>
      </c>
      <c r="D40" t="s">
        <v>19</v>
      </c>
      <c r="E40" t="s">
        <v>17</v>
      </c>
      <c r="F40">
        <v>1</v>
      </c>
      <c r="G40">
        <v>428.42</v>
      </c>
      <c r="H40">
        <v>0.26</v>
      </c>
      <c r="I40" t="s">
        <v>18</v>
      </c>
      <c r="J40">
        <v>10</v>
      </c>
      <c r="K40">
        <v>1.7</v>
      </c>
      <c r="L40">
        <v>317.02999999999997</v>
      </c>
      <c r="M40">
        <f>(Table1[[#This Row],[unit_price]]*Table1[[#This Row],[quantity]])-(Table1[[#This Row],[unit_price]]*Table1[[#This Row],[discount]]*Table1[[#This Row],[quantity]])</f>
        <v>317.0308</v>
      </c>
      <c r="N40">
        <f>DAY(Table1[[#This Row],[order_date]])</f>
        <v>8</v>
      </c>
      <c r="O40" t="str">
        <f>TEXT(Table1[[#This Row],[order_date]],"mmm")</f>
        <v>Feb</v>
      </c>
      <c r="P40">
        <f>YEAR(Table1[[#This Row],[order_date]])</f>
        <v>2022</v>
      </c>
    </row>
    <row r="41" spans="1:16" x14ac:dyDescent="0.3">
      <c r="A41">
        <v>10040</v>
      </c>
      <c r="B41" s="1">
        <v>44601</v>
      </c>
      <c r="C41">
        <v>1474</v>
      </c>
      <c r="D41" t="s">
        <v>22</v>
      </c>
      <c r="E41" t="s">
        <v>21</v>
      </c>
      <c r="F41">
        <v>7</v>
      </c>
      <c r="G41">
        <v>584.36</v>
      </c>
      <c r="H41">
        <v>0.11</v>
      </c>
      <c r="I41" t="s">
        <v>16</v>
      </c>
      <c r="J41">
        <v>6</v>
      </c>
      <c r="K41">
        <v>1.3</v>
      </c>
      <c r="L41">
        <v>3640.56</v>
      </c>
      <c r="M41">
        <f>(Table1[[#This Row],[unit_price]]*Table1[[#This Row],[quantity]])-(Table1[[#This Row],[unit_price]]*Table1[[#This Row],[discount]]*Table1[[#This Row],[quantity]])</f>
        <v>3640.5628000000002</v>
      </c>
      <c r="N41">
        <f>DAY(Table1[[#This Row],[order_date]])</f>
        <v>9</v>
      </c>
      <c r="O41" t="str">
        <f>TEXT(Table1[[#This Row],[order_date]],"mmm")</f>
        <v>Feb</v>
      </c>
      <c r="P41">
        <f>YEAR(Table1[[#This Row],[order_date]])</f>
        <v>2022</v>
      </c>
    </row>
    <row r="42" spans="1:16" x14ac:dyDescent="0.3">
      <c r="A42">
        <v>10041</v>
      </c>
      <c r="B42" s="1">
        <v>44602</v>
      </c>
      <c r="C42">
        <v>1058</v>
      </c>
      <c r="D42" t="s">
        <v>19</v>
      </c>
      <c r="E42" t="s">
        <v>21</v>
      </c>
      <c r="F42">
        <v>4</v>
      </c>
      <c r="G42">
        <v>537.49</v>
      </c>
      <c r="H42">
        <v>0.33</v>
      </c>
      <c r="I42" t="s">
        <v>16</v>
      </c>
      <c r="J42">
        <v>5</v>
      </c>
      <c r="K42">
        <v>2.2000000000000002</v>
      </c>
      <c r="L42">
        <v>1440.47</v>
      </c>
      <c r="M42">
        <f>(Table1[[#This Row],[unit_price]]*Table1[[#This Row],[quantity]])-(Table1[[#This Row],[unit_price]]*Table1[[#This Row],[discount]]*Table1[[#This Row],[quantity]])</f>
        <v>1440.4731999999999</v>
      </c>
      <c r="N42">
        <f>DAY(Table1[[#This Row],[order_date]])</f>
        <v>10</v>
      </c>
      <c r="O42" t="str">
        <f>TEXT(Table1[[#This Row],[order_date]],"mmm")</f>
        <v>Feb</v>
      </c>
      <c r="P42">
        <f>YEAR(Table1[[#This Row],[order_date]])</f>
        <v>2022</v>
      </c>
    </row>
    <row r="43" spans="1:16" x14ac:dyDescent="0.3">
      <c r="A43">
        <v>10042</v>
      </c>
      <c r="B43" s="1">
        <v>44603</v>
      </c>
      <c r="C43">
        <v>1510</v>
      </c>
      <c r="D43" t="s">
        <v>22</v>
      </c>
      <c r="E43" t="s">
        <v>20</v>
      </c>
      <c r="F43">
        <v>4</v>
      </c>
      <c r="G43">
        <v>215.32</v>
      </c>
      <c r="H43">
        <v>0.03</v>
      </c>
      <c r="I43" t="s">
        <v>16</v>
      </c>
      <c r="J43">
        <v>2</v>
      </c>
      <c r="K43">
        <v>1.1000000000000001</v>
      </c>
      <c r="L43">
        <v>835.44</v>
      </c>
      <c r="M43">
        <f>(Table1[[#This Row],[unit_price]]*Table1[[#This Row],[quantity]])-(Table1[[#This Row],[unit_price]]*Table1[[#This Row],[discount]]*Table1[[#This Row],[quantity]])</f>
        <v>835.44159999999999</v>
      </c>
      <c r="N43">
        <f>DAY(Table1[[#This Row],[order_date]])</f>
        <v>11</v>
      </c>
      <c r="O43" t="str">
        <f>TEXT(Table1[[#This Row],[order_date]],"mmm")</f>
        <v>Feb</v>
      </c>
      <c r="P43">
        <f>YEAR(Table1[[#This Row],[order_date]])</f>
        <v>2022</v>
      </c>
    </row>
    <row r="44" spans="1:16" x14ac:dyDescent="0.3">
      <c r="A44">
        <v>10043</v>
      </c>
      <c r="B44" s="1">
        <v>44604</v>
      </c>
      <c r="C44">
        <v>1681</v>
      </c>
      <c r="D44" t="s">
        <v>19</v>
      </c>
      <c r="E44" t="s">
        <v>13</v>
      </c>
      <c r="F44">
        <v>4</v>
      </c>
      <c r="G44">
        <v>598.95000000000005</v>
      </c>
      <c r="H44">
        <v>0.34</v>
      </c>
      <c r="I44" t="s">
        <v>16</v>
      </c>
      <c r="J44">
        <v>7</v>
      </c>
      <c r="K44">
        <v>4.4000000000000004</v>
      </c>
      <c r="L44">
        <v>1581.23</v>
      </c>
      <c r="M44">
        <f>(Table1[[#This Row],[unit_price]]*Table1[[#This Row],[quantity]])-(Table1[[#This Row],[unit_price]]*Table1[[#This Row],[discount]]*Table1[[#This Row],[quantity]])</f>
        <v>1581.2280000000001</v>
      </c>
      <c r="N44">
        <f>DAY(Table1[[#This Row],[order_date]])</f>
        <v>12</v>
      </c>
      <c r="O44" t="str">
        <f>TEXT(Table1[[#This Row],[order_date]],"mmm")</f>
        <v>Feb</v>
      </c>
      <c r="P44">
        <f>YEAR(Table1[[#This Row],[order_date]])</f>
        <v>2022</v>
      </c>
    </row>
    <row r="45" spans="1:16" x14ac:dyDescent="0.3">
      <c r="A45">
        <v>10044</v>
      </c>
      <c r="B45" s="1">
        <v>44605</v>
      </c>
      <c r="C45">
        <v>1475</v>
      </c>
      <c r="D45" t="s">
        <v>19</v>
      </c>
      <c r="E45" t="s">
        <v>21</v>
      </c>
      <c r="F45">
        <v>1</v>
      </c>
      <c r="G45">
        <v>17.05</v>
      </c>
      <c r="H45">
        <v>0.09</v>
      </c>
      <c r="I45" t="s">
        <v>16</v>
      </c>
      <c r="J45">
        <v>1</v>
      </c>
      <c r="K45">
        <v>3.8</v>
      </c>
      <c r="L45">
        <v>15.52</v>
      </c>
      <c r="M45">
        <f>(Table1[[#This Row],[unit_price]]*Table1[[#This Row],[quantity]])-(Table1[[#This Row],[unit_price]]*Table1[[#This Row],[discount]]*Table1[[#This Row],[quantity]])</f>
        <v>15.515500000000001</v>
      </c>
      <c r="N45">
        <f>DAY(Table1[[#This Row],[order_date]])</f>
        <v>13</v>
      </c>
      <c r="O45" t="str">
        <f>TEXT(Table1[[#This Row],[order_date]],"mmm")</f>
        <v>Feb</v>
      </c>
      <c r="P45">
        <f>YEAR(Table1[[#This Row],[order_date]])</f>
        <v>2022</v>
      </c>
    </row>
    <row r="46" spans="1:16" x14ac:dyDescent="0.3">
      <c r="A46">
        <v>10045</v>
      </c>
      <c r="B46" s="1">
        <v>44606</v>
      </c>
      <c r="C46">
        <v>1699</v>
      </c>
      <c r="D46" t="s">
        <v>22</v>
      </c>
      <c r="E46" t="s">
        <v>17</v>
      </c>
      <c r="F46">
        <v>3</v>
      </c>
      <c r="G46">
        <v>31.16</v>
      </c>
      <c r="H46">
        <v>0</v>
      </c>
      <c r="I46" t="s">
        <v>14</v>
      </c>
      <c r="J46">
        <v>6</v>
      </c>
      <c r="K46">
        <v>3.3</v>
      </c>
      <c r="L46">
        <v>93.48</v>
      </c>
      <c r="M46">
        <f>(Table1[[#This Row],[unit_price]]*Table1[[#This Row],[quantity]])-(Table1[[#This Row],[unit_price]]*Table1[[#This Row],[discount]]*Table1[[#This Row],[quantity]])</f>
        <v>93.48</v>
      </c>
      <c r="N46">
        <f>DAY(Table1[[#This Row],[order_date]])</f>
        <v>14</v>
      </c>
      <c r="O46" t="str">
        <f>TEXT(Table1[[#This Row],[order_date]],"mmm")</f>
        <v>Feb</v>
      </c>
      <c r="P46">
        <f>YEAR(Table1[[#This Row],[order_date]])</f>
        <v>2022</v>
      </c>
    </row>
    <row r="47" spans="1:16" x14ac:dyDescent="0.3">
      <c r="A47">
        <v>10046</v>
      </c>
      <c r="B47" s="1">
        <v>44607</v>
      </c>
      <c r="C47">
        <v>1975</v>
      </c>
      <c r="D47" t="s">
        <v>19</v>
      </c>
      <c r="E47" t="s">
        <v>21</v>
      </c>
      <c r="F47">
        <v>6</v>
      </c>
      <c r="G47">
        <v>496.95</v>
      </c>
      <c r="H47">
        <v>0.15</v>
      </c>
      <c r="I47" t="s">
        <v>18</v>
      </c>
      <c r="J47">
        <v>5</v>
      </c>
      <c r="K47">
        <v>4.5999999999999996</v>
      </c>
      <c r="L47">
        <v>2534.44</v>
      </c>
      <c r="M47">
        <f>(Table1[[#This Row],[unit_price]]*Table1[[#This Row],[quantity]])-(Table1[[#This Row],[unit_price]]*Table1[[#This Row],[discount]]*Table1[[#This Row],[quantity]])</f>
        <v>2534.4449999999997</v>
      </c>
      <c r="N47">
        <f>DAY(Table1[[#This Row],[order_date]])</f>
        <v>15</v>
      </c>
      <c r="O47" t="str">
        <f>TEXT(Table1[[#This Row],[order_date]],"mmm")</f>
        <v>Feb</v>
      </c>
      <c r="P47">
        <f>YEAR(Table1[[#This Row],[order_date]])</f>
        <v>2022</v>
      </c>
    </row>
    <row r="48" spans="1:16" x14ac:dyDescent="0.3">
      <c r="A48">
        <v>10047</v>
      </c>
      <c r="B48" s="1">
        <v>44608</v>
      </c>
      <c r="C48">
        <v>1782</v>
      </c>
      <c r="D48" t="s">
        <v>19</v>
      </c>
      <c r="E48" t="s">
        <v>17</v>
      </c>
      <c r="F48">
        <v>4</v>
      </c>
      <c r="G48">
        <v>131.69</v>
      </c>
      <c r="H48">
        <v>0.13</v>
      </c>
      <c r="I48" t="s">
        <v>18</v>
      </c>
      <c r="J48">
        <v>5</v>
      </c>
      <c r="K48">
        <v>1.4</v>
      </c>
      <c r="L48">
        <v>458.28</v>
      </c>
      <c r="M48">
        <f>(Table1[[#This Row],[unit_price]]*Table1[[#This Row],[quantity]])-(Table1[[#This Row],[unit_price]]*Table1[[#This Row],[discount]]*Table1[[#This Row],[quantity]])</f>
        <v>458.28120000000001</v>
      </c>
      <c r="N48">
        <f>DAY(Table1[[#This Row],[order_date]])</f>
        <v>16</v>
      </c>
      <c r="O48" t="str">
        <f>TEXT(Table1[[#This Row],[order_date]],"mmm")</f>
        <v>Feb</v>
      </c>
      <c r="P48">
        <f>YEAR(Table1[[#This Row],[order_date]])</f>
        <v>2022</v>
      </c>
    </row>
    <row r="49" spans="1:16" x14ac:dyDescent="0.3">
      <c r="A49">
        <v>10048</v>
      </c>
      <c r="B49" s="1">
        <v>44609</v>
      </c>
      <c r="C49">
        <v>1189</v>
      </c>
      <c r="D49" t="s">
        <v>15</v>
      </c>
      <c r="E49" t="s">
        <v>20</v>
      </c>
      <c r="F49">
        <v>1</v>
      </c>
      <c r="G49">
        <v>50.55</v>
      </c>
      <c r="H49">
        <v>0.19</v>
      </c>
      <c r="I49" t="s">
        <v>16</v>
      </c>
      <c r="J49">
        <v>8</v>
      </c>
      <c r="K49">
        <v>3.9</v>
      </c>
      <c r="L49">
        <v>40.950000000000003</v>
      </c>
      <c r="M49">
        <f>(Table1[[#This Row],[unit_price]]*Table1[[#This Row],[quantity]])-(Table1[[#This Row],[unit_price]]*Table1[[#This Row],[discount]]*Table1[[#This Row],[quantity]])</f>
        <v>40.945499999999996</v>
      </c>
      <c r="N49">
        <f>DAY(Table1[[#This Row],[order_date]])</f>
        <v>17</v>
      </c>
      <c r="O49" t="str">
        <f>TEXT(Table1[[#This Row],[order_date]],"mmm")</f>
        <v>Feb</v>
      </c>
      <c r="P49">
        <f>YEAR(Table1[[#This Row],[order_date]])</f>
        <v>2022</v>
      </c>
    </row>
    <row r="50" spans="1:16" x14ac:dyDescent="0.3">
      <c r="A50">
        <v>10049</v>
      </c>
      <c r="B50" s="1">
        <v>44610</v>
      </c>
      <c r="C50">
        <v>1957</v>
      </c>
      <c r="D50" t="s">
        <v>19</v>
      </c>
      <c r="E50" t="s">
        <v>13</v>
      </c>
      <c r="F50">
        <v>7</v>
      </c>
      <c r="G50">
        <v>153.72999999999999</v>
      </c>
      <c r="H50">
        <v>0.28000000000000003</v>
      </c>
      <c r="I50" t="s">
        <v>16</v>
      </c>
      <c r="J50">
        <v>9</v>
      </c>
      <c r="K50">
        <v>1.6</v>
      </c>
      <c r="L50">
        <v>774.8</v>
      </c>
      <c r="M50">
        <f>(Table1[[#This Row],[unit_price]]*Table1[[#This Row],[quantity]])-(Table1[[#This Row],[unit_price]]*Table1[[#This Row],[discount]]*Table1[[#This Row],[quantity]])</f>
        <v>774.79919999999993</v>
      </c>
      <c r="N50">
        <f>DAY(Table1[[#This Row],[order_date]])</f>
        <v>18</v>
      </c>
      <c r="O50" t="str">
        <f>TEXT(Table1[[#This Row],[order_date]],"mmm")</f>
        <v>Feb</v>
      </c>
      <c r="P50">
        <f>YEAR(Table1[[#This Row],[order_date]])</f>
        <v>2022</v>
      </c>
    </row>
    <row r="51" spans="1:16" x14ac:dyDescent="0.3">
      <c r="A51">
        <v>10050</v>
      </c>
      <c r="B51" s="1">
        <v>44611</v>
      </c>
      <c r="C51">
        <v>1686</v>
      </c>
      <c r="D51" t="s">
        <v>22</v>
      </c>
      <c r="E51" t="s">
        <v>21</v>
      </c>
      <c r="F51">
        <v>2</v>
      </c>
      <c r="G51">
        <v>264.27</v>
      </c>
      <c r="H51">
        <v>0.28999999999999998</v>
      </c>
      <c r="I51" t="s">
        <v>14</v>
      </c>
      <c r="J51">
        <v>7</v>
      </c>
      <c r="K51">
        <v>1.2</v>
      </c>
      <c r="L51">
        <v>375.26</v>
      </c>
      <c r="M51">
        <f>(Table1[[#This Row],[unit_price]]*Table1[[#This Row],[quantity]])-(Table1[[#This Row],[unit_price]]*Table1[[#This Row],[discount]]*Table1[[#This Row],[quantity]])</f>
        <v>375.26339999999999</v>
      </c>
      <c r="N51">
        <f>DAY(Table1[[#This Row],[order_date]])</f>
        <v>19</v>
      </c>
      <c r="O51" t="str">
        <f>TEXT(Table1[[#This Row],[order_date]],"mmm")</f>
        <v>Feb</v>
      </c>
      <c r="P51">
        <f>YEAR(Table1[[#This Row],[order_date]])</f>
        <v>2022</v>
      </c>
    </row>
    <row r="52" spans="1:16" x14ac:dyDescent="0.3">
      <c r="A52">
        <v>10051</v>
      </c>
      <c r="B52" s="1">
        <v>44612</v>
      </c>
      <c r="C52">
        <v>1957</v>
      </c>
      <c r="D52" t="s">
        <v>19</v>
      </c>
      <c r="E52" t="s">
        <v>13</v>
      </c>
      <c r="F52">
        <v>7</v>
      </c>
      <c r="G52">
        <v>442.38</v>
      </c>
      <c r="H52">
        <v>0.14000000000000001</v>
      </c>
      <c r="I52" t="s">
        <v>18</v>
      </c>
      <c r="J52">
        <v>10</v>
      </c>
      <c r="K52">
        <v>1.5</v>
      </c>
      <c r="L52">
        <v>2663.13</v>
      </c>
      <c r="M52">
        <f>(Table1[[#This Row],[unit_price]]*Table1[[#This Row],[quantity]])-(Table1[[#This Row],[unit_price]]*Table1[[#This Row],[discount]]*Table1[[#This Row],[quantity]])</f>
        <v>2663.1275999999998</v>
      </c>
      <c r="N52">
        <f>DAY(Table1[[#This Row],[order_date]])</f>
        <v>20</v>
      </c>
      <c r="O52" t="str">
        <f>TEXT(Table1[[#This Row],[order_date]],"mmm")</f>
        <v>Feb</v>
      </c>
      <c r="P52">
        <f>YEAR(Table1[[#This Row],[order_date]])</f>
        <v>2022</v>
      </c>
    </row>
    <row r="53" spans="1:16" x14ac:dyDescent="0.3">
      <c r="A53">
        <v>10052</v>
      </c>
      <c r="B53" s="1">
        <v>44613</v>
      </c>
      <c r="C53">
        <v>1562</v>
      </c>
      <c r="D53" t="s">
        <v>22</v>
      </c>
      <c r="E53" t="s">
        <v>21</v>
      </c>
      <c r="F53">
        <v>1</v>
      </c>
      <c r="G53">
        <v>380.24</v>
      </c>
      <c r="H53">
        <v>0.15</v>
      </c>
      <c r="I53" t="s">
        <v>16</v>
      </c>
      <c r="J53">
        <v>8</v>
      </c>
      <c r="K53">
        <v>4.8</v>
      </c>
      <c r="L53">
        <v>323.2</v>
      </c>
      <c r="M53">
        <f>(Table1[[#This Row],[unit_price]]*Table1[[#This Row],[quantity]])-(Table1[[#This Row],[unit_price]]*Table1[[#This Row],[discount]]*Table1[[#This Row],[quantity]])</f>
        <v>323.20400000000001</v>
      </c>
      <c r="N53">
        <f>DAY(Table1[[#This Row],[order_date]])</f>
        <v>21</v>
      </c>
      <c r="O53" t="str">
        <f>TEXT(Table1[[#This Row],[order_date]],"mmm")</f>
        <v>Feb</v>
      </c>
      <c r="P53">
        <f>YEAR(Table1[[#This Row],[order_date]])</f>
        <v>2022</v>
      </c>
    </row>
    <row r="54" spans="1:16" x14ac:dyDescent="0.3">
      <c r="A54">
        <v>10053</v>
      </c>
      <c r="B54" s="1">
        <v>44614</v>
      </c>
      <c r="C54">
        <v>1875</v>
      </c>
      <c r="D54" t="s">
        <v>12</v>
      </c>
      <c r="E54" t="s">
        <v>17</v>
      </c>
      <c r="F54">
        <v>1</v>
      </c>
      <c r="G54">
        <v>154.01</v>
      </c>
      <c r="H54">
        <v>0.05</v>
      </c>
      <c r="I54" t="s">
        <v>16</v>
      </c>
      <c r="J54">
        <v>2</v>
      </c>
      <c r="K54">
        <v>2.8</v>
      </c>
      <c r="L54">
        <v>146.31</v>
      </c>
      <c r="M54">
        <f>(Table1[[#This Row],[unit_price]]*Table1[[#This Row],[quantity]])-(Table1[[#This Row],[unit_price]]*Table1[[#This Row],[discount]]*Table1[[#This Row],[quantity]])</f>
        <v>146.30949999999999</v>
      </c>
      <c r="N54">
        <f>DAY(Table1[[#This Row],[order_date]])</f>
        <v>22</v>
      </c>
      <c r="O54" t="str">
        <f>TEXT(Table1[[#This Row],[order_date]],"mmm")</f>
        <v>Feb</v>
      </c>
      <c r="P54">
        <f>YEAR(Table1[[#This Row],[order_date]])</f>
        <v>2022</v>
      </c>
    </row>
    <row r="55" spans="1:16" x14ac:dyDescent="0.3">
      <c r="A55">
        <v>10054</v>
      </c>
      <c r="B55" s="1">
        <v>44615</v>
      </c>
      <c r="C55">
        <v>1566</v>
      </c>
      <c r="D55" t="s">
        <v>15</v>
      </c>
      <c r="E55" t="s">
        <v>13</v>
      </c>
      <c r="F55">
        <v>1</v>
      </c>
      <c r="G55">
        <v>309.41000000000003</v>
      </c>
      <c r="H55">
        <v>0.02</v>
      </c>
      <c r="I55" t="s">
        <v>18</v>
      </c>
      <c r="J55">
        <v>2</v>
      </c>
      <c r="K55">
        <v>1.2</v>
      </c>
      <c r="L55">
        <v>303.22000000000003</v>
      </c>
      <c r="M55">
        <f>(Table1[[#This Row],[unit_price]]*Table1[[#This Row],[quantity]])-(Table1[[#This Row],[unit_price]]*Table1[[#This Row],[discount]]*Table1[[#This Row],[quantity]])</f>
        <v>303.22180000000003</v>
      </c>
      <c r="N55">
        <f>DAY(Table1[[#This Row],[order_date]])</f>
        <v>23</v>
      </c>
      <c r="O55" t="str">
        <f>TEXT(Table1[[#This Row],[order_date]],"mmm")</f>
        <v>Feb</v>
      </c>
      <c r="P55">
        <f>YEAR(Table1[[#This Row],[order_date]])</f>
        <v>2022</v>
      </c>
    </row>
    <row r="56" spans="1:16" x14ac:dyDescent="0.3">
      <c r="A56">
        <v>10055</v>
      </c>
      <c r="B56" s="1">
        <v>44616</v>
      </c>
      <c r="C56">
        <v>1243</v>
      </c>
      <c r="D56" t="s">
        <v>12</v>
      </c>
      <c r="E56" t="s">
        <v>21</v>
      </c>
      <c r="F56">
        <v>4</v>
      </c>
      <c r="G56">
        <v>556.84</v>
      </c>
      <c r="H56">
        <v>0.22</v>
      </c>
      <c r="I56" t="s">
        <v>14</v>
      </c>
      <c r="J56">
        <v>8</v>
      </c>
      <c r="K56">
        <v>3.3</v>
      </c>
      <c r="L56">
        <v>1737.34</v>
      </c>
      <c r="M56">
        <f>(Table1[[#This Row],[unit_price]]*Table1[[#This Row],[quantity]])-(Table1[[#This Row],[unit_price]]*Table1[[#This Row],[discount]]*Table1[[#This Row],[quantity]])</f>
        <v>1737.3408000000002</v>
      </c>
      <c r="N56">
        <f>DAY(Table1[[#This Row],[order_date]])</f>
        <v>24</v>
      </c>
      <c r="O56" t="str">
        <f>TEXT(Table1[[#This Row],[order_date]],"mmm")</f>
        <v>Feb</v>
      </c>
      <c r="P56">
        <f>YEAR(Table1[[#This Row],[order_date]])</f>
        <v>2022</v>
      </c>
    </row>
    <row r="57" spans="1:16" x14ac:dyDescent="0.3">
      <c r="A57">
        <v>10056</v>
      </c>
      <c r="B57" s="1">
        <v>44617</v>
      </c>
      <c r="C57">
        <v>1831</v>
      </c>
      <c r="D57" t="s">
        <v>15</v>
      </c>
      <c r="E57" t="s">
        <v>20</v>
      </c>
      <c r="F57">
        <v>1</v>
      </c>
      <c r="G57">
        <v>491.78</v>
      </c>
      <c r="H57">
        <v>0.02</v>
      </c>
      <c r="I57" t="s">
        <v>16</v>
      </c>
      <c r="J57">
        <v>6</v>
      </c>
      <c r="K57">
        <v>1.8</v>
      </c>
      <c r="L57">
        <v>481.94</v>
      </c>
      <c r="M57">
        <f>(Table1[[#This Row],[unit_price]]*Table1[[#This Row],[quantity]])-(Table1[[#This Row],[unit_price]]*Table1[[#This Row],[discount]]*Table1[[#This Row],[quantity]])</f>
        <v>481.94439999999997</v>
      </c>
      <c r="N57">
        <f>DAY(Table1[[#This Row],[order_date]])</f>
        <v>25</v>
      </c>
      <c r="O57" t="str">
        <f>TEXT(Table1[[#This Row],[order_date]],"mmm")</f>
        <v>Feb</v>
      </c>
      <c r="P57">
        <f>YEAR(Table1[[#This Row],[order_date]])</f>
        <v>2022</v>
      </c>
    </row>
    <row r="58" spans="1:16" x14ac:dyDescent="0.3">
      <c r="A58">
        <v>10057</v>
      </c>
      <c r="B58" s="1">
        <v>44618</v>
      </c>
      <c r="C58">
        <v>1504</v>
      </c>
      <c r="D58" t="s">
        <v>12</v>
      </c>
      <c r="E58" t="s">
        <v>17</v>
      </c>
      <c r="F58">
        <v>2</v>
      </c>
      <c r="G58">
        <v>204.07</v>
      </c>
      <c r="H58">
        <v>0.26</v>
      </c>
      <c r="I58" t="s">
        <v>18</v>
      </c>
      <c r="J58">
        <v>8</v>
      </c>
      <c r="K58">
        <v>1</v>
      </c>
      <c r="L58">
        <v>302.02</v>
      </c>
      <c r="M58">
        <f>(Table1[[#This Row],[unit_price]]*Table1[[#This Row],[quantity]])-(Table1[[#This Row],[unit_price]]*Table1[[#This Row],[discount]]*Table1[[#This Row],[quantity]])</f>
        <v>302.02359999999999</v>
      </c>
      <c r="N58">
        <f>DAY(Table1[[#This Row],[order_date]])</f>
        <v>26</v>
      </c>
      <c r="O58" t="str">
        <f>TEXT(Table1[[#This Row],[order_date]],"mmm")</f>
        <v>Feb</v>
      </c>
      <c r="P58">
        <f>YEAR(Table1[[#This Row],[order_date]])</f>
        <v>2022</v>
      </c>
    </row>
    <row r="59" spans="1:16" x14ac:dyDescent="0.3">
      <c r="A59">
        <v>10058</v>
      </c>
      <c r="B59" s="1">
        <v>44619</v>
      </c>
      <c r="C59">
        <v>1130</v>
      </c>
      <c r="D59" t="s">
        <v>19</v>
      </c>
      <c r="E59" t="s">
        <v>13</v>
      </c>
      <c r="F59">
        <v>4</v>
      </c>
      <c r="G59">
        <v>589.62</v>
      </c>
      <c r="H59">
        <v>0.19</v>
      </c>
      <c r="I59" t="s">
        <v>18</v>
      </c>
      <c r="J59">
        <v>9</v>
      </c>
      <c r="K59">
        <v>4</v>
      </c>
      <c r="L59">
        <v>1910.37</v>
      </c>
      <c r="M59">
        <f>(Table1[[#This Row],[unit_price]]*Table1[[#This Row],[quantity]])-(Table1[[#This Row],[unit_price]]*Table1[[#This Row],[discount]]*Table1[[#This Row],[quantity]])</f>
        <v>1910.3688</v>
      </c>
      <c r="N59">
        <f>DAY(Table1[[#This Row],[order_date]])</f>
        <v>27</v>
      </c>
      <c r="O59" t="str">
        <f>TEXT(Table1[[#This Row],[order_date]],"mmm")</f>
        <v>Feb</v>
      </c>
      <c r="P59">
        <f>YEAR(Table1[[#This Row],[order_date]])</f>
        <v>2022</v>
      </c>
    </row>
    <row r="60" spans="1:16" x14ac:dyDescent="0.3">
      <c r="A60">
        <v>10059</v>
      </c>
      <c r="B60" s="1">
        <v>44620</v>
      </c>
      <c r="C60">
        <v>1484</v>
      </c>
      <c r="D60" t="s">
        <v>22</v>
      </c>
      <c r="E60" t="s">
        <v>21</v>
      </c>
      <c r="F60">
        <v>7</v>
      </c>
      <c r="G60">
        <v>429.54</v>
      </c>
      <c r="H60">
        <v>7.0000000000000007E-2</v>
      </c>
      <c r="I60" t="s">
        <v>14</v>
      </c>
      <c r="J60">
        <v>9</v>
      </c>
      <c r="K60">
        <v>1.6</v>
      </c>
      <c r="L60">
        <v>2796.31</v>
      </c>
      <c r="M60">
        <f>(Table1[[#This Row],[unit_price]]*Table1[[#This Row],[quantity]])-(Table1[[#This Row],[unit_price]]*Table1[[#This Row],[discount]]*Table1[[#This Row],[quantity]])</f>
        <v>2796.3054000000002</v>
      </c>
      <c r="N60">
        <f>DAY(Table1[[#This Row],[order_date]])</f>
        <v>28</v>
      </c>
      <c r="O60" t="str">
        <f>TEXT(Table1[[#This Row],[order_date]],"mmm")</f>
        <v>Feb</v>
      </c>
      <c r="P60">
        <f>YEAR(Table1[[#This Row],[order_date]])</f>
        <v>2022</v>
      </c>
    </row>
    <row r="61" spans="1:16" x14ac:dyDescent="0.3">
      <c r="A61">
        <v>10060</v>
      </c>
      <c r="B61" s="1">
        <v>44621</v>
      </c>
      <c r="C61">
        <v>1818</v>
      </c>
      <c r="D61" t="s">
        <v>15</v>
      </c>
      <c r="E61" t="s">
        <v>13</v>
      </c>
      <c r="F61">
        <v>2</v>
      </c>
      <c r="G61">
        <v>51.53</v>
      </c>
      <c r="H61">
        <v>0.19</v>
      </c>
      <c r="I61" t="s">
        <v>14</v>
      </c>
      <c r="J61">
        <v>11</v>
      </c>
      <c r="K61">
        <v>4.8</v>
      </c>
      <c r="L61">
        <v>83.48</v>
      </c>
      <c r="M61">
        <f>(Table1[[#This Row],[unit_price]]*Table1[[#This Row],[quantity]])-(Table1[[#This Row],[unit_price]]*Table1[[#This Row],[discount]]*Table1[[#This Row],[quantity]])</f>
        <v>83.4786</v>
      </c>
      <c r="N61">
        <f>DAY(Table1[[#This Row],[order_date]])</f>
        <v>1</v>
      </c>
      <c r="O61" t="str">
        <f>TEXT(Table1[[#This Row],[order_date]],"mmm")</f>
        <v>Mar</v>
      </c>
      <c r="P61">
        <f>YEAR(Table1[[#This Row],[order_date]])</f>
        <v>2022</v>
      </c>
    </row>
    <row r="62" spans="1:16" x14ac:dyDescent="0.3">
      <c r="A62">
        <v>10061</v>
      </c>
      <c r="B62" s="1">
        <v>44622</v>
      </c>
      <c r="C62">
        <v>1646</v>
      </c>
      <c r="D62" t="s">
        <v>15</v>
      </c>
      <c r="E62" t="s">
        <v>21</v>
      </c>
      <c r="F62">
        <v>5</v>
      </c>
      <c r="G62">
        <v>35.57</v>
      </c>
      <c r="H62">
        <v>0.06</v>
      </c>
      <c r="I62" t="s">
        <v>16</v>
      </c>
      <c r="J62">
        <v>6</v>
      </c>
      <c r="K62">
        <v>3.4</v>
      </c>
      <c r="L62">
        <v>167.18</v>
      </c>
      <c r="M62">
        <f>(Table1[[#This Row],[unit_price]]*Table1[[#This Row],[quantity]])-(Table1[[#This Row],[unit_price]]*Table1[[#This Row],[discount]]*Table1[[#This Row],[quantity]])</f>
        <v>167.179</v>
      </c>
      <c r="N62">
        <f>DAY(Table1[[#This Row],[order_date]])</f>
        <v>2</v>
      </c>
      <c r="O62" t="str">
        <f>TEXT(Table1[[#This Row],[order_date]],"mmm")</f>
        <v>Mar</v>
      </c>
      <c r="P62">
        <f>YEAR(Table1[[#This Row],[order_date]])</f>
        <v>2022</v>
      </c>
    </row>
    <row r="63" spans="1:16" x14ac:dyDescent="0.3">
      <c r="A63">
        <v>10062</v>
      </c>
      <c r="B63" s="1">
        <v>44623</v>
      </c>
      <c r="C63">
        <v>1020</v>
      </c>
      <c r="D63" t="s">
        <v>15</v>
      </c>
      <c r="E63" t="s">
        <v>17</v>
      </c>
      <c r="F63">
        <v>7</v>
      </c>
      <c r="G63">
        <v>113.52</v>
      </c>
      <c r="H63">
        <v>0.15</v>
      </c>
      <c r="I63" t="s">
        <v>18</v>
      </c>
      <c r="J63">
        <v>8</v>
      </c>
      <c r="K63">
        <v>1.3</v>
      </c>
      <c r="L63">
        <v>675.44</v>
      </c>
      <c r="M63">
        <f>(Table1[[#This Row],[unit_price]]*Table1[[#This Row],[quantity]])-(Table1[[#This Row],[unit_price]]*Table1[[#This Row],[discount]]*Table1[[#This Row],[quantity]])</f>
        <v>675.44399999999996</v>
      </c>
      <c r="N63">
        <f>DAY(Table1[[#This Row],[order_date]])</f>
        <v>3</v>
      </c>
      <c r="O63" t="str">
        <f>TEXT(Table1[[#This Row],[order_date]],"mmm")</f>
        <v>Mar</v>
      </c>
      <c r="P63">
        <f>YEAR(Table1[[#This Row],[order_date]])</f>
        <v>2022</v>
      </c>
    </row>
    <row r="64" spans="1:16" x14ac:dyDescent="0.3">
      <c r="A64">
        <v>10063</v>
      </c>
      <c r="B64" s="1">
        <v>44624</v>
      </c>
      <c r="C64">
        <v>1840</v>
      </c>
      <c r="D64" t="s">
        <v>22</v>
      </c>
      <c r="E64" t="s">
        <v>20</v>
      </c>
      <c r="F64">
        <v>1</v>
      </c>
      <c r="G64">
        <v>440.8</v>
      </c>
      <c r="H64">
        <v>0.28000000000000003</v>
      </c>
      <c r="I64" t="s">
        <v>18</v>
      </c>
      <c r="J64">
        <v>2</v>
      </c>
      <c r="K64">
        <v>1.9</v>
      </c>
      <c r="L64">
        <v>317.38</v>
      </c>
      <c r="M64">
        <f>(Table1[[#This Row],[unit_price]]*Table1[[#This Row],[quantity]])-(Table1[[#This Row],[unit_price]]*Table1[[#This Row],[discount]]*Table1[[#This Row],[quantity]])</f>
        <v>317.37599999999998</v>
      </c>
      <c r="N64">
        <f>DAY(Table1[[#This Row],[order_date]])</f>
        <v>4</v>
      </c>
      <c r="O64" t="str">
        <f>TEXT(Table1[[#This Row],[order_date]],"mmm")</f>
        <v>Mar</v>
      </c>
      <c r="P64">
        <f>YEAR(Table1[[#This Row],[order_date]])</f>
        <v>2022</v>
      </c>
    </row>
    <row r="65" spans="1:16" x14ac:dyDescent="0.3">
      <c r="A65">
        <v>10064</v>
      </c>
      <c r="B65" s="1">
        <v>44625</v>
      </c>
      <c r="C65">
        <v>1166</v>
      </c>
      <c r="D65" t="s">
        <v>19</v>
      </c>
      <c r="E65" t="s">
        <v>17</v>
      </c>
      <c r="F65">
        <v>6</v>
      </c>
      <c r="G65">
        <v>122.49</v>
      </c>
      <c r="H65">
        <v>0.16</v>
      </c>
      <c r="I65" t="s">
        <v>18</v>
      </c>
      <c r="J65">
        <v>8</v>
      </c>
      <c r="K65">
        <v>3.4</v>
      </c>
      <c r="L65">
        <v>617.35</v>
      </c>
      <c r="M65">
        <f>(Table1[[#This Row],[unit_price]]*Table1[[#This Row],[quantity]])-(Table1[[#This Row],[unit_price]]*Table1[[#This Row],[discount]]*Table1[[#This Row],[quantity]])</f>
        <v>617.34960000000001</v>
      </c>
      <c r="N65">
        <f>DAY(Table1[[#This Row],[order_date]])</f>
        <v>5</v>
      </c>
      <c r="O65" t="str">
        <f>TEXT(Table1[[#This Row],[order_date]],"mmm")</f>
        <v>Mar</v>
      </c>
      <c r="P65">
        <f>YEAR(Table1[[#This Row],[order_date]])</f>
        <v>2022</v>
      </c>
    </row>
    <row r="66" spans="1:16" x14ac:dyDescent="0.3">
      <c r="A66">
        <v>10065</v>
      </c>
      <c r="B66" s="1">
        <v>44626</v>
      </c>
      <c r="C66">
        <v>1273</v>
      </c>
      <c r="D66" t="s">
        <v>19</v>
      </c>
      <c r="E66" t="s">
        <v>13</v>
      </c>
      <c r="F66">
        <v>6</v>
      </c>
      <c r="G66">
        <v>314.22000000000003</v>
      </c>
      <c r="H66">
        <v>0.05</v>
      </c>
      <c r="I66" t="s">
        <v>14</v>
      </c>
      <c r="J66">
        <v>3</v>
      </c>
      <c r="K66">
        <v>2.4</v>
      </c>
      <c r="L66">
        <v>1791.05</v>
      </c>
      <c r="M66">
        <f>(Table1[[#This Row],[unit_price]]*Table1[[#This Row],[quantity]])-(Table1[[#This Row],[unit_price]]*Table1[[#This Row],[discount]]*Table1[[#This Row],[quantity]])</f>
        <v>1791.0540000000001</v>
      </c>
      <c r="N66">
        <f>DAY(Table1[[#This Row],[order_date]])</f>
        <v>6</v>
      </c>
      <c r="O66" t="str">
        <f>TEXT(Table1[[#This Row],[order_date]],"mmm")</f>
        <v>Mar</v>
      </c>
      <c r="P66">
        <f>YEAR(Table1[[#This Row],[order_date]])</f>
        <v>2022</v>
      </c>
    </row>
    <row r="67" spans="1:16" x14ac:dyDescent="0.3">
      <c r="A67">
        <v>10066</v>
      </c>
      <c r="B67" s="1">
        <v>44627</v>
      </c>
      <c r="C67">
        <v>1387</v>
      </c>
      <c r="D67" t="s">
        <v>22</v>
      </c>
      <c r="E67" t="s">
        <v>13</v>
      </c>
      <c r="F67">
        <v>4</v>
      </c>
      <c r="G67">
        <v>69.56</v>
      </c>
      <c r="H67">
        <v>0.25</v>
      </c>
      <c r="I67" t="s">
        <v>14</v>
      </c>
      <c r="J67">
        <v>1</v>
      </c>
      <c r="K67">
        <v>3.1</v>
      </c>
      <c r="L67">
        <v>208.68</v>
      </c>
      <c r="M67">
        <f>(Table1[[#This Row],[unit_price]]*Table1[[#This Row],[quantity]])-(Table1[[#This Row],[unit_price]]*Table1[[#This Row],[discount]]*Table1[[#This Row],[quantity]])</f>
        <v>208.68</v>
      </c>
      <c r="N67">
        <f>DAY(Table1[[#This Row],[order_date]])</f>
        <v>7</v>
      </c>
      <c r="O67" t="str">
        <f>TEXT(Table1[[#This Row],[order_date]],"mmm")</f>
        <v>Mar</v>
      </c>
      <c r="P67">
        <f>YEAR(Table1[[#This Row],[order_date]])</f>
        <v>2022</v>
      </c>
    </row>
    <row r="68" spans="1:16" x14ac:dyDescent="0.3">
      <c r="A68">
        <v>10067</v>
      </c>
      <c r="B68" s="1">
        <v>44628</v>
      </c>
      <c r="C68">
        <v>1600</v>
      </c>
      <c r="D68" t="s">
        <v>22</v>
      </c>
      <c r="E68" t="s">
        <v>21</v>
      </c>
      <c r="F68">
        <v>6</v>
      </c>
      <c r="G68">
        <v>553.72</v>
      </c>
      <c r="H68">
        <v>7.0000000000000007E-2</v>
      </c>
      <c r="I68" t="s">
        <v>16</v>
      </c>
      <c r="J68">
        <v>7</v>
      </c>
      <c r="K68">
        <v>4.2</v>
      </c>
      <c r="L68">
        <v>3089.76</v>
      </c>
      <c r="M68">
        <f>(Table1[[#This Row],[unit_price]]*Table1[[#This Row],[quantity]])-(Table1[[#This Row],[unit_price]]*Table1[[#This Row],[discount]]*Table1[[#This Row],[quantity]])</f>
        <v>3089.7575999999999</v>
      </c>
      <c r="N68">
        <f>DAY(Table1[[#This Row],[order_date]])</f>
        <v>8</v>
      </c>
      <c r="O68" t="str">
        <f>TEXT(Table1[[#This Row],[order_date]],"mmm")</f>
        <v>Mar</v>
      </c>
      <c r="P68">
        <f>YEAR(Table1[[#This Row],[order_date]])</f>
        <v>2022</v>
      </c>
    </row>
    <row r="69" spans="1:16" x14ac:dyDescent="0.3">
      <c r="A69">
        <v>10068</v>
      </c>
      <c r="B69" s="1">
        <v>44629</v>
      </c>
      <c r="C69">
        <v>1315</v>
      </c>
      <c r="D69" t="s">
        <v>12</v>
      </c>
      <c r="E69" t="s">
        <v>17</v>
      </c>
      <c r="F69">
        <v>7</v>
      </c>
      <c r="G69">
        <v>216.22</v>
      </c>
      <c r="H69">
        <v>0.26</v>
      </c>
      <c r="I69" t="s">
        <v>16</v>
      </c>
      <c r="J69">
        <v>1</v>
      </c>
      <c r="K69">
        <v>4.2</v>
      </c>
      <c r="L69">
        <v>1120.02</v>
      </c>
      <c r="M69">
        <f>(Table1[[#This Row],[unit_price]]*Table1[[#This Row],[quantity]])-(Table1[[#This Row],[unit_price]]*Table1[[#This Row],[discount]]*Table1[[#This Row],[quantity]])</f>
        <v>1120.0196000000001</v>
      </c>
      <c r="N69">
        <f>DAY(Table1[[#This Row],[order_date]])</f>
        <v>9</v>
      </c>
      <c r="O69" t="str">
        <f>TEXT(Table1[[#This Row],[order_date]],"mmm")</f>
        <v>Mar</v>
      </c>
      <c r="P69">
        <f>YEAR(Table1[[#This Row],[order_date]])</f>
        <v>2022</v>
      </c>
    </row>
    <row r="70" spans="1:16" x14ac:dyDescent="0.3">
      <c r="A70">
        <v>10069</v>
      </c>
      <c r="B70" s="1">
        <v>44630</v>
      </c>
      <c r="C70">
        <v>1013</v>
      </c>
      <c r="D70" t="s">
        <v>22</v>
      </c>
      <c r="E70" t="s">
        <v>21</v>
      </c>
      <c r="F70">
        <v>4</v>
      </c>
      <c r="G70">
        <v>546.26</v>
      </c>
      <c r="H70">
        <v>0.17</v>
      </c>
      <c r="I70" t="s">
        <v>18</v>
      </c>
      <c r="J70">
        <v>11</v>
      </c>
      <c r="K70">
        <v>3.8</v>
      </c>
      <c r="L70">
        <v>1813.58</v>
      </c>
      <c r="M70">
        <f>(Table1[[#This Row],[unit_price]]*Table1[[#This Row],[quantity]])-(Table1[[#This Row],[unit_price]]*Table1[[#This Row],[discount]]*Table1[[#This Row],[quantity]])</f>
        <v>1813.5832</v>
      </c>
      <c r="N70">
        <f>DAY(Table1[[#This Row],[order_date]])</f>
        <v>10</v>
      </c>
      <c r="O70" t="str">
        <f>TEXT(Table1[[#This Row],[order_date]],"mmm")</f>
        <v>Mar</v>
      </c>
      <c r="P70">
        <f>YEAR(Table1[[#This Row],[order_date]])</f>
        <v>2022</v>
      </c>
    </row>
    <row r="71" spans="1:16" x14ac:dyDescent="0.3">
      <c r="A71">
        <v>10070</v>
      </c>
      <c r="B71" s="1">
        <v>44631</v>
      </c>
      <c r="C71">
        <v>1241</v>
      </c>
      <c r="D71" t="s">
        <v>12</v>
      </c>
      <c r="E71" t="s">
        <v>17</v>
      </c>
      <c r="F71">
        <v>7</v>
      </c>
      <c r="G71">
        <v>567.75</v>
      </c>
      <c r="H71">
        <v>0.16</v>
      </c>
      <c r="I71" t="s">
        <v>16</v>
      </c>
      <c r="J71">
        <v>1</v>
      </c>
      <c r="K71">
        <v>4.5</v>
      </c>
      <c r="L71">
        <v>3338.37</v>
      </c>
      <c r="M71">
        <f>(Table1[[#This Row],[unit_price]]*Table1[[#This Row],[quantity]])-(Table1[[#This Row],[unit_price]]*Table1[[#This Row],[discount]]*Table1[[#This Row],[quantity]])</f>
        <v>3338.37</v>
      </c>
      <c r="N71">
        <f>DAY(Table1[[#This Row],[order_date]])</f>
        <v>11</v>
      </c>
      <c r="O71" t="str">
        <f>TEXT(Table1[[#This Row],[order_date]],"mmm")</f>
        <v>Mar</v>
      </c>
      <c r="P71">
        <f>YEAR(Table1[[#This Row],[order_date]])</f>
        <v>2022</v>
      </c>
    </row>
    <row r="72" spans="1:16" x14ac:dyDescent="0.3">
      <c r="A72">
        <v>10071</v>
      </c>
      <c r="B72" s="1">
        <v>44632</v>
      </c>
      <c r="C72">
        <v>1776</v>
      </c>
      <c r="D72" t="s">
        <v>22</v>
      </c>
      <c r="E72" t="s">
        <v>13</v>
      </c>
      <c r="F72">
        <v>1</v>
      </c>
      <c r="G72">
        <v>18.59</v>
      </c>
      <c r="H72">
        <v>0.3</v>
      </c>
      <c r="I72" t="s">
        <v>16</v>
      </c>
      <c r="J72">
        <v>1</v>
      </c>
      <c r="K72">
        <v>1.8</v>
      </c>
      <c r="L72">
        <v>13.01</v>
      </c>
      <c r="M72">
        <f>(Table1[[#This Row],[unit_price]]*Table1[[#This Row],[quantity]])-(Table1[[#This Row],[unit_price]]*Table1[[#This Row],[discount]]*Table1[[#This Row],[quantity]])</f>
        <v>13.013</v>
      </c>
      <c r="N72">
        <f>DAY(Table1[[#This Row],[order_date]])</f>
        <v>12</v>
      </c>
      <c r="O72" t="str">
        <f>TEXT(Table1[[#This Row],[order_date]],"mmm")</f>
        <v>Mar</v>
      </c>
      <c r="P72">
        <f>YEAR(Table1[[#This Row],[order_date]])</f>
        <v>2022</v>
      </c>
    </row>
    <row r="73" spans="1:16" x14ac:dyDescent="0.3">
      <c r="A73">
        <v>10072</v>
      </c>
      <c r="B73" s="1">
        <v>44633</v>
      </c>
      <c r="C73">
        <v>1345</v>
      </c>
      <c r="D73" t="s">
        <v>19</v>
      </c>
      <c r="E73" t="s">
        <v>21</v>
      </c>
      <c r="F73">
        <v>3</v>
      </c>
      <c r="G73">
        <v>286.52</v>
      </c>
      <c r="H73">
        <v>0.25</v>
      </c>
      <c r="I73" t="s">
        <v>16</v>
      </c>
      <c r="J73">
        <v>4</v>
      </c>
      <c r="K73">
        <v>1.7</v>
      </c>
      <c r="L73">
        <v>644.66999999999996</v>
      </c>
      <c r="M73">
        <f>(Table1[[#This Row],[unit_price]]*Table1[[#This Row],[quantity]])-(Table1[[#This Row],[unit_price]]*Table1[[#This Row],[discount]]*Table1[[#This Row],[quantity]])</f>
        <v>644.66999999999996</v>
      </c>
      <c r="N73">
        <f>DAY(Table1[[#This Row],[order_date]])</f>
        <v>13</v>
      </c>
      <c r="O73" t="str">
        <f>TEXT(Table1[[#This Row],[order_date]],"mmm")</f>
        <v>Mar</v>
      </c>
      <c r="P73">
        <f>YEAR(Table1[[#This Row],[order_date]])</f>
        <v>2022</v>
      </c>
    </row>
    <row r="74" spans="1:16" x14ac:dyDescent="0.3">
      <c r="A74">
        <v>10073</v>
      </c>
      <c r="B74" s="1">
        <v>44634</v>
      </c>
      <c r="C74">
        <v>1564</v>
      </c>
      <c r="D74" t="s">
        <v>19</v>
      </c>
      <c r="E74" t="s">
        <v>21</v>
      </c>
      <c r="F74">
        <v>3</v>
      </c>
      <c r="G74">
        <v>29.42</v>
      </c>
      <c r="H74">
        <v>0.01</v>
      </c>
      <c r="I74" t="s">
        <v>14</v>
      </c>
      <c r="J74">
        <v>4</v>
      </c>
      <c r="K74">
        <v>4.2</v>
      </c>
      <c r="L74">
        <v>87.38</v>
      </c>
      <c r="M74">
        <f>(Table1[[#This Row],[unit_price]]*Table1[[#This Row],[quantity]])-(Table1[[#This Row],[unit_price]]*Table1[[#This Row],[discount]]*Table1[[#This Row],[quantity]])</f>
        <v>87.377400000000009</v>
      </c>
      <c r="N74">
        <f>DAY(Table1[[#This Row],[order_date]])</f>
        <v>14</v>
      </c>
      <c r="O74" t="str">
        <f>TEXT(Table1[[#This Row],[order_date]],"mmm")</f>
        <v>Mar</v>
      </c>
      <c r="P74">
        <f>YEAR(Table1[[#This Row],[order_date]])</f>
        <v>2022</v>
      </c>
    </row>
    <row r="75" spans="1:16" x14ac:dyDescent="0.3">
      <c r="A75">
        <v>10074</v>
      </c>
      <c r="B75" s="1">
        <v>44635</v>
      </c>
      <c r="C75">
        <v>1897</v>
      </c>
      <c r="D75" t="s">
        <v>22</v>
      </c>
      <c r="E75" t="s">
        <v>17</v>
      </c>
      <c r="F75">
        <v>2</v>
      </c>
      <c r="G75">
        <v>546.59</v>
      </c>
      <c r="H75">
        <v>0.1</v>
      </c>
      <c r="I75" t="s">
        <v>16</v>
      </c>
      <c r="J75">
        <v>10</v>
      </c>
      <c r="K75">
        <v>2.2999999999999998</v>
      </c>
      <c r="L75">
        <v>983.86</v>
      </c>
      <c r="M75">
        <f>(Table1[[#This Row],[unit_price]]*Table1[[#This Row],[quantity]])-(Table1[[#This Row],[unit_price]]*Table1[[#This Row],[discount]]*Table1[[#This Row],[quantity]])</f>
        <v>983.86200000000008</v>
      </c>
      <c r="N75">
        <f>DAY(Table1[[#This Row],[order_date]])</f>
        <v>15</v>
      </c>
      <c r="O75" t="str">
        <f>TEXT(Table1[[#This Row],[order_date]],"mmm")</f>
        <v>Mar</v>
      </c>
      <c r="P75">
        <f>YEAR(Table1[[#This Row],[order_date]])</f>
        <v>2022</v>
      </c>
    </row>
    <row r="76" spans="1:16" x14ac:dyDescent="0.3">
      <c r="A76">
        <v>10075</v>
      </c>
      <c r="B76" s="1">
        <v>44636</v>
      </c>
      <c r="C76">
        <v>1339</v>
      </c>
      <c r="D76" t="s">
        <v>15</v>
      </c>
      <c r="E76" t="s">
        <v>20</v>
      </c>
      <c r="F76">
        <v>1</v>
      </c>
      <c r="G76">
        <v>318.27</v>
      </c>
      <c r="H76">
        <v>0.3</v>
      </c>
      <c r="I76" t="s">
        <v>18</v>
      </c>
      <c r="J76">
        <v>11</v>
      </c>
      <c r="K76">
        <v>3</v>
      </c>
      <c r="L76">
        <v>222.79</v>
      </c>
      <c r="M76">
        <f>(Table1[[#This Row],[unit_price]]*Table1[[#This Row],[quantity]])-(Table1[[#This Row],[unit_price]]*Table1[[#This Row],[discount]]*Table1[[#This Row],[quantity]])</f>
        <v>222.78899999999999</v>
      </c>
      <c r="N76">
        <f>DAY(Table1[[#This Row],[order_date]])</f>
        <v>16</v>
      </c>
      <c r="O76" t="str">
        <f>TEXT(Table1[[#This Row],[order_date]],"mmm")</f>
        <v>Mar</v>
      </c>
      <c r="P76">
        <f>YEAR(Table1[[#This Row],[order_date]])</f>
        <v>2022</v>
      </c>
    </row>
    <row r="77" spans="1:16" x14ac:dyDescent="0.3">
      <c r="A77">
        <v>10076</v>
      </c>
      <c r="B77" s="1">
        <v>44637</v>
      </c>
      <c r="C77">
        <v>1091</v>
      </c>
      <c r="D77" t="s">
        <v>19</v>
      </c>
      <c r="E77" t="s">
        <v>17</v>
      </c>
      <c r="F77">
        <v>6</v>
      </c>
      <c r="G77">
        <v>58.84</v>
      </c>
      <c r="H77">
        <v>0.01</v>
      </c>
      <c r="I77" t="s">
        <v>16</v>
      </c>
      <c r="J77">
        <v>6</v>
      </c>
      <c r="K77">
        <v>4</v>
      </c>
      <c r="L77">
        <v>349.51</v>
      </c>
      <c r="M77">
        <f>(Table1[[#This Row],[unit_price]]*Table1[[#This Row],[quantity]])-(Table1[[#This Row],[unit_price]]*Table1[[#This Row],[discount]]*Table1[[#This Row],[quantity]])</f>
        <v>349.50960000000003</v>
      </c>
      <c r="N77">
        <f>DAY(Table1[[#This Row],[order_date]])</f>
        <v>17</v>
      </c>
      <c r="O77" t="str">
        <f>TEXT(Table1[[#This Row],[order_date]],"mmm")</f>
        <v>Mar</v>
      </c>
      <c r="P77">
        <f>YEAR(Table1[[#This Row],[order_date]])</f>
        <v>2022</v>
      </c>
    </row>
    <row r="78" spans="1:16" x14ac:dyDescent="0.3">
      <c r="A78">
        <v>10077</v>
      </c>
      <c r="B78" s="1">
        <v>44638</v>
      </c>
      <c r="C78">
        <v>1366</v>
      </c>
      <c r="D78" t="s">
        <v>15</v>
      </c>
      <c r="E78" t="s">
        <v>20</v>
      </c>
      <c r="F78">
        <v>1</v>
      </c>
      <c r="G78">
        <v>79.510000000000005</v>
      </c>
      <c r="H78">
        <v>0.19</v>
      </c>
      <c r="I78" t="s">
        <v>16</v>
      </c>
      <c r="J78">
        <v>10</v>
      </c>
      <c r="K78">
        <v>2.6</v>
      </c>
      <c r="L78">
        <v>64.400000000000006</v>
      </c>
      <c r="M78">
        <f>(Table1[[#This Row],[unit_price]]*Table1[[#This Row],[quantity]])-(Table1[[#This Row],[unit_price]]*Table1[[#This Row],[discount]]*Table1[[#This Row],[quantity]])</f>
        <v>64.403100000000009</v>
      </c>
      <c r="N78">
        <f>DAY(Table1[[#This Row],[order_date]])</f>
        <v>18</v>
      </c>
      <c r="O78" t="str">
        <f>TEXT(Table1[[#This Row],[order_date]],"mmm")</f>
        <v>Mar</v>
      </c>
      <c r="P78">
        <f>YEAR(Table1[[#This Row],[order_date]])</f>
        <v>2022</v>
      </c>
    </row>
    <row r="79" spans="1:16" x14ac:dyDescent="0.3">
      <c r="A79">
        <v>10078</v>
      </c>
      <c r="B79" s="1">
        <v>44639</v>
      </c>
      <c r="C79">
        <v>1955</v>
      </c>
      <c r="D79" t="s">
        <v>12</v>
      </c>
      <c r="E79" t="s">
        <v>17</v>
      </c>
      <c r="F79">
        <v>5</v>
      </c>
      <c r="G79">
        <v>239.35</v>
      </c>
      <c r="H79">
        <v>0.25</v>
      </c>
      <c r="I79" t="s">
        <v>16</v>
      </c>
      <c r="J79">
        <v>3</v>
      </c>
      <c r="K79">
        <v>1.5</v>
      </c>
      <c r="L79">
        <v>897.56</v>
      </c>
      <c r="M79">
        <f>(Table1[[#This Row],[unit_price]]*Table1[[#This Row],[quantity]])-(Table1[[#This Row],[unit_price]]*Table1[[#This Row],[discount]]*Table1[[#This Row],[quantity]])</f>
        <v>897.5625</v>
      </c>
      <c r="N79">
        <f>DAY(Table1[[#This Row],[order_date]])</f>
        <v>19</v>
      </c>
      <c r="O79" t="str">
        <f>TEXT(Table1[[#This Row],[order_date]],"mmm")</f>
        <v>Mar</v>
      </c>
      <c r="P79">
        <f>YEAR(Table1[[#This Row],[order_date]])</f>
        <v>2022</v>
      </c>
    </row>
    <row r="80" spans="1:16" x14ac:dyDescent="0.3">
      <c r="A80">
        <v>10079</v>
      </c>
      <c r="B80" s="1">
        <v>44640</v>
      </c>
      <c r="C80">
        <v>1454</v>
      </c>
      <c r="D80" t="s">
        <v>15</v>
      </c>
      <c r="E80" t="s">
        <v>13</v>
      </c>
      <c r="F80">
        <v>3</v>
      </c>
      <c r="G80">
        <v>565.04</v>
      </c>
      <c r="H80">
        <v>0.22</v>
      </c>
      <c r="I80" t="s">
        <v>16</v>
      </c>
      <c r="J80">
        <v>10</v>
      </c>
      <c r="K80">
        <v>3.7</v>
      </c>
      <c r="L80">
        <v>1322.19</v>
      </c>
      <c r="M80">
        <f>(Table1[[#This Row],[unit_price]]*Table1[[#This Row],[quantity]])-(Table1[[#This Row],[unit_price]]*Table1[[#This Row],[discount]]*Table1[[#This Row],[quantity]])</f>
        <v>1322.1936000000001</v>
      </c>
      <c r="N80">
        <f>DAY(Table1[[#This Row],[order_date]])</f>
        <v>20</v>
      </c>
      <c r="O80" t="str">
        <f>TEXT(Table1[[#This Row],[order_date]],"mmm")</f>
        <v>Mar</v>
      </c>
      <c r="P80">
        <f>YEAR(Table1[[#This Row],[order_date]])</f>
        <v>2022</v>
      </c>
    </row>
    <row r="81" spans="1:16" x14ac:dyDescent="0.3">
      <c r="A81">
        <v>10080</v>
      </c>
      <c r="B81" s="1">
        <v>44641</v>
      </c>
      <c r="C81">
        <v>1427</v>
      </c>
      <c r="D81" t="s">
        <v>15</v>
      </c>
      <c r="E81" t="s">
        <v>21</v>
      </c>
      <c r="F81">
        <v>6</v>
      </c>
      <c r="G81">
        <v>420.35</v>
      </c>
      <c r="H81">
        <v>0.27</v>
      </c>
      <c r="I81" t="s">
        <v>14</v>
      </c>
      <c r="J81">
        <v>6</v>
      </c>
      <c r="K81">
        <v>4.3</v>
      </c>
      <c r="L81">
        <v>1841.13</v>
      </c>
      <c r="M81">
        <f>(Table1[[#This Row],[unit_price]]*Table1[[#This Row],[quantity]])-(Table1[[#This Row],[unit_price]]*Table1[[#This Row],[discount]]*Table1[[#This Row],[quantity]])</f>
        <v>1841.1330000000003</v>
      </c>
      <c r="N81">
        <f>DAY(Table1[[#This Row],[order_date]])</f>
        <v>21</v>
      </c>
      <c r="O81" t="str">
        <f>TEXT(Table1[[#This Row],[order_date]],"mmm")</f>
        <v>Mar</v>
      </c>
      <c r="P81">
        <f>YEAR(Table1[[#This Row],[order_date]])</f>
        <v>2022</v>
      </c>
    </row>
    <row r="82" spans="1:16" x14ac:dyDescent="0.3">
      <c r="A82">
        <v>10081</v>
      </c>
      <c r="B82" s="1">
        <v>44642</v>
      </c>
      <c r="C82">
        <v>1508</v>
      </c>
      <c r="D82" t="s">
        <v>15</v>
      </c>
      <c r="E82" t="s">
        <v>17</v>
      </c>
      <c r="F82">
        <v>7</v>
      </c>
      <c r="G82">
        <v>522.55999999999995</v>
      </c>
      <c r="H82">
        <v>0.25</v>
      </c>
      <c r="I82" t="s">
        <v>14</v>
      </c>
      <c r="J82">
        <v>7</v>
      </c>
      <c r="K82">
        <v>1.1000000000000001</v>
      </c>
      <c r="L82">
        <v>2743.44</v>
      </c>
      <c r="M82">
        <f>(Table1[[#This Row],[unit_price]]*Table1[[#This Row],[quantity]])-(Table1[[#This Row],[unit_price]]*Table1[[#This Row],[discount]]*Table1[[#This Row],[quantity]])</f>
        <v>2743.4399999999996</v>
      </c>
      <c r="N82">
        <f>DAY(Table1[[#This Row],[order_date]])</f>
        <v>22</v>
      </c>
      <c r="O82" t="str">
        <f>TEXT(Table1[[#This Row],[order_date]],"mmm")</f>
        <v>Mar</v>
      </c>
      <c r="P82">
        <f>YEAR(Table1[[#This Row],[order_date]])</f>
        <v>2022</v>
      </c>
    </row>
    <row r="83" spans="1:16" x14ac:dyDescent="0.3">
      <c r="A83">
        <v>10082</v>
      </c>
      <c r="B83" s="1">
        <v>44643</v>
      </c>
      <c r="C83">
        <v>1775</v>
      </c>
      <c r="D83" t="s">
        <v>19</v>
      </c>
      <c r="E83" t="s">
        <v>13</v>
      </c>
      <c r="F83">
        <v>7</v>
      </c>
      <c r="G83">
        <v>229.38</v>
      </c>
      <c r="H83">
        <v>0.24</v>
      </c>
      <c r="I83" t="s">
        <v>18</v>
      </c>
      <c r="J83">
        <v>11</v>
      </c>
      <c r="K83">
        <v>3.3</v>
      </c>
      <c r="L83">
        <v>1220.3</v>
      </c>
      <c r="M83">
        <f>(Table1[[#This Row],[unit_price]]*Table1[[#This Row],[quantity]])-(Table1[[#This Row],[unit_price]]*Table1[[#This Row],[discount]]*Table1[[#This Row],[quantity]])</f>
        <v>1220.3015999999998</v>
      </c>
      <c r="N83">
        <f>DAY(Table1[[#This Row],[order_date]])</f>
        <v>23</v>
      </c>
      <c r="O83" t="str">
        <f>TEXT(Table1[[#This Row],[order_date]],"mmm")</f>
        <v>Mar</v>
      </c>
      <c r="P83">
        <f>YEAR(Table1[[#This Row],[order_date]])</f>
        <v>2022</v>
      </c>
    </row>
    <row r="84" spans="1:16" x14ac:dyDescent="0.3">
      <c r="A84">
        <v>10083</v>
      </c>
      <c r="B84" s="1">
        <v>44644</v>
      </c>
      <c r="C84">
        <v>1942</v>
      </c>
      <c r="D84" t="s">
        <v>15</v>
      </c>
      <c r="E84" t="s">
        <v>17</v>
      </c>
      <c r="F84">
        <v>3</v>
      </c>
      <c r="G84">
        <v>40.28</v>
      </c>
      <c r="H84">
        <v>0.28999999999999998</v>
      </c>
      <c r="I84" t="s">
        <v>16</v>
      </c>
      <c r="J84">
        <v>1</v>
      </c>
      <c r="K84">
        <v>2.9</v>
      </c>
      <c r="L84">
        <v>85.8</v>
      </c>
      <c r="M84">
        <f>(Table1[[#This Row],[unit_price]]*Table1[[#This Row],[quantity]])-(Table1[[#This Row],[unit_price]]*Table1[[#This Row],[discount]]*Table1[[#This Row],[quantity]])</f>
        <v>85.796400000000006</v>
      </c>
      <c r="N84">
        <f>DAY(Table1[[#This Row],[order_date]])</f>
        <v>24</v>
      </c>
      <c r="O84" t="str">
        <f>TEXT(Table1[[#This Row],[order_date]],"mmm")</f>
        <v>Mar</v>
      </c>
      <c r="P84">
        <f>YEAR(Table1[[#This Row],[order_date]])</f>
        <v>2022</v>
      </c>
    </row>
    <row r="85" spans="1:16" x14ac:dyDescent="0.3">
      <c r="A85">
        <v>10084</v>
      </c>
      <c r="B85" s="1">
        <v>44645</v>
      </c>
      <c r="C85">
        <v>1034</v>
      </c>
      <c r="D85" t="s">
        <v>15</v>
      </c>
      <c r="E85" t="s">
        <v>21</v>
      </c>
      <c r="F85">
        <v>1</v>
      </c>
      <c r="G85">
        <v>584.98</v>
      </c>
      <c r="H85">
        <v>0.23</v>
      </c>
      <c r="I85" t="s">
        <v>18</v>
      </c>
      <c r="J85">
        <v>6</v>
      </c>
      <c r="K85">
        <v>2</v>
      </c>
      <c r="L85">
        <v>450.43</v>
      </c>
      <c r="M85">
        <f>(Table1[[#This Row],[unit_price]]*Table1[[#This Row],[quantity]])-(Table1[[#This Row],[unit_price]]*Table1[[#This Row],[discount]]*Table1[[#This Row],[quantity]])</f>
        <v>450.43460000000005</v>
      </c>
      <c r="N85">
        <f>DAY(Table1[[#This Row],[order_date]])</f>
        <v>25</v>
      </c>
      <c r="O85" t="str">
        <f>TEXT(Table1[[#This Row],[order_date]],"mmm")</f>
        <v>Mar</v>
      </c>
      <c r="P85">
        <f>YEAR(Table1[[#This Row],[order_date]])</f>
        <v>2022</v>
      </c>
    </row>
    <row r="86" spans="1:16" x14ac:dyDescent="0.3">
      <c r="A86">
        <v>10085</v>
      </c>
      <c r="B86" s="1">
        <v>44646</v>
      </c>
      <c r="C86">
        <v>1205</v>
      </c>
      <c r="D86" t="s">
        <v>19</v>
      </c>
      <c r="E86" t="s">
        <v>17</v>
      </c>
      <c r="F86">
        <v>6</v>
      </c>
      <c r="G86">
        <v>25.05</v>
      </c>
      <c r="H86">
        <v>0.14000000000000001</v>
      </c>
      <c r="I86" t="s">
        <v>16</v>
      </c>
      <c r="J86">
        <v>10</v>
      </c>
      <c r="K86">
        <v>1.6</v>
      </c>
      <c r="L86">
        <v>129.26</v>
      </c>
      <c r="M86">
        <f>(Table1[[#This Row],[unit_price]]*Table1[[#This Row],[quantity]])-(Table1[[#This Row],[unit_price]]*Table1[[#This Row],[discount]]*Table1[[#This Row],[quantity]])</f>
        <v>129.25800000000001</v>
      </c>
      <c r="N86">
        <f>DAY(Table1[[#This Row],[order_date]])</f>
        <v>26</v>
      </c>
      <c r="O86" t="str">
        <f>TEXT(Table1[[#This Row],[order_date]],"mmm")</f>
        <v>Mar</v>
      </c>
      <c r="P86">
        <f>YEAR(Table1[[#This Row],[order_date]])</f>
        <v>2022</v>
      </c>
    </row>
    <row r="87" spans="1:16" x14ac:dyDescent="0.3">
      <c r="A87">
        <v>10086</v>
      </c>
      <c r="B87" s="1">
        <v>44647</v>
      </c>
      <c r="C87">
        <v>1080</v>
      </c>
      <c r="D87" t="s">
        <v>22</v>
      </c>
      <c r="E87" t="s">
        <v>20</v>
      </c>
      <c r="F87">
        <v>2</v>
      </c>
      <c r="G87">
        <v>569.38</v>
      </c>
      <c r="H87">
        <v>0.17</v>
      </c>
      <c r="I87" t="s">
        <v>16</v>
      </c>
      <c r="J87">
        <v>1</v>
      </c>
      <c r="K87">
        <v>1.8</v>
      </c>
      <c r="L87">
        <v>945.17</v>
      </c>
      <c r="M87">
        <f>(Table1[[#This Row],[unit_price]]*Table1[[#This Row],[quantity]])-(Table1[[#This Row],[unit_price]]*Table1[[#This Row],[discount]]*Table1[[#This Row],[quantity]])</f>
        <v>945.17079999999999</v>
      </c>
      <c r="N87">
        <f>DAY(Table1[[#This Row],[order_date]])</f>
        <v>27</v>
      </c>
      <c r="O87" t="str">
        <f>TEXT(Table1[[#This Row],[order_date]],"mmm")</f>
        <v>Mar</v>
      </c>
      <c r="P87">
        <f>YEAR(Table1[[#This Row],[order_date]])</f>
        <v>2022</v>
      </c>
    </row>
    <row r="88" spans="1:16" x14ac:dyDescent="0.3">
      <c r="A88">
        <v>10087</v>
      </c>
      <c r="B88" s="1">
        <v>44648</v>
      </c>
      <c r="C88">
        <v>1931</v>
      </c>
      <c r="D88" t="s">
        <v>15</v>
      </c>
      <c r="E88" t="s">
        <v>21</v>
      </c>
      <c r="F88">
        <v>7</v>
      </c>
      <c r="G88">
        <v>230.68</v>
      </c>
      <c r="H88">
        <v>0.25</v>
      </c>
      <c r="I88" t="s">
        <v>18</v>
      </c>
      <c r="J88">
        <v>7</v>
      </c>
      <c r="K88">
        <v>3.9</v>
      </c>
      <c r="L88">
        <v>1211.07</v>
      </c>
      <c r="M88">
        <f>(Table1[[#This Row],[unit_price]]*Table1[[#This Row],[quantity]])-(Table1[[#This Row],[unit_price]]*Table1[[#This Row],[discount]]*Table1[[#This Row],[quantity]])</f>
        <v>1211.07</v>
      </c>
      <c r="N88">
        <f>DAY(Table1[[#This Row],[order_date]])</f>
        <v>28</v>
      </c>
      <c r="O88" t="str">
        <f>TEXT(Table1[[#This Row],[order_date]],"mmm")</f>
        <v>Mar</v>
      </c>
      <c r="P88">
        <f>YEAR(Table1[[#This Row],[order_date]])</f>
        <v>2022</v>
      </c>
    </row>
    <row r="89" spans="1:16" x14ac:dyDescent="0.3">
      <c r="A89">
        <v>10088</v>
      </c>
      <c r="B89" s="1">
        <v>44649</v>
      </c>
      <c r="C89">
        <v>1561</v>
      </c>
      <c r="D89" t="s">
        <v>22</v>
      </c>
      <c r="E89" t="s">
        <v>20</v>
      </c>
      <c r="F89">
        <v>1</v>
      </c>
      <c r="G89">
        <v>20.9</v>
      </c>
      <c r="H89">
        <v>0.31</v>
      </c>
      <c r="I89" t="s">
        <v>18</v>
      </c>
      <c r="J89">
        <v>10</v>
      </c>
      <c r="K89">
        <v>3.1</v>
      </c>
      <c r="L89">
        <v>14.42</v>
      </c>
      <c r="M89">
        <f>(Table1[[#This Row],[unit_price]]*Table1[[#This Row],[quantity]])-(Table1[[#This Row],[unit_price]]*Table1[[#This Row],[discount]]*Table1[[#This Row],[quantity]])</f>
        <v>14.420999999999999</v>
      </c>
      <c r="N89">
        <f>DAY(Table1[[#This Row],[order_date]])</f>
        <v>29</v>
      </c>
      <c r="O89" t="str">
        <f>TEXT(Table1[[#This Row],[order_date]],"mmm")</f>
        <v>Mar</v>
      </c>
      <c r="P89">
        <f>YEAR(Table1[[#This Row],[order_date]])</f>
        <v>2022</v>
      </c>
    </row>
    <row r="90" spans="1:16" x14ac:dyDescent="0.3">
      <c r="A90">
        <v>10089</v>
      </c>
      <c r="B90" s="1">
        <v>44650</v>
      </c>
      <c r="C90">
        <v>1871</v>
      </c>
      <c r="D90" t="s">
        <v>12</v>
      </c>
      <c r="E90" t="s">
        <v>13</v>
      </c>
      <c r="F90">
        <v>2</v>
      </c>
      <c r="G90">
        <v>418.16</v>
      </c>
      <c r="H90">
        <v>0.1</v>
      </c>
      <c r="I90" t="s">
        <v>16</v>
      </c>
      <c r="J90">
        <v>5</v>
      </c>
      <c r="K90">
        <v>4.9000000000000004</v>
      </c>
      <c r="L90">
        <v>752.69</v>
      </c>
      <c r="M90">
        <f>(Table1[[#This Row],[unit_price]]*Table1[[#This Row],[quantity]])-(Table1[[#This Row],[unit_price]]*Table1[[#This Row],[discount]]*Table1[[#This Row],[quantity]])</f>
        <v>752.6880000000001</v>
      </c>
      <c r="N90">
        <f>DAY(Table1[[#This Row],[order_date]])</f>
        <v>30</v>
      </c>
      <c r="O90" t="str">
        <f>TEXT(Table1[[#This Row],[order_date]],"mmm")</f>
        <v>Mar</v>
      </c>
      <c r="P90">
        <f>YEAR(Table1[[#This Row],[order_date]])</f>
        <v>2022</v>
      </c>
    </row>
    <row r="91" spans="1:16" x14ac:dyDescent="0.3">
      <c r="A91">
        <v>10090</v>
      </c>
      <c r="B91" s="1">
        <v>44651</v>
      </c>
      <c r="C91">
        <v>1387</v>
      </c>
      <c r="D91" t="s">
        <v>19</v>
      </c>
      <c r="E91" t="s">
        <v>13</v>
      </c>
      <c r="F91">
        <v>6</v>
      </c>
      <c r="G91">
        <v>588.62</v>
      </c>
      <c r="H91">
        <v>0.12</v>
      </c>
      <c r="I91" t="s">
        <v>16</v>
      </c>
      <c r="J91">
        <v>10</v>
      </c>
      <c r="K91">
        <v>2</v>
      </c>
      <c r="L91">
        <v>3107.91</v>
      </c>
      <c r="M91">
        <f>(Table1[[#This Row],[unit_price]]*Table1[[#This Row],[quantity]])-(Table1[[#This Row],[unit_price]]*Table1[[#This Row],[discount]]*Table1[[#This Row],[quantity]])</f>
        <v>3107.9136000000003</v>
      </c>
      <c r="N91">
        <f>DAY(Table1[[#This Row],[order_date]])</f>
        <v>31</v>
      </c>
      <c r="O91" t="str">
        <f>TEXT(Table1[[#This Row],[order_date]],"mmm")</f>
        <v>Mar</v>
      </c>
      <c r="P91">
        <f>YEAR(Table1[[#This Row],[order_date]])</f>
        <v>2022</v>
      </c>
    </row>
    <row r="92" spans="1:16" x14ac:dyDescent="0.3">
      <c r="A92">
        <v>10091</v>
      </c>
      <c r="B92" s="1">
        <v>44652</v>
      </c>
      <c r="C92">
        <v>1001</v>
      </c>
      <c r="D92" t="s">
        <v>22</v>
      </c>
      <c r="E92" t="s">
        <v>17</v>
      </c>
      <c r="F92">
        <v>3</v>
      </c>
      <c r="G92">
        <v>579.89</v>
      </c>
      <c r="H92">
        <v>0.33</v>
      </c>
      <c r="I92" t="s">
        <v>14</v>
      </c>
      <c r="J92">
        <v>4</v>
      </c>
      <c r="K92">
        <v>4.8</v>
      </c>
      <c r="L92">
        <v>1165.58</v>
      </c>
      <c r="M92">
        <f>(Table1[[#This Row],[unit_price]]*Table1[[#This Row],[quantity]])-(Table1[[#This Row],[unit_price]]*Table1[[#This Row],[discount]]*Table1[[#This Row],[quantity]])</f>
        <v>1165.5789</v>
      </c>
      <c r="N92">
        <f>DAY(Table1[[#This Row],[order_date]])</f>
        <v>1</v>
      </c>
      <c r="O92" t="str">
        <f>TEXT(Table1[[#This Row],[order_date]],"mmm")</f>
        <v>Apr</v>
      </c>
      <c r="P92">
        <f>YEAR(Table1[[#This Row],[order_date]])</f>
        <v>2022</v>
      </c>
    </row>
    <row r="93" spans="1:16" x14ac:dyDescent="0.3">
      <c r="A93">
        <v>10092</v>
      </c>
      <c r="B93" s="1">
        <v>44653</v>
      </c>
      <c r="C93">
        <v>1389</v>
      </c>
      <c r="D93" t="s">
        <v>15</v>
      </c>
      <c r="E93" t="s">
        <v>20</v>
      </c>
      <c r="F93">
        <v>5</v>
      </c>
      <c r="G93">
        <v>109.15</v>
      </c>
      <c r="H93">
        <v>0.2</v>
      </c>
      <c r="I93" t="s">
        <v>16</v>
      </c>
      <c r="J93">
        <v>1</v>
      </c>
      <c r="K93">
        <v>3.1</v>
      </c>
      <c r="L93">
        <v>436.6</v>
      </c>
      <c r="M93">
        <f>(Table1[[#This Row],[unit_price]]*Table1[[#This Row],[quantity]])-(Table1[[#This Row],[unit_price]]*Table1[[#This Row],[discount]]*Table1[[#This Row],[quantity]])</f>
        <v>436.6</v>
      </c>
      <c r="N93">
        <f>DAY(Table1[[#This Row],[order_date]])</f>
        <v>2</v>
      </c>
      <c r="O93" t="str">
        <f>TEXT(Table1[[#This Row],[order_date]],"mmm")</f>
        <v>Apr</v>
      </c>
      <c r="P93">
        <f>YEAR(Table1[[#This Row],[order_date]])</f>
        <v>2022</v>
      </c>
    </row>
    <row r="94" spans="1:16" x14ac:dyDescent="0.3">
      <c r="A94">
        <v>10093</v>
      </c>
      <c r="B94" s="1">
        <v>44654</v>
      </c>
      <c r="C94">
        <v>1565</v>
      </c>
      <c r="D94" t="s">
        <v>12</v>
      </c>
      <c r="E94" t="s">
        <v>20</v>
      </c>
      <c r="F94">
        <v>4</v>
      </c>
      <c r="G94">
        <v>121.03</v>
      </c>
      <c r="H94">
        <v>0.06</v>
      </c>
      <c r="I94" t="s">
        <v>14</v>
      </c>
      <c r="J94">
        <v>9</v>
      </c>
      <c r="K94">
        <v>1.6</v>
      </c>
      <c r="L94">
        <v>455.07</v>
      </c>
      <c r="M94">
        <f>(Table1[[#This Row],[unit_price]]*Table1[[#This Row],[quantity]])-(Table1[[#This Row],[unit_price]]*Table1[[#This Row],[discount]]*Table1[[#This Row],[quantity]])</f>
        <v>455.07280000000003</v>
      </c>
      <c r="N94">
        <f>DAY(Table1[[#This Row],[order_date]])</f>
        <v>3</v>
      </c>
      <c r="O94" t="str">
        <f>TEXT(Table1[[#This Row],[order_date]],"mmm")</f>
        <v>Apr</v>
      </c>
      <c r="P94">
        <f>YEAR(Table1[[#This Row],[order_date]])</f>
        <v>2022</v>
      </c>
    </row>
    <row r="95" spans="1:16" x14ac:dyDescent="0.3">
      <c r="A95">
        <v>10094</v>
      </c>
      <c r="B95" s="1">
        <v>44655</v>
      </c>
      <c r="C95">
        <v>1105</v>
      </c>
      <c r="D95" t="s">
        <v>19</v>
      </c>
      <c r="E95" t="s">
        <v>21</v>
      </c>
      <c r="F95">
        <v>3</v>
      </c>
      <c r="G95">
        <v>345.84</v>
      </c>
      <c r="H95">
        <v>0.23</v>
      </c>
      <c r="I95" t="s">
        <v>14</v>
      </c>
      <c r="J95">
        <v>7</v>
      </c>
      <c r="K95">
        <v>1.6</v>
      </c>
      <c r="L95">
        <v>798.89</v>
      </c>
      <c r="M95">
        <f>(Table1[[#This Row],[unit_price]]*Table1[[#This Row],[quantity]])-(Table1[[#This Row],[unit_price]]*Table1[[#This Row],[discount]]*Table1[[#This Row],[quantity]])</f>
        <v>798.8904</v>
      </c>
      <c r="N95">
        <f>DAY(Table1[[#This Row],[order_date]])</f>
        <v>4</v>
      </c>
      <c r="O95" t="str">
        <f>TEXT(Table1[[#This Row],[order_date]],"mmm")</f>
        <v>Apr</v>
      </c>
      <c r="P95">
        <f>YEAR(Table1[[#This Row],[order_date]])</f>
        <v>2022</v>
      </c>
    </row>
    <row r="96" spans="1:16" x14ac:dyDescent="0.3">
      <c r="A96">
        <v>10095</v>
      </c>
      <c r="B96" s="1">
        <v>44656</v>
      </c>
      <c r="C96">
        <v>1771</v>
      </c>
      <c r="D96" t="s">
        <v>22</v>
      </c>
      <c r="E96" t="s">
        <v>20</v>
      </c>
      <c r="F96">
        <v>2</v>
      </c>
      <c r="G96">
        <v>387.82</v>
      </c>
      <c r="H96">
        <v>0.35</v>
      </c>
      <c r="I96" t="s">
        <v>18</v>
      </c>
      <c r="J96">
        <v>2</v>
      </c>
      <c r="K96">
        <v>3.4</v>
      </c>
      <c r="L96">
        <v>504.17</v>
      </c>
      <c r="M96">
        <f>(Table1[[#This Row],[unit_price]]*Table1[[#This Row],[quantity]])-(Table1[[#This Row],[unit_price]]*Table1[[#This Row],[discount]]*Table1[[#This Row],[quantity]])</f>
        <v>504.166</v>
      </c>
      <c r="N96">
        <f>DAY(Table1[[#This Row],[order_date]])</f>
        <v>5</v>
      </c>
      <c r="O96" t="str">
        <f>TEXT(Table1[[#This Row],[order_date]],"mmm")</f>
        <v>Apr</v>
      </c>
      <c r="P96">
        <f>YEAR(Table1[[#This Row],[order_date]])</f>
        <v>2022</v>
      </c>
    </row>
    <row r="97" spans="1:16" x14ac:dyDescent="0.3">
      <c r="A97">
        <v>10096</v>
      </c>
      <c r="B97" s="1">
        <v>44657</v>
      </c>
      <c r="C97">
        <v>1821</v>
      </c>
      <c r="D97" t="s">
        <v>15</v>
      </c>
      <c r="E97" t="s">
        <v>20</v>
      </c>
      <c r="F97">
        <v>1</v>
      </c>
      <c r="G97">
        <v>447.56</v>
      </c>
      <c r="H97">
        <v>0.28999999999999998</v>
      </c>
      <c r="I97" t="s">
        <v>16</v>
      </c>
      <c r="J97">
        <v>4</v>
      </c>
      <c r="K97">
        <v>4.3</v>
      </c>
      <c r="L97">
        <v>317.77</v>
      </c>
      <c r="M97">
        <f>(Table1[[#This Row],[unit_price]]*Table1[[#This Row],[quantity]])-(Table1[[#This Row],[unit_price]]*Table1[[#This Row],[discount]]*Table1[[#This Row],[quantity]])</f>
        <v>317.76760000000002</v>
      </c>
      <c r="N97">
        <f>DAY(Table1[[#This Row],[order_date]])</f>
        <v>6</v>
      </c>
      <c r="O97" t="str">
        <f>TEXT(Table1[[#This Row],[order_date]],"mmm")</f>
        <v>Apr</v>
      </c>
      <c r="P97">
        <f>YEAR(Table1[[#This Row],[order_date]])</f>
        <v>2022</v>
      </c>
    </row>
    <row r="98" spans="1:16" x14ac:dyDescent="0.3">
      <c r="A98">
        <v>10097</v>
      </c>
      <c r="B98" s="1">
        <v>44658</v>
      </c>
      <c r="C98">
        <v>1476</v>
      </c>
      <c r="D98" t="s">
        <v>19</v>
      </c>
      <c r="E98" t="s">
        <v>21</v>
      </c>
      <c r="F98">
        <v>7</v>
      </c>
      <c r="G98">
        <v>120.91</v>
      </c>
      <c r="H98">
        <v>0.26</v>
      </c>
      <c r="I98" t="s">
        <v>18</v>
      </c>
      <c r="J98">
        <v>4</v>
      </c>
      <c r="K98">
        <v>4</v>
      </c>
      <c r="L98">
        <v>626.30999999999995</v>
      </c>
      <c r="M98">
        <f>(Table1[[#This Row],[unit_price]]*Table1[[#This Row],[quantity]])-(Table1[[#This Row],[unit_price]]*Table1[[#This Row],[discount]]*Table1[[#This Row],[quantity]])</f>
        <v>626.31380000000001</v>
      </c>
      <c r="N98">
        <f>DAY(Table1[[#This Row],[order_date]])</f>
        <v>7</v>
      </c>
      <c r="O98" t="str">
        <f>TEXT(Table1[[#This Row],[order_date]],"mmm")</f>
        <v>Apr</v>
      </c>
      <c r="P98">
        <f>YEAR(Table1[[#This Row],[order_date]])</f>
        <v>2022</v>
      </c>
    </row>
    <row r="99" spans="1:16" x14ac:dyDescent="0.3">
      <c r="A99">
        <v>10098</v>
      </c>
      <c r="B99" s="1">
        <v>44659</v>
      </c>
      <c r="C99">
        <v>1702</v>
      </c>
      <c r="D99" t="s">
        <v>19</v>
      </c>
      <c r="E99" t="s">
        <v>21</v>
      </c>
      <c r="F99">
        <v>6</v>
      </c>
      <c r="G99">
        <v>576.02</v>
      </c>
      <c r="H99">
        <v>7.0000000000000007E-2</v>
      </c>
      <c r="I99" t="s">
        <v>16</v>
      </c>
      <c r="J99">
        <v>8</v>
      </c>
      <c r="K99">
        <v>3.6</v>
      </c>
      <c r="L99">
        <v>3214.19</v>
      </c>
      <c r="M99">
        <f>(Table1[[#This Row],[unit_price]]*Table1[[#This Row],[quantity]])-(Table1[[#This Row],[unit_price]]*Table1[[#This Row],[discount]]*Table1[[#This Row],[quantity]])</f>
        <v>3214.1916000000001</v>
      </c>
      <c r="N99">
        <f>DAY(Table1[[#This Row],[order_date]])</f>
        <v>8</v>
      </c>
      <c r="O99" t="str">
        <f>TEXT(Table1[[#This Row],[order_date]],"mmm")</f>
        <v>Apr</v>
      </c>
      <c r="P99">
        <f>YEAR(Table1[[#This Row],[order_date]])</f>
        <v>2022</v>
      </c>
    </row>
    <row r="100" spans="1:16" x14ac:dyDescent="0.3">
      <c r="A100">
        <v>10099</v>
      </c>
      <c r="B100" s="1">
        <v>44660</v>
      </c>
      <c r="C100">
        <v>1401</v>
      </c>
      <c r="D100" t="s">
        <v>22</v>
      </c>
      <c r="E100" t="s">
        <v>20</v>
      </c>
      <c r="F100">
        <v>3</v>
      </c>
      <c r="G100">
        <v>388.66</v>
      </c>
      <c r="H100">
        <v>0.31</v>
      </c>
      <c r="I100" t="s">
        <v>16</v>
      </c>
      <c r="J100">
        <v>2</v>
      </c>
      <c r="K100">
        <v>1.7</v>
      </c>
      <c r="L100">
        <v>804.53</v>
      </c>
      <c r="M100">
        <f>(Table1[[#This Row],[unit_price]]*Table1[[#This Row],[quantity]])-(Table1[[#This Row],[unit_price]]*Table1[[#This Row],[discount]]*Table1[[#This Row],[quantity]])</f>
        <v>804.52620000000002</v>
      </c>
      <c r="N100">
        <f>DAY(Table1[[#This Row],[order_date]])</f>
        <v>9</v>
      </c>
      <c r="O100" t="str">
        <f>TEXT(Table1[[#This Row],[order_date]],"mmm")</f>
        <v>Apr</v>
      </c>
      <c r="P100">
        <f>YEAR(Table1[[#This Row],[order_date]])</f>
        <v>2022</v>
      </c>
    </row>
    <row r="101" spans="1:16" x14ac:dyDescent="0.3">
      <c r="A101">
        <v>10100</v>
      </c>
      <c r="B101" s="1">
        <v>44661</v>
      </c>
      <c r="C101">
        <v>1729</v>
      </c>
      <c r="D101" t="s">
        <v>22</v>
      </c>
      <c r="E101" t="s">
        <v>17</v>
      </c>
      <c r="F101">
        <v>7</v>
      </c>
      <c r="G101">
        <v>510.52</v>
      </c>
      <c r="H101">
        <v>0.18</v>
      </c>
      <c r="I101" t="s">
        <v>18</v>
      </c>
      <c r="J101">
        <v>11</v>
      </c>
      <c r="K101">
        <v>1.4</v>
      </c>
      <c r="L101">
        <v>2930.38</v>
      </c>
      <c r="M101">
        <f>(Table1[[#This Row],[unit_price]]*Table1[[#This Row],[quantity]])-(Table1[[#This Row],[unit_price]]*Table1[[#This Row],[discount]]*Table1[[#This Row],[quantity]])</f>
        <v>2930.3847999999998</v>
      </c>
      <c r="N101">
        <f>DAY(Table1[[#This Row],[order_date]])</f>
        <v>10</v>
      </c>
      <c r="O101" t="str">
        <f>TEXT(Table1[[#This Row],[order_date]],"mmm")</f>
        <v>Apr</v>
      </c>
      <c r="P101">
        <f>YEAR(Table1[[#This Row],[order_date]])</f>
        <v>2022</v>
      </c>
    </row>
    <row r="102" spans="1:16" x14ac:dyDescent="0.3">
      <c r="A102">
        <v>10101</v>
      </c>
      <c r="B102" s="1">
        <v>44662</v>
      </c>
      <c r="C102">
        <v>1555</v>
      </c>
      <c r="D102" t="s">
        <v>19</v>
      </c>
      <c r="E102" t="s">
        <v>21</v>
      </c>
      <c r="F102">
        <v>7</v>
      </c>
      <c r="G102">
        <v>330.94</v>
      </c>
      <c r="H102">
        <v>0.31</v>
      </c>
      <c r="I102" t="s">
        <v>16</v>
      </c>
      <c r="J102">
        <v>5</v>
      </c>
      <c r="K102">
        <v>1</v>
      </c>
      <c r="L102">
        <v>1598.44</v>
      </c>
      <c r="M102">
        <f>(Table1[[#This Row],[unit_price]]*Table1[[#This Row],[quantity]])-(Table1[[#This Row],[unit_price]]*Table1[[#This Row],[discount]]*Table1[[#This Row],[quantity]])</f>
        <v>1598.4402</v>
      </c>
      <c r="N102">
        <f>DAY(Table1[[#This Row],[order_date]])</f>
        <v>11</v>
      </c>
      <c r="O102" t="str">
        <f>TEXT(Table1[[#This Row],[order_date]],"mmm")</f>
        <v>Apr</v>
      </c>
      <c r="P102">
        <f>YEAR(Table1[[#This Row],[order_date]])</f>
        <v>2022</v>
      </c>
    </row>
    <row r="103" spans="1:16" x14ac:dyDescent="0.3">
      <c r="A103">
        <v>10102</v>
      </c>
      <c r="B103" s="1">
        <v>44663</v>
      </c>
      <c r="C103">
        <v>1161</v>
      </c>
      <c r="D103" t="s">
        <v>15</v>
      </c>
      <c r="E103" t="s">
        <v>21</v>
      </c>
      <c r="F103">
        <v>5</v>
      </c>
      <c r="G103">
        <v>257.35000000000002</v>
      </c>
      <c r="H103">
        <v>0.12</v>
      </c>
      <c r="I103" t="s">
        <v>16</v>
      </c>
      <c r="J103">
        <v>10</v>
      </c>
      <c r="K103">
        <v>1.4</v>
      </c>
      <c r="L103">
        <v>1132.3399999999999</v>
      </c>
      <c r="M103">
        <f>(Table1[[#This Row],[unit_price]]*Table1[[#This Row],[quantity]])-(Table1[[#This Row],[unit_price]]*Table1[[#This Row],[discount]]*Table1[[#This Row],[quantity]])</f>
        <v>1132.3399999999999</v>
      </c>
      <c r="N103">
        <f>DAY(Table1[[#This Row],[order_date]])</f>
        <v>12</v>
      </c>
      <c r="O103" t="str">
        <f>TEXT(Table1[[#This Row],[order_date]],"mmm")</f>
        <v>Apr</v>
      </c>
      <c r="P103">
        <f>YEAR(Table1[[#This Row],[order_date]])</f>
        <v>2022</v>
      </c>
    </row>
    <row r="104" spans="1:16" x14ac:dyDescent="0.3">
      <c r="A104">
        <v>10103</v>
      </c>
      <c r="B104" s="1">
        <v>44664</v>
      </c>
      <c r="C104">
        <v>1201</v>
      </c>
      <c r="D104" t="s">
        <v>15</v>
      </c>
      <c r="E104" t="s">
        <v>20</v>
      </c>
      <c r="F104">
        <v>6</v>
      </c>
      <c r="G104">
        <v>586.65</v>
      </c>
      <c r="H104">
        <v>0.02</v>
      </c>
      <c r="I104" t="s">
        <v>18</v>
      </c>
      <c r="J104">
        <v>8</v>
      </c>
      <c r="K104">
        <v>4.0999999999999996</v>
      </c>
      <c r="L104">
        <v>3449.5</v>
      </c>
      <c r="M104">
        <f>(Table1[[#This Row],[unit_price]]*Table1[[#This Row],[quantity]])-(Table1[[#This Row],[unit_price]]*Table1[[#This Row],[discount]]*Table1[[#This Row],[quantity]])</f>
        <v>3449.5019999999995</v>
      </c>
      <c r="N104">
        <f>DAY(Table1[[#This Row],[order_date]])</f>
        <v>13</v>
      </c>
      <c r="O104" t="str">
        <f>TEXT(Table1[[#This Row],[order_date]],"mmm")</f>
        <v>Apr</v>
      </c>
      <c r="P104">
        <f>YEAR(Table1[[#This Row],[order_date]])</f>
        <v>2022</v>
      </c>
    </row>
    <row r="105" spans="1:16" x14ac:dyDescent="0.3">
      <c r="A105">
        <v>10104</v>
      </c>
      <c r="B105" s="1">
        <v>44665</v>
      </c>
      <c r="C105">
        <v>1957</v>
      </c>
      <c r="D105" t="s">
        <v>22</v>
      </c>
      <c r="E105" t="s">
        <v>20</v>
      </c>
      <c r="F105">
        <v>2</v>
      </c>
      <c r="G105">
        <v>355.54</v>
      </c>
      <c r="H105">
        <v>0.17</v>
      </c>
      <c r="I105" t="s">
        <v>18</v>
      </c>
      <c r="J105">
        <v>6</v>
      </c>
      <c r="K105">
        <v>4.5999999999999996</v>
      </c>
      <c r="L105">
        <v>590.20000000000005</v>
      </c>
      <c r="M105">
        <f>(Table1[[#This Row],[unit_price]]*Table1[[#This Row],[quantity]])-(Table1[[#This Row],[unit_price]]*Table1[[#This Row],[discount]]*Table1[[#This Row],[quantity]])</f>
        <v>590.19640000000004</v>
      </c>
      <c r="N105">
        <f>DAY(Table1[[#This Row],[order_date]])</f>
        <v>14</v>
      </c>
      <c r="O105" t="str">
        <f>TEXT(Table1[[#This Row],[order_date]],"mmm")</f>
        <v>Apr</v>
      </c>
      <c r="P105">
        <f>YEAR(Table1[[#This Row],[order_date]])</f>
        <v>2022</v>
      </c>
    </row>
    <row r="106" spans="1:16" x14ac:dyDescent="0.3">
      <c r="A106">
        <v>10105</v>
      </c>
      <c r="B106" s="1">
        <v>44666</v>
      </c>
      <c r="C106">
        <v>1995</v>
      </c>
      <c r="D106" t="s">
        <v>19</v>
      </c>
      <c r="E106" t="s">
        <v>21</v>
      </c>
      <c r="F106">
        <v>6</v>
      </c>
      <c r="G106">
        <v>522.12</v>
      </c>
      <c r="H106">
        <v>0.09</v>
      </c>
      <c r="I106" t="s">
        <v>16</v>
      </c>
      <c r="J106">
        <v>4</v>
      </c>
      <c r="K106">
        <v>2</v>
      </c>
      <c r="L106">
        <v>2850.78</v>
      </c>
      <c r="M106">
        <f>(Table1[[#This Row],[unit_price]]*Table1[[#This Row],[quantity]])-(Table1[[#This Row],[unit_price]]*Table1[[#This Row],[discount]]*Table1[[#This Row],[quantity]])</f>
        <v>2850.7752</v>
      </c>
      <c r="N106">
        <f>DAY(Table1[[#This Row],[order_date]])</f>
        <v>15</v>
      </c>
      <c r="O106" t="str">
        <f>TEXT(Table1[[#This Row],[order_date]],"mmm")</f>
        <v>Apr</v>
      </c>
      <c r="P106">
        <f>YEAR(Table1[[#This Row],[order_date]])</f>
        <v>2022</v>
      </c>
    </row>
    <row r="107" spans="1:16" x14ac:dyDescent="0.3">
      <c r="A107">
        <v>10106</v>
      </c>
      <c r="B107" s="1">
        <v>44667</v>
      </c>
      <c r="C107">
        <v>1269</v>
      </c>
      <c r="D107" t="s">
        <v>12</v>
      </c>
      <c r="E107" t="s">
        <v>20</v>
      </c>
      <c r="F107">
        <v>6</v>
      </c>
      <c r="G107">
        <v>572.67999999999995</v>
      </c>
      <c r="H107">
        <v>0.25</v>
      </c>
      <c r="I107" t="s">
        <v>16</v>
      </c>
      <c r="J107">
        <v>5</v>
      </c>
      <c r="K107">
        <v>4.2</v>
      </c>
      <c r="L107">
        <v>2577.06</v>
      </c>
      <c r="M107">
        <f>(Table1[[#This Row],[unit_price]]*Table1[[#This Row],[quantity]])-(Table1[[#This Row],[unit_price]]*Table1[[#This Row],[discount]]*Table1[[#This Row],[quantity]])</f>
        <v>2577.06</v>
      </c>
      <c r="N107">
        <f>DAY(Table1[[#This Row],[order_date]])</f>
        <v>16</v>
      </c>
      <c r="O107" t="str">
        <f>TEXT(Table1[[#This Row],[order_date]],"mmm")</f>
        <v>Apr</v>
      </c>
      <c r="P107">
        <f>YEAR(Table1[[#This Row],[order_date]])</f>
        <v>2022</v>
      </c>
    </row>
    <row r="108" spans="1:16" x14ac:dyDescent="0.3">
      <c r="A108">
        <v>10107</v>
      </c>
      <c r="B108" s="1">
        <v>44668</v>
      </c>
      <c r="C108">
        <v>1862</v>
      </c>
      <c r="D108" t="s">
        <v>19</v>
      </c>
      <c r="E108" t="s">
        <v>21</v>
      </c>
      <c r="F108">
        <v>1</v>
      </c>
      <c r="G108">
        <v>410.08</v>
      </c>
      <c r="H108">
        <v>0.33</v>
      </c>
      <c r="I108" t="s">
        <v>16</v>
      </c>
      <c r="J108">
        <v>2</v>
      </c>
      <c r="K108">
        <v>1.8</v>
      </c>
      <c r="L108">
        <v>274.75</v>
      </c>
      <c r="M108">
        <f>(Table1[[#This Row],[unit_price]]*Table1[[#This Row],[quantity]])-(Table1[[#This Row],[unit_price]]*Table1[[#This Row],[discount]]*Table1[[#This Row],[quantity]])</f>
        <v>274.75360000000001</v>
      </c>
      <c r="N108">
        <f>DAY(Table1[[#This Row],[order_date]])</f>
        <v>17</v>
      </c>
      <c r="O108" t="str">
        <f>TEXT(Table1[[#This Row],[order_date]],"mmm")</f>
        <v>Apr</v>
      </c>
      <c r="P108">
        <f>YEAR(Table1[[#This Row],[order_date]])</f>
        <v>2022</v>
      </c>
    </row>
    <row r="109" spans="1:16" x14ac:dyDescent="0.3">
      <c r="A109">
        <v>10108</v>
      </c>
      <c r="B109" s="1">
        <v>44669</v>
      </c>
      <c r="C109">
        <v>1815</v>
      </c>
      <c r="D109" t="s">
        <v>15</v>
      </c>
      <c r="E109" t="s">
        <v>17</v>
      </c>
      <c r="F109">
        <v>4</v>
      </c>
      <c r="G109">
        <v>336.13</v>
      </c>
      <c r="H109">
        <v>0.24</v>
      </c>
      <c r="I109" t="s">
        <v>16</v>
      </c>
      <c r="J109">
        <v>5</v>
      </c>
      <c r="K109">
        <v>2</v>
      </c>
      <c r="L109">
        <v>1021.84</v>
      </c>
      <c r="M109">
        <f>(Table1[[#This Row],[unit_price]]*Table1[[#This Row],[quantity]])-(Table1[[#This Row],[unit_price]]*Table1[[#This Row],[discount]]*Table1[[#This Row],[quantity]])</f>
        <v>1021.8352</v>
      </c>
      <c r="N109">
        <f>DAY(Table1[[#This Row],[order_date]])</f>
        <v>18</v>
      </c>
      <c r="O109" t="str">
        <f>TEXT(Table1[[#This Row],[order_date]],"mmm")</f>
        <v>Apr</v>
      </c>
      <c r="P109">
        <f>YEAR(Table1[[#This Row],[order_date]])</f>
        <v>2022</v>
      </c>
    </row>
    <row r="110" spans="1:16" x14ac:dyDescent="0.3">
      <c r="A110">
        <v>10109</v>
      </c>
      <c r="B110" s="1">
        <v>44670</v>
      </c>
      <c r="C110">
        <v>1270</v>
      </c>
      <c r="D110" t="s">
        <v>19</v>
      </c>
      <c r="E110" t="s">
        <v>17</v>
      </c>
      <c r="F110">
        <v>7</v>
      </c>
      <c r="G110">
        <v>17.05</v>
      </c>
      <c r="H110">
        <v>0.31</v>
      </c>
      <c r="I110" t="s">
        <v>18</v>
      </c>
      <c r="J110">
        <v>3</v>
      </c>
      <c r="K110">
        <v>1.9</v>
      </c>
      <c r="L110">
        <v>82.35</v>
      </c>
      <c r="M110">
        <f>(Table1[[#This Row],[unit_price]]*Table1[[#This Row],[quantity]])-(Table1[[#This Row],[unit_price]]*Table1[[#This Row],[discount]]*Table1[[#This Row],[quantity]])</f>
        <v>82.351500000000016</v>
      </c>
      <c r="N110">
        <f>DAY(Table1[[#This Row],[order_date]])</f>
        <v>19</v>
      </c>
      <c r="O110" t="str">
        <f>TEXT(Table1[[#This Row],[order_date]],"mmm")</f>
        <v>Apr</v>
      </c>
      <c r="P110">
        <f>YEAR(Table1[[#This Row],[order_date]])</f>
        <v>2022</v>
      </c>
    </row>
    <row r="111" spans="1:16" x14ac:dyDescent="0.3">
      <c r="A111">
        <v>10110</v>
      </c>
      <c r="B111" s="1">
        <v>44671</v>
      </c>
      <c r="C111">
        <v>1455</v>
      </c>
      <c r="D111" t="s">
        <v>19</v>
      </c>
      <c r="E111" t="s">
        <v>21</v>
      </c>
      <c r="F111">
        <v>2</v>
      </c>
      <c r="G111">
        <v>38.409999999999997</v>
      </c>
      <c r="H111">
        <v>0.16</v>
      </c>
      <c r="I111" t="s">
        <v>18</v>
      </c>
      <c r="J111">
        <v>3</v>
      </c>
      <c r="K111">
        <v>1.2</v>
      </c>
      <c r="L111">
        <v>64.53</v>
      </c>
      <c r="M111">
        <f>(Table1[[#This Row],[unit_price]]*Table1[[#This Row],[quantity]])-(Table1[[#This Row],[unit_price]]*Table1[[#This Row],[discount]]*Table1[[#This Row],[quantity]])</f>
        <v>64.52879999999999</v>
      </c>
      <c r="N111">
        <f>DAY(Table1[[#This Row],[order_date]])</f>
        <v>20</v>
      </c>
      <c r="O111" t="str">
        <f>TEXT(Table1[[#This Row],[order_date]],"mmm")</f>
        <v>Apr</v>
      </c>
      <c r="P111">
        <f>YEAR(Table1[[#This Row],[order_date]])</f>
        <v>2022</v>
      </c>
    </row>
    <row r="112" spans="1:16" x14ac:dyDescent="0.3">
      <c r="A112">
        <v>10111</v>
      </c>
      <c r="B112" s="1">
        <v>44672</v>
      </c>
      <c r="C112">
        <v>1461</v>
      </c>
      <c r="D112" t="s">
        <v>15</v>
      </c>
      <c r="E112" t="s">
        <v>21</v>
      </c>
      <c r="F112">
        <v>1</v>
      </c>
      <c r="G112">
        <v>132.5</v>
      </c>
      <c r="H112">
        <v>0.27</v>
      </c>
      <c r="I112" t="s">
        <v>18</v>
      </c>
      <c r="J112">
        <v>7</v>
      </c>
      <c r="K112">
        <v>1.8</v>
      </c>
      <c r="L112">
        <v>96.72</v>
      </c>
      <c r="M112">
        <f>(Table1[[#This Row],[unit_price]]*Table1[[#This Row],[quantity]])-(Table1[[#This Row],[unit_price]]*Table1[[#This Row],[discount]]*Table1[[#This Row],[quantity]])</f>
        <v>96.724999999999994</v>
      </c>
      <c r="N112">
        <f>DAY(Table1[[#This Row],[order_date]])</f>
        <v>21</v>
      </c>
      <c r="O112" t="str">
        <f>TEXT(Table1[[#This Row],[order_date]],"mmm")</f>
        <v>Apr</v>
      </c>
      <c r="P112">
        <f>YEAR(Table1[[#This Row],[order_date]])</f>
        <v>2022</v>
      </c>
    </row>
    <row r="113" spans="1:16" x14ac:dyDescent="0.3">
      <c r="A113">
        <v>10112</v>
      </c>
      <c r="B113" s="1">
        <v>44673</v>
      </c>
      <c r="C113">
        <v>1726</v>
      </c>
      <c r="D113" t="s">
        <v>19</v>
      </c>
      <c r="E113" t="s">
        <v>13</v>
      </c>
      <c r="F113">
        <v>7</v>
      </c>
      <c r="G113">
        <v>123.81</v>
      </c>
      <c r="H113">
        <v>0.3</v>
      </c>
      <c r="I113" t="s">
        <v>16</v>
      </c>
      <c r="J113">
        <v>3</v>
      </c>
      <c r="K113">
        <v>2.5</v>
      </c>
      <c r="L113">
        <v>606.66999999999996</v>
      </c>
      <c r="M113">
        <f>(Table1[[#This Row],[unit_price]]*Table1[[#This Row],[quantity]])-(Table1[[#This Row],[unit_price]]*Table1[[#This Row],[discount]]*Table1[[#This Row],[quantity]])</f>
        <v>606.6690000000001</v>
      </c>
      <c r="N113">
        <f>DAY(Table1[[#This Row],[order_date]])</f>
        <v>22</v>
      </c>
      <c r="O113" t="str">
        <f>TEXT(Table1[[#This Row],[order_date]],"mmm")</f>
        <v>Apr</v>
      </c>
      <c r="P113">
        <f>YEAR(Table1[[#This Row],[order_date]])</f>
        <v>2022</v>
      </c>
    </row>
    <row r="114" spans="1:16" x14ac:dyDescent="0.3">
      <c r="A114">
        <v>10113</v>
      </c>
      <c r="B114" s="1">
        <v>44674</v>
      </c>
      <c r="C114">
        <v>1251</v>
      </c>
      <c r="D114" t="s">
        <v>22</v>
      </c>
      <c r="E114" t="s">
        <v>13</v>
      </c>
      <c r="F114">
        <v>4</v>
      </c>
      <c r="G114">
        <v>164.03</v>
      </c>
      <c r="H114">
        <v>0.25</v>
      </c>
      <c r="I114" t="s">
        <v>16</v>
      </c>
      <c r="J114">
        <v>4</v>
      </c>
      <c r="K114">
        <v>2.6</v>
      </c>
      <c r="L114">
        <v>492.09</v>
      </c>
      <c r="M114">
        <f>(Table1[[#This Row],[unit_price]]*Table1[[#This Row],[quantity]])-(Table1[[#This Row],[unit_price]]*Table1[[#This Row],[discount]]*Table1[[#This Row],[quantity]])</f>
        <v>492.09000000000003</v>
      </c>
      <c r="N114">
        <f>DAY(Table1[[#This Row],[order_date]])</f>
        <v>23</v>
      </c>
      <c r="O114" t="str">
        <f>TEXT(Table1[[#This Row],[order_date]],"mmm")</f>
        <v>Apr</v>
      </c>
      <c r="P114">
        <f>YEAR(Table1[[#This Row],[order_date]])</f>
        <v>2022</v>
      </c>
    </row>
    <row r="115" spans="1:16" x14ac:dyDescent="0.3">
      <c r="A115">
        <v>10114</v>
      </c>
      <c r="B115" s="1">
        <v>44675</v>
      </c>
      <c r="C115">
        <v>1701</v>
      </c>
      <c r="D115" t="s">
        <v>19</v>
      </c>
      <c r="E115" t="s">
        <v>20</v>
      </c>
      <c r="F115">
        <v>1</v>
      </c>
      <c r="G115">
        <v>193.39</v>
      </c>
      <c r="H115">
        <v>0.18</v>
      </c>
      <c r="I115" t="s">
        <v>16</v>
      </c>
      <c r="J115">
        <v>7</v>
      </c>
      <c r="K115">
        <v>2.2000000000000002</v>
      </c>
      <c r="L115">
        <v>158.58000000000001</v>
      </c>
      <c r="M115">
        <f>(Table1[[#This Row],[unit_price]]*Table1[[#This Row],[quantity]])-(Table1[[#This Row],[unit_price]]*Table1[[#This Row],[discount]]*Table1[[#This Row],[quantity]])</f>
        <v>158.57979999999998</v>
      </c>
      <c r="N115">
        <f>DAY(Table1[[#This Row],[order_date]])</f>
        <v>24</v>
      </c>
      <c r="O115" t="str">
        <f>TEXT(Table1[[#This Row],[order_date]],"mmm")</f>
        <v>Apr</v>
      </c>
      <c r="P115">
        <f>YEAR(Table1[[#This Row],[order_date]])</f>
        <v>2022</v>
      </c>
    </row>
    <row r="116" spans="1:16" x14ac:dyDescent="0.3">
      <c r="A116">
        <v>10115</v>
      </c>
      <c r="B116" s="1">
        <v>44676</v>
      </c>
      <c r="C116">
        <v>1295</v>
      </c>
      <c r="D116" t="s">
        <v>15</v>
      </c>
      <c r="E116" t="s">
        <v>20</v>
      </c>
      <c r="F116">
        <v>4</v>
      </c>
      <c r="G116">
        <v>225.64</v>
      </c>
      <c r="H116">
        <v>0.22</v>
      </c>
      <c r="I116" t="s">
        <v>16</v>
      </c>
      <c r="J116">
        <v>3</v>
      </c>
      <c r="K116">
        <v>3.1</v>
      </c>
      <c r="L116">
        <v>704</v>
      </c>
      <c r="M116">
        <f>(Table1[[#This Row],[unit_price]]*Table1[[#This Row],[quantity]])-(Table1[[#This Row],[unit_price]]*Table1[[#This Row],[discount]]*Table1[[#This Row],[quantity]])</f>
        <v>703.99679999999989</v>
      </c>
      <c r="N116">
        <f>DAY(Table1[[#This Row],[order_date]])</f>
        <v>25</v>
      </c>
      <c r="O116" t="str">
        <f>TEXT(Table1[[#This Row],[order_date]],"mmm")</f>
        <v>Apr</v>
      </c>
      <c r="P116">
        <f>YEAR(Table1[[#This Row],[order_date]])</f>
        <v>2022</v>
      </c>
    </row>
    <row r="117" spans="1:16" x14ac:dyDescent="0.3">
      <c r="A117">
        <v>10116</v>
      </c>
      <c r="B117" s="1">
        <v>44677</v>
      </c>
      <c r="C117">
        <v>1724</v>
      </c>
      <c r="D117" t="s">
        <v>19</v>
      </c>
      <c r="E117" t="s">
        <v>21</v>
      </c>
      <c r="F117">
        <v>4</v>
      </c>
      <c r="G117">
        <v>261.01</v>
      </c>
      <c r="H117">
        <v>0.25</v>
      </c>
      <c r="I117" t="s">
        <v>16</v>
      </c>
      <c r="J117">
        <v>10</v>
      </c>
      <c r="K117">
        <v>2.5</v>
      </c>
      <c r="L117">
        <v>783.03</v>
      </c>
      <c r="M117">
        <f>(Table1[[#This Row],[unit_price]]*Table1[[#This Row],[quantity]])-(Table1[[#This Row],[unit_price]]*Table1[[#This Row],[discount]]*Table1[[#This Row],[quantity]])</f>
        <v>783.03</v>
      </c>
      <c r="N117">
        <f>DAY(Table1[[#This Row],[order_date]])</f>
        <v>26</v>
      </c>
      <c r="O117" t="str">
        <f>TEXT(Table1[[#This Row],[order_date]],"mmm")</f>
        <v>Apr</v>
      </c>
      <c r="P117">
        <f>YEAR(Table1[[#This Row],[order_date]])</f>
        <v>2022</v>
      </c>
    </row>
    <row r="118" spans="1:16" x14ac:dyDescent="0.3">
      <c r="A118">
        <v>10117</v>
      </c>
      <c r="B118" s="1">
        <v>44678</v>
      </c>
      <c r="C118">
        <v>1719</v>
      </c>
      <c r="D118" t="s">
        <v>19</v>
      </c>
      <c r="E118" t="s">
        <v>21</v>
      </c>
      <c r="F118">
        <v>4</v>
      </c>
      <c r="G118">
        <v>72.84</v>
      </c>
      <c r="H118">
        <v>0.09</v>
      </c>
      <c r="I118" t="s">
        <v>16</v>
      </c>
      <c r="J118">
        <v>10</v>
      </c>
      <c r="K118">
        <v>4.9000000000000004</v>
      </c>
      <c r="L118">
        <v>265.14</v>
      </c>
      <c r="M118">
        <f>(Table1[[#This Row],[unit_price]]*Table1[[#This Row],[quantity]])-(Table1[[#This Row],[unit_price]]*Table1[[#This Row],[discount]]*Table1[[#This Row],[quantity]])</f>
        <v>265.13760000000002</v>
      </c>
      <c r="N118">
        <f>DAY(Table1[[#This Row],[order_date]])</f>
        <v>27</v>
      </c>
      <c r="O118" t="str">
        <f>TEXT(Table1[[#This Row],[order_date]],"mmm")</f>
        <v>Apr</v>
      </c>
      <c r="P118">
        <f>YEAR(Table1[[#This Row],[order_date]])</f>
        <v>2022</v>
      </c>
    </row>
    <row r="119" spans="1:16" x14ac:dyDescent="0.3">
      <c r="A119">
        <v>10118</v>
      </c>
      <c r="B119" s="1">
        <v>44679</v>
      </c>
      <c r="C119">
        <v>1748</v>
      </c>
      <c r="D119" t="s">
        <v>19</v>
      </c>
      <c r="E119" t="s">
        <v>13</v>
      </c>
      <c r="F119">
        <v>1</v>
      </c>
      <c r="G119">
        <v>39.78</v>
      </c>
      <c r="H119">
        <v>0.28000000000000003</v>
      </c>
      <c r="I119" t="s">
        <v>16</v>
      </c>
      <c r="J119">
        <v>2</v>
      </c>
      <c r="K119">
        <v>4.2</v>
      </c>
      <c r="L119">
        <v>28.64</v>
      </c>
      <c r="M119">
        <f>(Table1[[#This Row],[unit_price]]*Table1[[#This Row],[quantity]])-(Table1[[#This Row],[unit_price]]*Table1[[#This Row],[discount]]*Table1[[#This Row],[quantity]])</f>
        <v>28.6416</v>
      </c>
      <c r="N119">
        <f>DAY(Table1[[#This Row],[order_date]])</f>
        <v>28</v>
      </c>
      <c r="O119" t="str">
        <f>TEXT(Table1[[#This Row],[order_date]],"mmm")</f>
        <v>Apr</v>
      </c>
      <c r="P119">
        <f>YEAR(Table1[[#This Row],[order_date]])</f>
        <v>2022</v>
      </c>
    </row>
    <row r="120" spans="1:16" x14ac:dyDescent="0.3">
      <c r="A120">
        <v>10119</v>
      </c>
      <c r="B120" s="1">
        <v>44680</v>
      </c>
      <c r="C120">
        <v>1337</v>
      </c>
      <c r="D120" t="s">
        <v>15</v>
      </c>
      <c r="E120" t="s">
        <v>13</v>
      </c>
      <c r="F120">
        <v>6</v>
      </c>
      <c r="G120">
        <v>409.26</v>
      </c>
      <c r="H120">
        <v>0.33</v>
      </c>
      <c r="I120" t="s">
        <v>18</v>
      </c>
      <c r="J120">
        <v>10</v>
      </c>
      <c r="K120">
        <v>4.7</v>
      </c>
      <c r="L120">
        <v>1645.23</v>
      </c>
      <c r="M120">
        <f>(Table1[[#This Row],[unit_price]]*Table1[[#This Row],[quantity]])-(Table1[[#This Row],[unit_price]]*Table1[[#This Row],[discount]]*Table1[[#This Row],[quantity]])</f>
        <v>1645.2251999999999</v>
      </c>
      <c r="N120">
        <f>DAY(Table1[[#This Row],[order_date]])</f>
        <v>29</v>
      </c>
      <c r="O120" t="str">
        <f>TEXT(Table1[[#This Row],[order_date]],"mmm")</f>
        <v>Apr</v>
      </c>
      <c r="P120">
        <f>YEAR(Table1[[#This Row],[order_date]])</f>
        <v>2022</v>
      </c>
    </row>
    <row r="121" spans="1:16" x14ac:dyDescent="0.3">
      <c r="A121">
        <v>10120</v>
      </c>
      <c r="B121" s="1">
        <v>44681</v>
      </c>
      <c r="C121">
        <v>1878</v>
      </c>
      <c r="D121" t="s">
        <v>15</v>
      </c>
      <c r="E121" t="s">
        <v>21</v>
      </c>
      <c r="F121">
        <v>4</v>
      </c>
      <c r="G121">
        <v>329.34</v>
      </c>
      <c r="H121">
        <v>0.16</v>
      </c>
      <c r="I121" t="s">
        <v>18</v>
      </c>
      <c r="J121">
        <v>7</v>
      </c>
      <c r="K121">
        <v>3.2</v>
      </c>
      <c r="L121">
        <v>1106.58</v>
      </c>
      <c r="M121">
        <f>(Table1[[#This Row],[unit_price]]*Table1[[#This Row],[quantity]])-(Table1[[#This Row],[unit_price]]*Table1[[#This Row],[discount]]*Table1[[#This Row],[quantity]])</f>
        <v>1106.5824</v>
      </c>
      <c r="N121">
        <f>DAY(Table1[[#This Row],[order_date]])</f>
        <v>30</v>
      </c>
      <c r="O121" t="str">
        <f>TEXT(Table1[[#This Row],[order_date]],"mmm")</f>
        <v>Apr</v>
      </c>
      <c r="P121">
        <f>YEAR(Table1[[#This Row],[order_date]])</f>
        <v>2022</v>
      </c>
    </row>
    <row r="122" spans="1:16" x14ac:dyDescent="0.3">
      <c r="A122">
        <v>10121</v>
      </c>
      <c r="B122" s="1">
        <v>44682</v>
      </c>
      <c r="C122">
        <v>1052</v>
      </c>
      <c r="D122" t="s">
        <v>15</v>
      </c>
      <c r="E122" t="s">
        <v>17</v>
      </c>
      <c r="F122">
        <v>6</v>
      </c>
      <c r="G122">
        <v>274.82</v>
      </c>
      <c r="H122">
        <v>0.25</v>
      </c>
      <c r="I122" t="s">
        <v>18</v>
      </c>
      <c r="J122">
        <v>5</v>
      </c>
      <c r="K122">
        <v>3.7</v>
      </c>
      <c r="L122">
        <v>1236.69</v>
      </c>
      <c r="M122">
        <f>(Table1[[#This Row],[unit_price]]*Table1[[#This Row],[quantity]])-(Table1[[#This Row],[unit_price]]*Table1[[#This Row],[discount]]*Table1[[#This Row],[quantity]])</f>
        <v>1236.69</v>
      </c>
      <c r="N122">
        <f>DAY(Table1[[#This Row],[order_date]])</f>
        <v>1</v>
      </c>
      <c r="O122" t="str">
        <f>TEXT(Table1[[#This Row],[order_date]],"mmm")</f>
        <v>May</v>
      </c>
      <c r="P122">
        <f>YEAR(Table1[[#This Row],[order_date]])</f>
        <v>2022</v>
      </c>
    </row>
    <row r="123" spans="1:16" x14ac:dyDescent="0.3">
      <c r="A123">
        <v>10122</v>
      </c>
      <c r="B123" s="1">
        <v>44683</v>
      </c>
      <c r="C123">
        <v>1791</v>
      </c>
      <c r="D123" t="s">
        <v>15</v>
      </c>
      <c r="E123" t="s">
        <v>17</v>
      </c>
      <c r="F123">
        <v>7</v>
      </c>
      <c r="G123">
        <v>386.15</v>
      </c>
      <c r="H123">
        <v>0.26</v>
      </c>
      <c r="I123" t="s">
        <v>16</v>
      </c>
      <c r="J123">
        <v>1</v>
      </c>
      <c r="K123">
        <v>1.7</v>
      </c>
      <c r="L123">
        <v>2000.26</v>
      </c>
      <c r="M123">
        <f>(Table1[[#This Row],[unit_price]]*Table1[[#This Row],[quantity]])-(Table1[[#This Row],[unit_price]]*Table1[[#This Row],[discount]]*Table1[[#This Row],[quantity]])</f>
        <v>2000.2569999999996</v>
      </c>
      <c r="N123">
        <f>DAY(Table1[[#This Row],[order_date]])</f>
        <v>2</v>
      </c>
      <c r="O123" t="str">
        <f>TEXT(Table1[[#This Row],[order_date]],"mmm")</f>
        <v>May</v>
      </c>
      <c r="P123">
        <f>YEAR(Table1[[#This Row],[order_date]])</f>
        <v>2022</v>
      </c>
    </row>
    <row r="124" spans="1:16" x14ac:dyDescent="0.3">
      <c r="A124">
        <v>10123</v>
      </c>
      <c r="B124" s="1">
        <v>44684</v>
      </c>
      <c r="C124">
        <v>1921</v>
      </c>
      <c r="D124" t="s">
        <v>15</v>
      </c>
      <c r="E124" t="s">
        <v>20</v>
      </c>
      <c r="F124">
        <v>7</v>
      </c>
      <c r="G124">
        <v>499.19</v>
      </c>
      <c r="H124">
        <v>0.23</v>
      </c>
      <c r="I124" t="s">
        <v>14</v>
      </c>
      <c r="J124">
        <v>10</v>
      </c>
      <c r="K124">
        <v>4</v>
      </c>
      <c r="L124">
        <v>2690.63</v>
      </c>
      <c r="M124">
        <f>(Table1[[#This Row],[unit_price]]*Table1[[#This Row],[quantity]])-(Table1[[#This Row],[unit_price]]*Table1[[#This Row],[discount]]*Table1[[#This Row],[quantity]])</f>
        <v>2690.6340999999998</v>
      </c>
      <c r="N124">
        <f>DAY(Table1[[#This Row],[order_date]])</f>
        <v>3</v>
      </c>
      <c r="O124" t="str">
        <f>TEXT(Table1[[#This Row],[order_date]],"mmm")</f>
        <v>May</v>
      </c>
      <c r="P124">
        <f>YEAR(Table1[[#This Row],[order_date]])</f>
        <v>2022</v>
      </c>
    </row>
    <row r="125" spans="1:16" x14ac:dyDescent="0.3">
      <c r="A125">
        <v>10124</v>
      </c>
      <c r="B125" s="1">
        <v>44685</v>
      </c>
      <c r="C125">
        <v>1216</v>
      </c>
      <c r="D125" t="s">
        <v>19</v>
      </c>
      <c r="E125" t="s">
        <v>21</v>
      </c>
      <c r="F125">
        <v>2</v>
      </c>
      <c r="G125">
        <v>265.2</v>
      </c>
      <c r="H125">
        <v>0.19</v>
      </c>
      <c r="I125" t="s">
        <v>14</v>
      </c>
      <c r="J125">
        <v>8</v>
      </c>
      <c r="K125">
        <v>1.9</v>
      </c>
      <c r="L125">
        <v>429.62</v>
      </c>
      <c r="M125">
        <f>(Table1[[#This Row],[unit_price]]*Table1[[#This Row],[quantity]])-(Table1[[#This Row],[unit_price]]*Table1[[#This Row],[discount]]*Table1[[#This Row],[quantity]])</f>
        <v>429.62399999999997</v>
      </c>
      <c r="N125">
        <f>DAY(Table1[[#This Row],[order_date]])</f>
        <v>4</v>
      </c>
      <c r="O125" t="str">
        <f>TEXT(Table1[[#This Row],[order_date]],"mmm")</f>
        <v>May</v>
      </c>
      <c r="P125">
        <f>YEAR(Table1[[#This Row],[order_date]])</f>
        <v>2022</v>
      </c>
    </row>
    <row r="126" spans="1:16" x14ac:dyDescent="0.3">
      <c r="A126">
        <v>10125</v>
      </c>
      <c r="B126" s="1">
        <v>44686</v>
      </c>
      <c r="C126">
        <v>1763</v>
      </c>
      <c r="D126" t="s">
        <v>15</v>
      </c>
      <c r="E126" t="s">
        <v>21</v>
      </c>
      <c r="F126">
        <v>5</v>
      </c>
      <c r="G126">
        <v>390.05</v>
      </c>
      <c r="H126">
        <v>0.31</v>
      </c>
      <c r="I126" t="s">
        <v>16</v>
      </c>
      <c r="J126">
        <v>3</v>
      </c>
      <c r="K126">
        <v>1.6</v>
      </c>
      <c r="L126">
        <v>1345.67</v>
      </c>
      <c r="M126">
        <f>(Table1[[#This Row],[unit_price]]*Table1[[#This Row],[quantity]])-(Table1[[#This Row],[unit_price]]*Table1[[#This Row],[discount]]*Table1[[#This Row],[quantity]])</f>
        <v>1345.6724999999999</v>
      </c>
      <c r="N126">
        <f>DAY(Table1[[#This Row],[order_date]])</f>
        <v>5</v>
      </c>
      <c r="O126" t="str">
        <f>TEXT(Table1[[#This Row],[order_date]],"mmm")</f>
        <v>May</v>
      </c>
      <c r="P126">
        <f>YEAR(Table1[[#This Row],[order_date]])</f>
        <v>2022</v>
      </c>
    </row>
    <row r="127" spans="1:16" x14ac:dyDescent="0.3">
      <c r="A127">
        <v>10126</v>
      </c>
      <c r="B127" s="1">
        <v>44687</v>
      </c>
      <c r="C127">
        <v>1187</v>
      </c>
      <c r="D127" t="s">
        <v>12</v>
      </c>
      <c r="E127" t="s">
        <v>20</v>
      </c>
      <c r="F127">
        <v>6</v>
      </c>
      <c r="G127">
        <v>572.84</v>
      </c>
      <c r="H127">
        <v>0.16</v>
      </c>
      <c r="I127" t="s">
        <v>18</v>
      </c>
      <c r="J127">
        <v>11</v>
      </c>
      <c r="K127">
        <v>1.2</v>
      </c>
      <c r="L127">
        <v>2887.11</v>
      </c>
      <c r="M127">
        <f>(Table1[[#This Row],[unit_price]]*Table1[[#This Row],[quantity]])-(Table1[[#This Row],[unit_price]]*Table1[[#This Row],[discount]]*Table1[[#This Row],[quantity]])</f>
        <v>2887.1135999999997</v>
      </c>
      <c r="N127">
        <f>DAY(Table1[[#This Row],[order_date]])</f>
        <v>6</v>
      </c>
      <c r="O127" t="str">
        <f>TEXT(Table1[[#This Row],[order_date]],"mmm")</f>
        <v>May</v>
      </c>
      <c r="P127">
        <f>YEAR(Table1[[#This Row],[order_date]])</f>
        <v>2022</v>
      </c>
    </row>
    <row r="128" spans="1:16" x14ac:dyDescent="0.3">
      <c r="A128">
        <v>10127</v>
      </c>
      <c r="B128" s="1">
        <v>44688</v>
      </c>
      <c r="C128">
        <v>1379</v>
      </c>
      <c r="D128" t="s">
        <v>15</v>
      </c>
      <c r="E128" t="s">
        <v>13</v>
      </c>
      <c r="F128">
        <v>7</v>
      </c>
      <c r="G128">
        <v>506.18</v>
      </c>
      <c r="H128">
        <v>0.02</v>
      </c>
      <c r="I128" t="s">
        <v>14</v>
      </c>
      <c r="J128">
        <v>7</v>
      </c>
      <c r="K128">
        <v>2.9</v>
      </c>
      <c r="L128">
        <v>3472.39</v>
      </c>
      <c r="M128">
        <f>(Table1[[#This Row],[unit_price]]*Table1[[#This Row],[quantity]])-(Table1[[#This Row],[unit_price]]*Table1[[#This Row],[discount]]*Table1[[#This Row],[quantity]])</f>
        <v>3472.3948</v>
      </c>
      <c r="N128">
        <f>DAY(Table1[[#This Row],[order_date]])</f>
        <v>7</v>
      </c>
      <c r="O128" t="str">
        <f>TEXT(Table1[[#This Row],[order_date]],"mmm")</f>
        <v>May</v>
      </c>
      <c r="P128">
        <f>YEAR(Table1[[#This Row],[order_date]])</f>
        <v>2022</v>
      </c>
    </row>
    <row r="129" spans="1:16" x14ac:dyDescent="0.3">
      <c r="A129">
        <v>10128</v>
      </c>
      <c r="B129" s="1">
        <v>44689</v>
      </c>
      <c r="C129">
        <v>1492</v>
      </c>
      <c r="D129" t="s">
        <v>22</v>
      </c>
      <c r="E129" t="s">
        <v>13</v>
      </c>
      <c r="F129">
        <v>5</v>
      </c>
      <c r="G129">
        <v>264.20999999999998</v>
      </c>
      <c r="H129">
        <v>0.3</v>
      </c>
      <c r="I129" t="s">
        <v>18</v>
      </c>
      <c r="J129">
        <v>6</v>
      </c>
      <c r="K129">
        <v>2.1</v>
      </c>
      <c r="L129">
        <v>924.73</v>
      </c>
      <c r="M129">
        <f>(Table1[[#This Row],[unit_price]]*Table1[[#This Row],[quantity]])-(Table1[[#This Row],[unit_price]]*Table1[[#This Row],[discount]]*Table1[[#This Row],[quantity]])</f>
        <v>924.73500000000001</v>
      </c>
      <c r="N129">
        <f>DAY(Table1[[#This Row],[order_date]])</f>
        <v>8</v>
      </c>
      <c r="O129" t="str">
        <f>TEXT(Table1[[#This Row],[order_date]],"mmm")</f>
        <v>May</v>
      </c>
      <c r="P129">
        <f>YEAR(Table1[[#This Row],[order_date]])</f>
        <v>2022</v>
      </c>
    </row>
    <row r="130" spans="1:16" x14ac:dyDescent="0.3">
      <c r="A130">
        <v>10129</v>
      </c>
      <c r="B130" s="1">
        <v>44690</v>
      </c>
      <c r="C130">
        <v>1040</v>
      </c>
      <c r="D130" t="s">
        <v>19</v>
      </c>
      <c r="E130" t="s">
        <v>17</v>
      </c>
      <c r="F130">
        <v>4</v>
      </c>
      <c r="G130">
        <v>392.16</v>
      </c>
      <c r="H130">
        <v>0.24</v>
      </c>
      <c r="I130" t="s">
        <v>16</v>
      </c>
      <c r="J130">
        <v>10</v>
      </c>
      <c r="K130">
        <v>4.9000000000000004</v>
      </c>
      <c r="L130">
        <v>1192.17</v>
      </c>
      <c r="M130">
        <f>(Table1[[#This Row],[unit_price]]*Table1[[#This Row],[quantity]])-(Table1[[#This Row],[unit_price]]*Table1[[#This Row],[discount]]*Table1[[#This Row],[quantity]])</f>
        <v>1192.1664000000001</v>
      </c>
      <c r="N130">
        <f>DAY(Table1[[#This Row],[order_date]])</f>
        <v>9</v>
      </c>
      <c r="O130" t="str">
        <f>TEXT(Table1[[#This Row],[order_date]],"mmm")</f>
        <v>May</v>
      </c>
      <c r="P130">
        <f>YEAR(Table1[[#This Row],[order_date]])</f>
        <v>2022</v>
      </c>
    </row>
    <row r="131" spans="1:16" x14ac:dyDescent="0.3">
      <c r="A131">
        <v>10130</v>
      </c>
      <c r="B131" s="1">
        <v>44691</v>
      </c>
      <c r="C131">
        <v>1156</v>
      </c>
      <c r="D131" t="s">
        <v>22</v>
      </c>
      <c r="E131" t="s">
        <v>21</v>
      </c>
      <c r="F131">
        <v>5</v>
      </c>
      <c r="G131">
        <v>118.59</v>
      </c>
      <c r="H131">
        <v>0.3</v>
      </c>
      <c r="I131" t="s">
        <v>18</v>
      </c>
      <c r="J131">
        <v>6</v>
      </c>
      <c r="K131">
        <v>2</v>
      </c>
      <c r="L131">
        <v>415.06</v>
      </c>
      <c r="M131">
        <f>(Table1[[#This Row],[unit_price]]*Table1[[#This Row],[quantity]])-(Table1[[#This Row],[unit_price]]*Table1[[#This Row],[discount]]*Table1[[#This Row],[quantity]])</f>
        <v>415.06500000000005</v>
      </c>
      <c r="N131">
        <f>DAY(Table1[[#This Row],[order_date]])</f>
        <v>10</v>
      </c>
      <c r="O131" t="str">
        <f>TEXT(Table1[[#This Row],[order_date]],"mmm")</f>
        <v>May</v>
      </c>
      <c r="P131">
        <f>YEAR(Table1[[#This Row],[order_date]])</f>
        <v>2022</v>
      </c>
    </row>
    <row r="132" spans="1:16" x14ac:dyDescent="0.3">
      <c r="A132">
        <v>10131</v>
      </c>
      <c r="B132" s="1">
        <v>44692</v>
      </c>
      <c r="C132">
        <v>1014</v>
      </c>
      <c r="D132" t="s">
        <v>22</v>
      </c>
      <c r="E132" t="s">
        <v>13</v>
      </c>
      <c r="F132">
        <v>5</v>
      </c>
      <c r="G132">
        <v>342.91</v>
      </c>
      <c r="H132">
        <v>0.05</v>
      </c>
      <c r="I132" t="s">
        <v>18</v>
      </c>
      <c r="J132">
        <v>8</v>
      </c>
      <c r="K132">
        <v>4.5</v>
      </c>
      <c r="L132">
        <v>1628.82</v>
      </c>
      <c r="M132">
        <f>(Table1[[#This Row],[unit_price]]*Table1[[#This Row],[quantity]])-(Table1[[#This Row],[unit_price]]*Table1[[#This Row],[discount]]*Table1[[#This Row],[quantity]])</f>
        <v>1628.8225000000002</v>
      </c>
      <c r="N132">
        <f>DAY(Table1[[#This Row],[order_date]])</f>
        <v>11</v>
      </c>
      <c r="O132" t="str">
        <f>TEXT(Table1[[#This Row],[order_date]],"mmm")</f>
        <v>May</v>
      </c>
      <c r="P132">
        <f>YEAR(Table1[[#This Row],[order_date]])</f>
        <v>2022</v>
      </c>
    </row>
    <row r="133" spans="1:16" x14ac:dyDescent="0.3">
      <c r="A133">
        <v>10132</v>
      </c>
      <c r="B133" s="1">
        <v>44693</v>
      </c>
      <c r="C133">
        <v>1812</v>
      </c>
      <c r="D133" t="s">
        <v>15</v>
      </c>
      <c r="E133" t="s">
        <v>17</v>
      </c>
      <c r="F133">
        <v>4</v>
      </c>
      <c r="G133">
        <v>589.08000000000004</v>
      </c>
      <c r="H133">
        <v>0.01</v>
      </c>
      <c r="I133" t="s">
        <v>16</v>
      </c>
      <c r="J133">
        <v>4</v>
      </c>
      <c r="K133">
        <v>2.2999999999999998</v>
      </c>
      <c r="L133">
        <v>2332.7600000000002</v>
      </c>
      <c r="M133">
        <f>(Table1[[#This Row],[unit_price]]*Table1[[#This Row],[quantity]])-(Table1[[#This Row],[unit_price]]*Table1[[#This Row],[discount]]*Table1[[#This Row],[quantity]])</f>
        <v>2332.7568000000001</v>
      </c>
      <c r="N133">
        <f>DAY(Table1[[#This Row],[order_date]])</f>
        <v>12</v>
      </c>
      <c r="O133" t="str">
        <f>TEXT(Table1[[#This Row],[order_date]],"mmm")</f>
        <v>May</v>
      </c>
      <c r="P133">
        <f>YEAR(Table1[[#This Row],[order_date]])</f>
        <v>2022</v>
      </c>
    </row>
    <row r="134" spans="1:16" x14ac:dyDescent="0.3">
      <c r="A134">
        <v>10133</v>
      </c>
      <c r="B134" s="1">
        <v>44694</v>
      </c>
      <c r="C134">
        <v>1064</v>
      </c>
      <c r="D134" t="s">
        <v>12</v>
      </c>
      <c r="E134" t="s">
        <v>17</v>
      </c>
      <c r="F134">
        <v>6</v>
      </c>
      <c r="G134">
        <v>318.20999999999998</v>
      </c>
      <c r="H134">
        <v>0.33</v>
      </c>
      <c r="I134" t="s">
        <v>14</v>
      </c>
      <c r="J134">
        <v>4</v>
      </c>
      <c r="K134">
        <v>4</v>
      </c>
      <c r="L134">
        <v>1279.2</v>
      </c>
      <c r="M134">
        <f>(Table1[[#This Row],[unit_price]]*Table1[[#This Row],[quantity]])-(Table1[[#This Row],[unit_price]]*Table1[[#This Row],[discount]]*Table1[[#This Row],[quantity]])</f>
        <v>1279.2041999999997</v>
      </c>
      <c r="N134">
        <f>DAY(Table1[[#This Row],[order_date]])</f>
        <v>13</v>
      </c>
      <c r="O134" t="str">
        <f>TEXT(Table1[[#This Row],[order_date]],"mmm")</f>
        <v>May</v>
      </c>
      <c r="P134">
        <f>YEAR(Table1[[#This Row],[order_date]])</f>
        <v>2022</v>
      </c>
    </row>
    <row r="135" spans="1:16" x14ac:dyDescent="0.3">
      <c r="A135">
        <v>10134</v>
      </c>
      <c r="B135" s="1">
        <v>44695</v>
      </c>
      <c r="C135">
        <v>1856</v>
      </c>
      <c r="D135" t="s">
        <v>19</v>
      </c>
      <c r="E135" t="s">
        <v>17</v>
      </c>
      <c r="F135">
        <v>4</v>
      </c>
      <c r="G135">
        <v>557.66999999999996</v>
      </c>
      <c r="H135">
        <v>0.05</v>
      </c>
      <c r="I135" t="s">
        <v>18</v>
      </c>
      <c r="J135">
        <v>3</v>
      </c>
      <c r="K135">
        <v>3.6</v>
      </c>
      <c r="L135">
        <v>2119.15</v>
      </c>
      <c r="M135">
        <f>(Table1[[#This Row],[unit_price]]*Table1[[#This Row],[quantity]])-(Table1[[#This Row],[unit_price]]*Table1[[#This Row],[discount]]*Table1[[#This Row],[quantity]])</f>
        <v>2119.1459999999997</v>
      </c>
      <c r="N135">
        <f>DAY(Table1[[#This Row],[order_date]])</f>
        <v>14</v>
      </c>
      <c r="O135" t="str">
        <f>TEXT(Table1[[#This Row],[order_date]],"mmm")</f>
        <v>May</v>
      </c>
      <c r="P135">
        <f>YEAR(Table1[[#This Row],[order_date]])</f>
        <v>2022</v>
      </c>
    </row>
    <row r="136" spans="1:16" x14ac:dyDescent="0.3">
      <c r="A136">
        <v>10135</v>
      </c>
      <c r="B136" s="1">
        <v>44696</v>
      </c>
      <c r="C136">
        <v>1838</v>
      </c>
      <c r="D136" t="s">
        <v>19</v>
      </c>
      <c r="E136" t="s">
        <v>13</v>
      </c>
      <c r="F136">
        <v>2</v>
      </c>
      <c r="G136">
        <v>253.29</v>
      </c>
      <c r="H136">
        <v>0.28000000000000003</v>
      </c>
      <c r="I136" t="s">
        <v>16</v>
      </c>
      <c r="J136">
        <v>1</v>
      </c>
      <c r="K136">
        <v>3.2</v>
      </c>
      <c r="L136">
        <v>364.74</v>
      </c>
      <c r="M136">
        <f>(Table1[[#This Row],[unit_price]]*Table1[[#This Row],[quantity]])-(Table1[[#This Row],[unit_price]]*Table1[[#This Row],[discount]]*Table1[[#This Row],[quantity]])</f>
        <v>364.73759999999999</v>
      </c>
      <c r="N136">
        <f>DAY(Table1[[#This Row],[order_date]])</f>
        <v>15</v>
      </c>
      <c r="O136" t="str">
        <f>TEXT(Table1[[#This Row],[order_date]],"mmm")</f>
        <v>May</v>
      </c>
      <c r="P136">
        <f>YEAR(Table1[[#This Row],[order_date]])</f>
        <v>2022</v>
      </c>
    </row>
    <row r="137" spans="1:16" x14ac:dyDescent="0.3">
      <c r="A137">
        <v>10136</v>
      </c>
      <c r="B137" s="1">
        <v>44697</v>
      </c>
      <c r="C137">
        <v>1520</v>
      </c>
      <c r="D137" t="s">
        <v>22</v>
      </c>
      <c r="E137" t="s">
        <v>13</v>
      </c>
      <c r="F137">
        <v>3</v>
      </c>
      <c r="G137">
        <v>599.32000000000005</v>
      </c>
      <c r="H137">
        <v>0.28999999999999998</v>
      </c>
      <c r="I137" t="s">
        <v>18</v>
      </c>
      <c r="J137">
        <v>10</v>
      </c>
      <c r="K137">
        <v>2.7</v>
      </c>
      <c r="L137">
        <v>1276.55</v>
      </c>
      <c r="M137">
        <f>(Table1[[#This Row],[unit_price]]*Table1[[#This Row],[quantity]])-(Table1[[#This Row],[unit_price]]*Table1[[#This Row],[discount]]*Table1[[#This Row],[quantity]])</f>
        <v>1276.5516</v>
      </c>
      <c r="N137">
        <f>DAY(Table1[[#This Row],[order_date]])</f>
        <v>16</v>
      </c>
      <c r="O137" t="str">
        <f>TEXT(Table1[[#This Row],[order_date]],"mmm")</f>
        <v>May</v>
      </c>
      <c r="P137">
        <f>YEAR(Table1[[#This Row],[order_date]])</f>
        <v>2022</v>
      </c>
    </row>
    <row r="138" spans="1:16" x14ac:dyDescent="0.3">
      <c r="A138">
        <v>10137</v>
      </c>
      <c r="B138" s="1">
        <v>44698</v>
      </c>
      <c r="C138">
        <v>1343</v>
      </c>
      <c r="D138" t="s">
        <v>22</v>
      </c>
      <c r="E138" t="s">
        <v>21</v>
      </c>
      <c r="F138">
        <v>1</v>
      </c>
      <c r="G138">
        <v>353.84</v>
      </c>
      <c r="H138">
        <v>0.25</v>
      </c>
      <c r="I138" t="s">
        <v>18</v>
      </c>
      <c r="J138">
        <v>3</v>
      </c>
      <c r="K138">
        <v>3.7</v>
      </c>
      <c r="L138">
        <v>265.38</v>
      </c>
      <c r="M138">
        <f>(Table1[[#This Row],[unit_price]]*Table1[[#This Row],[quantity]])-(Table1[[#This Row],[unit_price]]*Table1[[#This Row],[discount]]*Table1[[#This Row],[quantity]])</f>
        <v>265.38</v>
      </c>
      <c r="N138">
        <f>DAY(Table1[[#This Row],[order_date]])</f>
        <v>17</v>
      </c>
      <c r="O138" t="str">
        <f>TEXT(Table1[[#This Row],[order_date]],"mmm")</f>
        <v>May</v>
      </c>
      <c r="P138">
        <f>YEAR(Table1[[#This Row],[order_date]])</f>
        <v>2022</v>
      </c>
    </row>
    <row r="139" spans="1:16" x14ac:dyDescent="0.3">
      <c r="A139">
        <v>10138</v>
      </c>
      <c r="B139" s="1">
        <v>44699</v>
      </c>
      <c r="C139">
        <v>1128</v>
      </c>
      <c r="D139" t="s">
        <v>19</v>
      </c>
      <c r="E139" t="s">
        <v>21</v>
      </c>
      <c r="F139">
        <v>4</v>
      </c>
      <c r="G139">
        <v>39.729999999999997</v>
      </c>
      <c r="H139">
        <v>0.05</v>
      </c>
      <c r="I139" t="s">
        <v>16</v>
      </c>
      <c r="J139">
        <v>1</v>
      </c>
      <c r="K139">
        <v>2.6</v>
      </c>
      <c r="L139">
        <v>150.97</v>
      </c>
      <c r="M139">
        <f>(Table1[[#This Row],[unit_price]]*Table1[[#This Row],[quantity]])-(Table1[[#This Row],[unit_price]]*Table1[[#This Row],[discount]]*Table1[[#This Row],[quantity]])</f>
        <v>150.97399999999999</v>
      </c>
      <c r="N139">
        <f>DAY(Table1[[#This Row],[order_date]])</f>
        <v>18</v>
      </c>
      <c r="O139" t="str">
        <f>TEXT(Table1[[#This Row],[order_date]],"mmm")</f>
        <v>May</v>
      </c>
      <c r="P139">
        <f>YEAR(Table1[[#This Row],[order_date]])</f>
        <v>2022</v>
      </c>
    </row>
    <row r="140" spans="1:16" x14ac:dyDescent="0.3">
      <c r="A140">
        <v>10139</v>
      </c>
      <c r="B140" s="1">
        <v>44700</v>
      </c>
      <c r="C140">
        <v>1647</v>
      </c>
      <c r="D140" t="s">
        <v>19</v>
      </c>
      <c r="E140" t="s">
        <v>17</v>
      </c>
      <c r="F140">
        <v>4</v>
      </c>
      <c r="G140">
        <v>358.25</v>
      </c>
      <c r="H140">
        <v>0.23</v>
      </c>
      <c r="I140" t="s">
        <v>16</v>
      </c>
      <c r="J140">
        <v>6</v>
      </c>
      <c r="K140">
        <v>3.2</v>
      </c>
      <c r="L140">
        <v>1103.4100000000001</v>
      </c>
      <c r="M140">
        <f>(Table1[[#This Row],[unit_price]]*Table1[[#This Row],[quantity]])-(Table1[[#This Row],[unit_price]]*Table1[[#This Row],[discount]]*Table1[[#This Row],[quantity]])</f>
        <v>1103.4099999999999</v>
      </c>
      <c r="N140">
        <f>DAY(Table1[[#This Row],[order_date]])</f>
        <v>19</v>
      </c>
      <c r="O140" t="str">
        <f>TEXT(Table1[[#This Row],[order_date]],"mmm")</f>
        <v>May</v>
      </c>
      <c r="P140">
        <f>YEAR(Table1[[#This Row],[order_date]])</f>
        <v>2022</v>
      </c>
    </row>
    <row r="141" spans="1:16" x14ac:dyDescent="0.3">
      <c r="A141">
        <v>10140</v>
      </c>
      <c r="B141" s="1">
        <v>44701</v>
      </c>
      <c r="C141">
        <v>1471</v>
      </c>
      <c r="D141" t="s">
        <v>19</v>
      </c>
      <c r="E141" t="s">
        <v>17</v>
      </c>
      <c r="F141">
        <v>5</v>
      </c>
      <c r="G141">
        <v>175.63</v>
      </c>
      <c r="H141">
        <v>0.31</v>
      </c>
      <c r="I141" t="s">
        <v>14</v>
      </c>
      <c r="J141">
        <v>8</v>
      </c>
      <c r="K141">
        <v>3.4</v>
      </c>
      <c r="L141">
        <v>605.91999999999996</v>
      </c>
      <c r="M141">
        <f>(Table1[[#This Row],[unit_price]]*Table1[[#This Row],[quantity]])-(Table1[[#This Row],[unit_price]]*Table1[[#This Row],[discount]]*Table1[[#This Row],[quantity]])</f>
        <v>605.92349999999999</v>
      </c>
      <c r="N141">
        <f>DAY(Table1[[#This Row],[order_date]])</f>
        <v>20</v>
      </c>
      <c r="O141" t="str">
        <f>TEXT(Table1[[#This Row],[order_date]],"mmm")</f>
        <v>May</v>
      </c>
      <c r="P141">
        <f>YEAR(Table1[[#This Row],[order_date]])</f>
        <v>2022</v>
      </c>
    </row>
    <row r="142" spans="1:16" x14ac:dyDescent="0.3">
      <c r="A142">
        <v>10141</v>
      </c>
      <c r="B142" s="1">
        <v>44702</v>
      </c>
      <c r="C142">
        <v>1062</v>
      </c>
      <c r="D142" t="s">
        <v>19</v>
      </c>
      <c r="E142" t="s">
        <v>13</v>
      </c>
      <c r="F142">
        <v>2</v>
      </c>
      <c r="G142">
        <v>34</v>
      </c>
      <c r="H142">
        <v>0.15</v>
      </c>
      <c r="I142" t="s">
        <v>18</v>
      </c>
      <c r="J142">
        <v>3</v>
      </c>
      <c r="K142">
        <v>2.1</v>
      </c>
      <c r="L142">
        <v>57.8</v>
      </c>
      <c r="M142">
        <f>(Table1[[#This Row],[unit_price]]*Table1[[#This Row],[quantity]])-(Table1[[#This Row],[unit_price]]*Table1[[#This Row],[discount]]*Table1[[#This Row],[quantity]])</f>
        <v>57.8</v>
      </c>
      <c r="N142">
        <f>DAY(Table1[[#This Row],[order_date]])</f>
        <v>21</v>
      </c>
      <c r="O142" t="str">
        <f>TEXT(Table1[[#This Row],[order_date]],"mmm")</f>
        <v>May</v>
      </c>
      <c r="P142">
        <f>YEAR(Table1[[#This Row],[order_date]])</f>
        <v>2022</v>
      </c>
    </row>
    <row r="143" spans="1:16" x14ac:dyDescent="0.3">
      <c r="A143">
        <v>10142</v>
      </c>
      <c r="B143" s="1">
        <v>44703</v>
      </c>
      <c r="C143">
        <v>1138</v>
      </c>
      <c r="D143" t="s">
        <v>22</v>
      </c>
      <c r="E143" t="s">
        <v>13</v>
      </c>
      <c r="F143">
        <v>7</v>
      </c>
      <c r="G143">
        <v>495.2</v>
      </c>
      <c r="H143">
        <v>0.14000000000000001</v>
      </c>
      <c r="I143" t="s">
        <v>16</v>
      </c>
      <c r="J143">
        <v>4</v>
      </c>
      <c r="K143">
        <v>2.4</v>
      </c>
      <c r="L143">
        <v>2981.1</v>
      </c>
      <c r="M143">
        <f>(Table1[[#This Row],[unit_price]]*Table1[[#This Row],[quantity]])-(Table1[[#This Row],[unit_price]]*Table1[[#This Row],[discount]]*Table1[[#This Row],[quantity]])</f>
        <v>2981.1040000000003</v>
      </c>
      <c r="N143">
        <f>DAY(Table1[[#This Row],[order_date]])</f>
        <v>22</v>
      </c>
      <c r="O143" t="str">
        <f>TEXT(Table1[[#This Row],[order_date]],"mmm")</f>
        <v>May</v>
      </c>
      <c r="P143">
        <f>YEAR(Table1[[#This Row],[order_date]])</f>
        <v>2022</v>
      </c>
    </row>
    <row r="144" spans="1:16" x14ac:dyDescent="0.3">
      <c r="A144">
        <v>10143</v>
      </c>
      <c r="B144" s="1">
        <v>44704</v>
      </c>
      <c r="C144">
        <v>1498</v>
      </c>
      <c r="D144" t="s">
        <v>15</v>
      </c>
      <c r="E144" t="s">
        <v>21</v>
      </c>
      <c r="F144">
        <v>7</v>
      </c>
      <c r="G144">
        <v>176.3</v>
      </c>
      <c r="H144">
        <v>0.16</v>
      </c>
      <c r="I144" t="s">
        <v>16</v>
      </c>
      <c r="J144">
        <v>5</v>
      </c>
      <c r="K144">
        <v>1.1000000000000001</v>
      </c>
      <c r="L144">
        <v>1036.6400000000001</v>
      </c>
      <c r="M144">
        <f>(Table1[[#This Row],[unit_price]]*Table1[[#This Row],[quantity]])-(Table1[[#This Row],[unit_price]]*Table1[[#This Row],[discount]]*Table1[[#This Row],[quantity]])</f>
        <v>1036.6440000000002</v>
      </c>
      <c r="N144">
        <f>DAY(Table1[[#This Row],[order_date]])</f>
        <v>23</v>
      </c>
      <c r="O144" t="str">
        <f>TEXT(Table1[[#This Row],[order_date]],"mmm")</f>
        <v>May</v>
      </c>
      <c r="P144">
        <f>YEAR(Table1[[#This Row],[order_date]])</f>
        <v>2022</v>
      </c>
    </row>
    <row r="145" spans="1:16" x14ac:dyDescent="0.3">
      <c r="A145">
        <v>10144</v>
      </c>
      <c r="B145" s="1">
        <v>44705</v>
      </c>
      <c r="C145">
        <v>1592</v>
      </c>
      <c r="D145" t="s">
        <v>19</v>
      </c>
      <c r="E145" t="s">
        <v>21</v>
      </c>
      <c r="F145">
        <v>5</v>
      </c>
      <c r="G145">
        <v>480.98</v>
      </c>
      <c r="H145">
        <v>0.03</v>
      </c>
      <c r="I145" t="s">
        <v>18</v>
      </c>
      <c r="J145">
        <v>7</v>
      </c>
      <c r="K145">
        <v>4.4000000000000004</v>
      </c>
      <c r="L145">
        <v>2332.75</v>
      </c>
      <c r="M145">
        <f>(Table1[[#This Row],[unit_price]]*Table1[[#This Row],[quantity]])-(Table1[[#This Row],[unit_price]]*Table1[[#This Row],[discount]]*Table1[[#This Row],[quantity]])</f>
        <v>2332.7530000000002</v>
      </c>
      <c r="N145">
        <f>DAY(Table1[[#This Row],[order_date]])</f>
        <v>24</v>
      </c>
      <c r="O145" t="str">
        <f>TEXT(Table1[[#This Row],[order_date]],"mmm")</f>
        <v>May</v>
      </c>
      <c r="P145">
        <f>YEAR(Table1[[#This Row],[order_date]])</f>
        <v>2022</v>
      </c>
    </row>
    <row r="146" spans="1:16" x14ac:dyDescent="0.3">
      <c r="A146">
        <v>10145</v>
      </c>
      <c r="B146" s="1">
        <v>44706</v>
      </c>
      <c r="C146">
        <v>1391</v>
      </c>
      <c r="D146" t="s">
        <v>15</v>
      </c>
      <c r="E146" t="s">
        <v>20</v>
      </c>
      <c r="F146">
        <v>6</v>
      </c>
      <c r="G146">
        <v>183.61</v>
      </c>
      <c r="H146">
        <v>0.31</v>
      </c>
      <c r="I146" t="s">
        <v>18</v>
      </c>
      <c r="J146">
        <v>11</v>
      </c>
      <c r="K146">
        <v>4</v>
      </c>
      <c r="L146">
        <v>760.15</v>
      </c>
      <c r="M146">
        <f>(Table1[[#This Row],[unit_price]]*Table1[[#This Row],[quantity]])-(Table1[[#This Row],[unit_price]]*Table1[[#This Row],[discount]]*Table1[[#This Row],[quantity]])</f>
        <v>760.14540000000011</v>
      </c>
      <c r="N146">
        <f>DAY(Table1[[#This Row],[order_date]])</f>
        <v>25</v>
      </c>
      <c r="O146" t="str">
        <f>TEXT(Table1[[#This Row],[order_date]],"mmm")</f>
        <v>May</v>
      </c>
      <c r="P146">
        <f>YEAR(Table1[[#This Row],[order_date]])</f>
        <v>2022</v>
      </c>
    </row>
    <row r="147" spans="1:16" x14ac:dyDescent="0.3">
      <c r="A147">
        <v>10146</v>
      </c>
      <c r="B147" s="1">
        <v>44707</v>
      </c>
      <c r="C147">
        <v>1674</v>
      </c>
      <c r="D147" t="s">
        <v>19</v>
      </c>
      <c r="E147" t="s">
        <v>21</v>
      </c>
      <c r="F147">
        <v>4</v>
      </c>
      <c r="G147">
        <v>128.68</v>
      </c>
      <c r="H147">
        <v>0.3</v>
      </c>
      <c r="I147" t="s">
        <v>16</v>
      </c>
      <c r="J147">
        <v>6</v>
      </c>
      <c r="K147">
        <v>1.7</v>
      </c>
      <c r="L147">
        <v>360.3</v>
      </c>
      <c r="M147">
        <f>(Table1[[#This Row],[unit_price]]*Table1[[#This Row],[quantity]])-(Table1[[#This Row],[unit_price]]*Table1[[#This Row],[discount]]*Table1[[#This Row],[quantity]])</f>
        <v>360.30400000000003</v>
      </c>
      <c r="N147">
        <f>DAY(Table1[[#This Row],[order_date]])</f>
        <v>26</v>
      </c>
      <c r="O147" t="str">
        <f>TEXT(Table1[[#This Row],[order_date]],"mmm")</f>
        <v>May</v>
      </c>
      <c r="P147">
        <f>YEAR(Table1[[#This Row],[order_date]])</f>
        <v>2022</v>
      </c>
    </row>
    <row r="148" spans="1:16" x14ac:dyDescent="0.3">
      <c r="A148">
        <v>10147</v>
      </c>
      <c r="B148" s="1">
        <v>44708</v>
      </c>
      <c r="C148">
        <v>1418</v>
      </c>
      <c r="D148" t="s">
        <v>19</v>
      </c>
      <c r="E148" t="s">
        <v>13</v>
      </c>
      <c r="F148">
        <v>4</v>
      </c>
      <c r="G148">
        <v>584.75</v>
      </c>
      <c r="H148">
        <v>0.35</v>
      </c>
      <c r="I148" t="s">
        <v>18</v>
      </c>
      <c r="J148">
        <v>2</v>
      </c>
      <c r="K148">
        <v>2.4</v>
      </c>
      <c r="L148">
        <v>1520.35</v>
      </c>
      <c r="M148">
        <f>(Table1[[#This Row],[unit_price]]*Table1[[#This Row],[quantity]])-(Table1[[#This Row],[unit_price]]*Table1[[#This Row],[discount]]*Table1[[#This Row],[quantity]])</f>
        <v>1520.35</v>
      </c>
      <c r="N148">
        <f>DAY(Table1[[#This Row],[order_date]])</f>
        <v>27</v>
      </c>
      <c r="O148" t="str">
        <f>TEXT(Table1[[#This Row],[order_date]],"mmm")</f>
        <v>May</v>
      </c>
      <c r="P148">
        <f>YEAR(Table1[[#This Row],[order_date]])</f>
        <v>2022</v>
      </c>
    </row>
    <row r="149" spans="1:16" x14ac:dyDescent="0.3">
      <c r="A149">
        <v>10148</v>
      </c>
      <c r="B149" s="1">
        <v>44709</v>
      </c>
      <c r="C149">
        <v>1288</v>
      </c>
      <c r="D149" t="s">
        <v>15</v>
      </c>
      <c r="E149" t="s">
        <v>17</v>
      </c>
      <c r="F149">
        <v>5</v>
      </c>
      <c r="G149">
        <v>226.56</v>
      </c>
      <c r="H149">
        <v>0.2</v>
      </c>
      <c r="I149" t="s">
        <v>16</v>
      </c>
      <c r="J149">
        <v>7</v>
      </c>
      <c r="K149">
        <v>2.7</v>
      </c>
      <c r="L149">
        <v>906.24</v>
      </c>
      <c r="M149">
        <f>(Table1[[#This Row],[unit_price]]*Table1[[#This Row],[quantity]])-(Table1[[#This Row],[unit_price]]*Table1[[#This Row],[discount]]*Table1[[#This Row],[quantity]])</f>
        <v>906.2399999999999</v>
      </c>
      <c r="N149">
        <f>DAY(Table1[[#This Row],[order_date]])</f>
        <v>28</v>
      </c>
      <c r="O149" t="str">
        <f>TEXT(Table1[[#This Row],[order_date]],"mmm")</f>
        <v>May</v>
      </c>
      <c r="P149">
        <f>YEAR(Table1[[#This Row],[order_date]])</f>
        <v>2022</v>
      </c>
    </row>
    <row r="150" spans="1:16" x14ac:dyDescent="0.3">
      <c r="A150">
        <v>10149</v>
      </c>
      <c r="B150" s="1">
        <v>44710</v>
      </c>
      <c r="C150">
        <v>1378</v>
      </c>
      <c r="D150" t="s">
        <v>12</v>
      </c>
      <c r="E150" t="s">
        <v>20</v>
      </c>
      <c r="F150">
        <v>4</v>
      </c>
      <c r="G150">
        <v>366.81</v>
      </c>
      <c r="H150">
        <v>0.26</v>
      </c>
      <c r="I150" t="s">
        <v>16</v>
      </c>
      <c r="J150">
        <v>8</v>
      </c>
      <c r="K150">
        <v>2.2999999999999998</v>
      </c>
      <c r="L150">
        <v>1085.76</v>
      </c>
      <c r="M150">
        <f>(Table1[[#This Row],[unit_price]]*Table1[[#This Row],[quantity]])-(Table1[[#This Row],[unit_price]]*Table1[[#This Row],[discount]]*Table1[[#This Row],[quantity]])</f>
        <v>1085.7575999999999</v>
      </c>
      <c r="N150">
        <f>DAY(Table1[[#This Row],[order_date]])</f>
        <v>29</v>
      </c>
      <c r="O150" t="str">
        <f>TEXT(Table1[[#This Row],[order_date]],"mmm")</f>
        <v>May</v>
      </c>
      <c r="P150">
        <f>YEAR(Table1[[#This Row],[order_date]])</f>
        <v>2022</v>
      </c>
    </row>
    <row r="151" spans="1:16" x14ac:dyDescent="0.3">
      <c r="A151">
        <v>10150</v>
      </c>
      <c r="B151" s="1">
        <v>44711</v>
      </c>
      <c r="C151">
        <v>1772</v>
      </c>
      <c r="D151" t="s">
        <v>22</v>
      </c>
      <c r="E151" t="s">
        <v>21</v>
      </c>
      <c r="F151">
        <v>6</v>
      </c>
      <c r="G151">
        <v>371.84</v>
      </c>
      <c r="H151">
        <v>7.0000000000000007E-2</v>
      </c>
      <c r="I151" t="s">
        <v>18</v>
      </c>
      <c r="J151">
        <v>1</v>
      </c>
      <c r="K151">
        <v>4.2</v>
      </c>
      <c r="L151">
        <v>2074.87</v>
      </c>
      <c r="M151">
        <f>(Table1[[#This Row],[unit_price]]*Table1[[#This Row],[quantity]])-(Table1[[#This Row],[unit_price]]*Table1[[#This Row],[discount]]*Table1[[#This Row],[quantity]])</f>
        <v>2074.8672000000001</v>
      </c>
      <c r="N151">
        <f>DAY(Table1[[#This Row],[order_date]])</f>
        <v>30</v>
      </c>
      <c r="O151" t="str">
        <f>TEXT(Table1[[#This Row],[order_date]],"mmm")</f>
        <v>May</v>
      </c>
      <c r="P151">
        <f>YEAR(Table1[[#This Row],[order_date]])</f>
        <v>2022</v>
      </c>
    </row>
    <row r="152" spans="1:16" x14ac:dyDescent="0.3">
      <c r="A152">
        <v>10151</v>
      </c>
      <c r="B152" s="1">
        <v>44712</v>
      </c>
      <c r="C152">
        <v>1489</v>
      </c>
      <c r="D152" t="s">
        <v>19</v>
      </c>
      <c r="E152" t="s">
        <v>21</v>
      </c>
      <c r="F152">
        <v>3</v>
      </c>
      <c r="G152">
        <v>342.88</v>
      </c>
      <c r="H152">
        <v>0.23</v>
      </c>
      <c r="I152" t="s">
        <v>16</v>
      </c>
      <c r="J152">
        <v>6</v>
      </c>
      <c r="K152">
        <v>3.9</v>
      </c>
      <c r="L152">
        <v>792.05</v>
      </c>
      <c r="M152">
        <f>(Table1[[#This Row],[unit_price]]*Table1[[#This Row],[quantity]])-(Table1[[#This Row],[unit_price]]*Table1[[#This Row],[discount]]*Table1[[#This Row],[quantity]])</f>
        <v>792.05279999999982</v>
      </c>
      <c r="N152">
        <f>DAY(Table1[[#This Row],[order_date]])</f>
        <v>31</v>
      </c>
      <c r="O152" t="str">
        <f>TEXT(Table1[[#This Row],[order_date]],"mmm")</f>
        <v>May</v>
      </c>
      <c r="P152">
        <f>YEAR(Table1[[#This Row],[order_date]])</f>
        <v>2022</v>
      </c>
    </row>
    <row r="153" spans="1:16" x14ac:dyDescent="0.3">
      <c r="A153">
        <v>10152</v>
      </c>
      <c r="B153" s="1">
        <v>44713</v>
      </c>
      <c r="C153">
        <v>1230</v>
      </c>
      <c r="D153" t="s">
        <v>12</v>
      </c>
      <c r="E153" t="s">
        <v>13</v>
      </c>
      <c r="F153">
        <v>1</v>
      </c>
      <c r="G153">
        <v>550.1</v>
      </c>
      <c r="H153">
        <v>0.23</v>
      </c>
      <c r="I153" t="s">
        <v>14</v>
      </c>
      <c r="J153">
        <v>11</v>
      </c>
      <c r="K153">
        <v>4.0999999999999996</v>
      </c>
      <c r="L153">
        <v>423.58</v>
      </c>
      <c r="M153">
        <f>(Table1[[#This Row],[unit_price]]*Table1[[#This Row],[quantity]])-(Table1[[#This Row],[unit_price]]*Table1[[#This Row],[discount]]*Table1[[#This Row],[quantity]])</f>
        <v>423.577</v>
      </c>
      <c r="N153">
        <f>DAY(Table1[[#This Row],[order_date]])</f>
        <v>1</v>
      </c>
      <c r="O153" t="str">
        <f>TEXT(Table1[[#This Row],[order_date]],"mmm")</f>
        <v>Jun</v>
      </c>
      <c r="P153">
        <f>YEAR(Table1[[#This Row],[order_date]])</f>
        <v>2022</v>
      </c>
    </row>
    <row r="154" spans="1:16" x14ac:dyDescent="0.3">
      <c r="A154">
        <v>10153</v>
      </c>
      <c r="B154" s="1">
        <v>44714</v>
      </c>
      <c r="C154">
        <v>1040</v>
      </c>
      <c r="D154" t="s">
        <v>22</v>
      </c>
      <c r="E154" t="s">
        <v>20</v>
      </c>
      <c r="F154">
        <v>1</v>
      </c>
      <c r="G154">
        <v>409.55</v>
      </c>
      <c r="H154">
        <v>0.32</v>
      </c>
      <c r="I154" t="s">
        <v>16</v>
      </c>
      <c r="J154">
        <v>9</v>
      </c>
      <c r="K154">
        <v>4.5999999999999996</v>
      </c>
      <c r="L154">
        <v>278.49</v>
      </c>
      <c r="M154">
        <f>(Table1[[#This Row],[unit_price]]*Table1[[#This Row],[quantity]])-(Table1[[#This Row],[unit_price]]*Table1[[#This Row],[discount]]*Table1[[#This Row],[quantity]])</f>
        <v>278.49400000000003</v>
      </c>
      <c r="N154">
        <f>DAY(Table1[[#This Row],[order_date]])</f>
        <v>2</v>
      </c>
      <c r="O154" t="str">
        <f>TEXT(Table1[[#This Row],[order_date]],"mmm")</f>
        <v>Jun</v>
      </c>
      <c r="P154">
        <f>YEAR(Table1[[#This Row],[order_date]])</f>
        <v>2022</v>
      </c>
    </row>
    <row r="155" spans="1:16" x14ac:dyDescent="0.3">
      <c r="A155">
        <v>10154</v>
      </c>
      <c r="B155" s="1">
        <v>44715</v>
      </c>
      <c r="C155">
        <v>1027</v>
      </c>
      <c r="D155" t="s">
        <v>22</v>
      </c>
      <c r="E155" t="s">
        <v>21</v>
      </c>
      <c r="F155">
        <v>1</v>
      </c>
      <c r="G155">
        <v>251.18</v>
      </c>
      <c r="H155">
        <v>0.28999999999999998</v>
      </c>
      <c r="I155" t="s">
        <v>18</v>
      </c>
      <c r="J155">
        <v>7</v>
      </c>
      <c r="K155">
        <v>3.4</v>
      </c>
      <c r="L155">
        <v>178.34</v>
      </c>
      <c r="M155">
        <f>(Table1[[#This Row],[unit_price]]*Table1[[#This Row],[quantity]])-(Table1[[#This Row],[unit_price]]*Table1[[#This Row],[discount]]*Table1[[#This Row],[quantity]])</f>
        <v>178.33780000000002</v>
      </c>
      <c r="N155">
        <f>DAY(Table1[[#This Row],[order_date]])</f>
        <v>3</v>
      </c>
      <c r="O155" t="str">
        <f>TEXT(Table1[[#This Row],[order_date]],"mmm")</f>
        <v>Jun</v>
      </c>
      <c r="P155">
        <f>YEAR(Table1[[#This Row],[order_date]])</f>
        <v>2022</v>
      </c>
    </row>
    <row r="156" spans="1:16" x14ac:dyDescent="0.3">
      <c r="A156">
        <v>10155</v>
      </c>
      <c r="B156" s="1">
        <v>44716</v>
      </c>
      <c r="C156">
        <v>1134</v>
      </c>
      <c r="D156" t="s">
        <v>15</v>
      </c>
      <c r="E156" t="s">
        <v>17</v>
      </c>
      <c r="F156">
        <v>3</v>
      </c>
      <c r="G156">
        <v>519.49</v>
      </c>
      <c r="H156">
        <v>0.33</v>
      </c>
      <c r="I156" t="s">
        <v>16</v>
      </c>
      <c r="J156">
        <v>5</v>
      </c>
      <c r="K156">
        <v>3.5</v>
      </c>
      <c r="L156">
        <v>1044.17</v>
      </c>
      <c r="M156">
        <f>(Table1[[#This Row],[unit_price]]*Table1[[#This Row],[quantity]])-(Table1[[#This Row],[unit_price]]*Table1[[#This Row],[discount]]*Table1[[#This Row],[quantity]])</f>
        <v>1044.1749</v>
      </c>
      <c r="N156">
        <f>DAY(Table1[[#This Row],[order_date]])</f>
        <v>4</v>
      </c>
      <c r="O156" t="str">
        <f>TEXT(Table1[[#This Row],[order_date]],"mmm")</f>
        <v>Jun</v>
      </c>
      <c r="P156">
        <f>YEAR(Table1[[#This Row],[order_date]])</f>
        <v>2022</v>
      </c>
    </row>
    <row r="157" spans="1:16" x14ac:dyDescent="0.3">
      <c r="A157">
        <v>10156</v>
      </c>
      <c r="B157" s="1">
        <v>44717</v>
      </c>
      <c r="C157">
        <v>1200</v>
      </c>
      <c r="D157" t="s">
        <v>15</v>
      </c>
      <c r="E157" t="s">
        <v>13</v>
      </c>
      <c r="F157">
        <v>4</v>
      </c>
      <c r="G157">
        <v>120.92</v>
      </c>
      <c r="H157">
        <v>0.3</v>
      </c>
      <c r="I157" t="s">
        <v>16</v>
      </c>
      <c r="J157">
        <v>10</v>
      </c>
      <c r="K157">
        <v>3.9</v>
      </c>
      <c r="L157">
        <v>338.58</v>
      </c>
      <c r="M157">
        <f>(Table1[[#This Row],[unit_price]]*Table1[[#This Row],[quantity]])-(Table1[[#This Row],[unit_price]]*Table1[[#This Row],[discount]]*Table1[[#This Row],[quantity]])</f>
        <v>338.57600000000002</v>
      </c>
      <c r="N157">
        <f>DAY(Table1[[#This Row],[order_date]])</f>
        <v>5</v>
      </c>
      <c r="O157" t="str">
        <f>TEXT(Table1[[#This Row],[order_date]],"mmm")</f>
        <v>Jun</v>
      </c>
      <c r="P157">
        <f>YEAR(Table1[[#This Row],[order_date]])</f>
        <v>2022</v>
      </c>
    </row>
    <row r="158" spans="1:16" x14ac:dyDescent="0.3">
      <c r="A158">
        <v>10157</v>
      </c>
      <c r="B158" s="1">
        <v>44718</v>
      </c>
      <c r="C158">
        <v>1839</v>
      </c>
      <c r="D158" t="s">
        <v>19</v>
      </c>
      <c r="E158" t="s">
        <v>20</v>
      </c>
      <c r="F158">
        <v>5</v>
      </c>
      <c r="G158">
        <v>333.38</v>
      </c>
      <c r="H158">
        <v>0.3</v>
      </c>
      <c r="I158" t="s">
        <v>18</v>
      </c>
      <c r="J158">
        <v>11</v>
      </c>
      <c r="K158">
        <v>3.7</v>
      </c>
      <c r="L158">
        <v>1166.83</v>
      </c>
      <c r="M158">
        <f>(Table1[[#This Row],[unit_price]]*Table1[[#This Row],[quantity]])-(Table1[[#This Row],[unit_price]]*Table1[[#This Row],[discount]]*Table1[[#This Row],[quantity]])</f>
        <v>1166.8300000000002</v>
      </c>
      <c r="N158">
        <f>DAY(Table1[[#This Row],[order_date]])</f>
        <v>6</v>
      </c>
      <c r="O158" t="str">
        <f>TEXT(Table1[[#This Row],[order_date]],"mmm")</f>
        <v>Jun</v>
      </c>
      <c r="P158">
        <f>YEAR(Table1[[#This Row],[order_date]])</f>
        <v>2022</v>
      </c>
    </row>
    <row r="159" spans="1:16" x14ac:dyDescent="0.3">
      <c r="A159">
        <v>10158</v>
      </c>
      <c r="B159" s="1">
        <v>44719</v>
      </c>
      <c r="C159">
        <v>1779</v>
      </c>
      <c r="D159" t="s">
        <v>19</v>
      </c>
      <c r="E159" t="s">
        <v>21</v>
      </c>
      <c r="F159">
        <v>7</v>
      </c>
      <c r="G159">
        <v>571.07000000000005</v>
      </c>
      <c r="H159">
        <v>0.02</v>
      </c>
      <c r="I159" t="s">
        <v>18</v>
      </c>
      <c r="J159">
        <v>10</v>
      </c>
      <c r="K159">
        <v>4.5</v>
      </c>
      <c r="L159">
        <v>3917.54</v>
      </c>
      <c r="M159">
        <f>(Table1[[#This Row],[unit_price]]*Table1[[#This Row],[quantity]])-(Table1[[#This Row],[unit_price]]*Table1[[#This Row],[discount]]*Table1[[#This Row],[quantity]])</f>
        <v>3917.5402000000004</v>
      </c>
      <c r="N159">
        <f>DAY(Table1[[#This Row],[order_date]])</f>
        <v>7</v>
      </c>
      <c r="O159" t="str">
        <f>TEXT(Table1[[#This Row],[order_date]],"mmm")</f>
        <v>Jun</v>
      </c>
      <c r="P159">
        <f>YEAR(Table1[[#This Row],[order_date]])</f>
        <v>2022</v>
      </c>
    </row>
    <row r="160" spans="1:16" x14ac:dyDescent="0.3">
      <c r="A160">
        <v>10159</v>
      </c>
      <c r="B160" s="1">
        <v>44720</v>
      </c>
      <c r="C160">
        <v>1929</v>
      </c>
      <c r="D160" t="s">
        <v>19</v>
      </c>
      <c r="E160" t="s">
        <v>21</v>
      </c>
      <c r="F160">
        <v>2</v>
      </c>
      <c r="G160">
        <v>380.86</v>
      </c>
      <c r="H160">
        <v>0.3</v>
      </c>
      <c r="I160" t="s">
        <v>18</v>
      </c>
      <c r="J160">
        <v>9</v>
      </c>
      <c r="K160">
        <v>4.0999999999999996</v>
      </c>
      <c r="L160">
        <v>533.20000000000005</v>
      </c>
      <c r="M160">
        <f>(Table1[[#This Row],[unit_price]]*Table1[[#This Row],[quantity]])-(Table1[[#This Row],[unit_price]]*Table1[[#This Row],[discount]]*Table1[[#This Row],[quantity]])</f>
        <v>533.20400000000006</v>
      </c>
      <c r="N160">
        <f>DAY(Table1[[#This Row],[order_date]])</f>
        <v>8</v>
      </c>
      <c r="O160" t="str">
        <f>TEXT(Table1[[#This Row],[order_date]],"mmm")</f>
        <v>Jun</v>
      </c>
      <c r="P160">
        <f>YEAR(Table1[[#This Row],[order_date]])</f>
        <v>2022</v>
      </c>
    </row>
    <row r="161" spans="1:16" x14ac:dyDescent="0.3">
      <c r="A161">
        <v>10160</v>
      </c>
      <c r="B161" s="1">
        <v>44721</v>
      </c>
      <c r="C161">
        <v>1032</v>
      </c>
      <c r="D161" t="s">
        <v>19</v>
      </c>
      <c r="E161" t="s">
        <v>20</v>
      </c>
      <c r="F161">
        <v>4</v>
      </c>
      <c r="G161">
        <v>492.93</v>
      </c>
      <c r="H161">
        <v>0.21</v>
      </c>
      <c r="I161" t="s">
        <v>18</v>
      </c>
      <c r="J161">
        <v>2</v>
      </c>
      <c r="K161">
        <v>1.5</v>
      </c>
      <c r="L161">
        <v>1557.66</v>
      </c>
      <c r="M161">
        <f>(Table1[[#This Row],[unit_price]]*Table1[[#This Row],[quantity]])-(Table1[[#This Row],[unit_price]]*Table1[[#This Row],[discount]]*Table1[[#This Row],[quantity]])</f>
        <v>1557.6588000000002</v>
      </c>
      <c r="N161">
        <f>DAY(Table1[[#This Row],[order_date]])</f>
        <v>9</v>
      </c>
      <c r="O161" t="str">
        <f>TEXT(Table1[[#This Row],[order_date]],"mmm")</f>
        <v>Jun</v>
      </c>
      <c r="P161">
        <f>YEAR(Table1[[#This Row],[order_date]])</f>
        <v>2022</v>
      </c>
    </row>
    <row r="162" spans="1:16" x14ac:dyDescent="0.3">
      <c r="A162">
        <v>10161</v>
      </c>
      <c r="B162" s="1">
        <v>44722</v>
      </c>
      <c r="C162">
        <v>1047</v>
      </c>
      <c r="D162" t="s">
        <v>15</v>
      </c>
      <c r="E162" t="s">
        <v>13</v>
      </c>
      <c r="F162">
        <v>3</v>
      </c>
      <c r="G162">
        <v>397.33</v>
      </c>
      <c r="H162">
        <v>0.13</v>
      </c>
      <c r="I162" t="s">
        <v>18</v>
      </c>
      <c r="J162">
        <v>7</v>
      </c>
      <c r="K162">
        <v>4.7</v>
      </c>
      <c r="L162">
        <v>1037.03</v>
      </c>
      <c r="M162">
        <f>(Table1[[#This Row],[unit_price]]*Table1[[#This Row],[quantity]])-(Table1[[#This Row],[unit_price]]*Table1[[#This Row],[discount]]*Table1[[#This Row],[quantity]])</f>
        <v>1037.0313000000001</v>
      </c>
      <c r="N162">
        <f>DAY(Table1[[#This Row],[order_date]])</f>
        <v>10</v>
      </c>
      <c r="O162" t="str">
        <f>TEXT(Table1[[#This Row],[order_date]],"mmm")</f>
        <v>Jun</v>
      </c>
      <c r="P162">
        <f>YEAR(Table1[[#This Row],[order_date]])</f>
        <v>2022</v>
      </c>
    </row>
    <row r="163" spans="1:16" x14ac:dyDescent="0.3">
      <c r="A163">
        <v>10162</v>
      </c>
      <c r="B163" s="1">
        <v>44723</v>
      </c>
      <c r="C163">
        <v>1502</v>
      </c>
      <c r="D163" t="s">
        <v>22</v>
      </c>
      <c r="E163" t="s">
        <v>20</v>
      </c>
      <c r="F163">
        <v>6</v>
      </c>
      <c r="G163">
        <v>506.03</v>
      </c>
      <c r="H163">
        <v>0.02</v>
      </c>
      <c r="I163" t="s">
        <v>18</v>
      </c>
      <c r="J163">
        <v>9</v>
      </c>
      <c r="K163">
        <v>3.7</v>
      </c>
      <c r="L163">
        <v>2975.46</v>
      </c>
      <c r="M163">
        <f>(Table1[[#This Row],[unit_price]]*Table1[[#This Row],[quantity]])-(Table1[[#This Row],[unit_price]]*Table1[[#This Row],[discount]]*Table1[[#This Row],[quantity]])</f>
        <v>2975.4564</v>
      </c>
      <c r="N163">
        <f>DAY(Table1[[#This Row],[order_date]])</f>
        <v>11</v>
      </c>
      <c r="O163" t="str">
        <f>TEXT(Table1[[#This Row],[order_date]],"mmm")</f>
        <v>Jun</v>
      </c>
      <c r="P163">
        <f>YEAR(Table1[[#This Row],[order_date]])</f>
        <v>2022</v>
      </c>
    </row>
    <row r="164" spans="1:16" x14ac:dyDescent="0.3">
      <c r="A164">
        <v>10163</v>
      </c>
      <c r="B164" s="1">
        <v>44724</v>
      </c>
      <c r="C164">
        <v>1406</v>
      </c>
      <c r="D164" t="s">
        <v>15</v>
      </c>
      <c r="E164" t="s">
        <v>20</v>
      </c>
      <c r="F164">
        <v>3</v>
      </c>
      <c r="G164">
        <v>567.53</v>
      </c>
      <c r="H164">
        <v>0.24</v>
      </c>
      <c r="I164" t="s">
        <v>18</v>
      </c>
      <c r="J164">
        <v>2</v>
      </c>
      <c r="K164">
        <v>1.5</v>
      </c>
      <c r="L164">
        <v>1293.97</v>
      </c>
      <c r="M164">
        <f>(Table1[[#This Row],[unit_price]]*Table1[[#This Row],[quantity]])-(Table1[[#This Row],[unit_price]]*Table1[[#This Row],[discount]]*Table1[[#This Row],[quantity]])</f>
        <v>1293.9684</v>
      </c>
      <c r="N164">
        <f>DAY(Table1[[#This Row],[order_date]])</f>
        <v>12</v>
      </c>
      <c r="O164" t="str">
        <f>TEXT(Table1[[#This Row],[order_date]],"mmm")</f>
        <v>Jun</v>
      </c>
      <c r="P164">
        <f>YEAR(Table1[[#This Row],[order_date]])</f>
        <v>2022</v>
      </c>
    </row>
    <row r="165" spans="1:16" x14ac:dyDescent="0.3">
      <c r="A165">
        <v>10164</v>
      </c>
      <c r="B165" s="1">
        <v>44725</v>
      </c>
      <c r="C165">
        <v>1573</v>
      </c>
      <c r="D165" t="s">
        <v>19</v>
      </c>
      <c r="E165" t="s">
        <v>13</v>
      </c>
      <c r="F165">
        <v>7</v>
      </c>
      <c r="G165">
        <v>174.66</v>
      </c>
      <c r="H165">
        <v>0.11</v>
      </c>
      <c r="I165" t="s">
        <v>18</v>
      </c>
      <c r="J165">
        <v>11</v>
      </c>
      <c r="K165">
        <v>4.0999999999999996</v>
      </c>
      <c r="L165">
        <v>1088.1300000000001</v>
      </c>
      <c r="M165">
        <f>(Table1[[#This Row],[unit_price]]*Table1[[#This Row],[quantity]])-(Table1[[#This Row],[unit_price]]*Table1[[#This Row],[discount]]*Table1[[#This Row],[quantity]])</f>
        <v>1088.1317999999999</v>
      </c>
      <c r="N165">
        <f>DAY(Table1[[#This Row],[order_date]])</f>
        <v>13</v>
      </c>
      <c r="O165" t="str">
        <f>TEXT(Table1[[#This Row],[order_date]],"mmm")</f>
        <v>Jun</v>
      </c>
      <c r="P165">
        <f>YEAR(Table1[[#This Row],[order_date]])</f>
        <v>2022</v>
      </c>
    </row>
    <row r="166" spans="1:16" x14ac:dyDescent="0.3">
      <c r="A166">
        <v>10165</v>
      </c>
      <c r="B166" s="1">
        <v>44726</v>
      </c>
      <c r="C166">
        <v>1727</v>
      </c>
      <c r="D166" t="s">
        <v>12</v>
      </c>
      <c r="E166" t="s">
        <v>21</v>
      </c>
      <c r="F166">
        <v>1</v>
      </c>
      <c r="G166">
        <v>114.25</v>
      </c>
      <c r="H166">
        <v>0.16</v>
      </c>
      <c r="I166" t="s">
        <v>18</v>
      </c>
      <c r="J166">
        <v>10</v>
      </c>
      <c r="K166">
        <v>2.4</v>
      </c>
      <c r="L166">
        <v>95.97</v>
      </c>
      <c r="M166">
        <f>(Table1[[#This Row],[unit_price]]*Table1[[#This Row],[quantity]])-(Table1[[#This Row],[unit_price]]*Table1[[#This Row],[discount]]*Table1[[#This Row],[quantity]])</f>
        <v>95.97</v>
      </c>
      <c r="N166">
        <f>DAY(Table1[[#This Row],[order_date]])</f>
        <v>14</v>
      </c>
      <c r="O166" t="str">
        <f>TEXT(Table1[[#This Row],[order_date]],"mmm")</f>
        <v>Jun</v>
      </c>
      <c r="P166">
        <f>YEAR(Table1[[#This Row],[order_date]])</f>
        <v>2022</v>
      </c>
    </row>
    <row r="167" spans="1:16" x14ac:dyDescent="0.3">
      <c r="A167">
        <v>10166</v>
      </c>
      <c r="B167" s="1">
        <v>44727</v>
      </c>
      <c r="C167">
        <v>1804</v>
      </c>
      <c r="D167" t="s">
        <v>12</v>
      </c>
      <c r="E167" t="s">
        <v>17</v>
      </c>
      <c r="F167">
        <v>4</v>
      </c>
      <c r="G167">
        <v>298.13</v>
      </c>
      <c r="H167">
        <v>0.24</v>
      </c>
      <c r="I167" t="s">
        <v>14</v>
      </c>
      <c r="J167">
        <v>6</v>
      </c>
      <c r="K167">
        <v>4.2</v>
      </c>
      <c r="L167">
        <v>906.32</v>
      </c>
      <c r="M167">
        <f>(Table1[[#This Row],[unit_price]]*Table1[[#This Row],[quantity]])-(Table1[[#This Row],[unit_price]]*Table1[[#This Row],[discount]]*Table1[[#This Row],[quantity]])</f>
        <v>906.3152</v>
      </c>
      <c r="N167">
        <f>DAY(Table1[[#This Row],[order_date]])</f>
        <v>15</v>
      </c>
      <c r="O167" t="str">
        <f>TEXT(Table1[[#This Row],[order_date]],"mmm")</f>
        <v>Jun</v>
      </c>
      <c r="P167">
        <f>YEAR(Table1[[#This Row],[order_date]])</f>
        <v>2022</v>
      </c>
    </row>
    <row r="168" spans="1:16" x14ac:dyDescent="0.3">
      <c r="A168">
        <v>10167</v>
      </c>
      <c r="B168" s="1">
        <v>44728</v>
      </c>
      <c r="C168">
        <v>1098</v>
      </c>
      <c r="D168" t="s">
        <v>22</v>
      </c>
      <c r="E168" t="s">
        <v>13</v>
      </c>
      <c r="F168">
        <v>7</v>
      </c>
      <c r="G168">
        <v>425.59</v>
      </c>
      <c r="H168">
        <v>0.32</v>
      </c>
      <c r="I168" t="s">
        <v>16</v>
      </c>
      <c r="J168">
        <v>9</v>
      </c>
      <c r="K168">
        <v>4.8</v>
      </c>
      <c r="L168">
        <v>2025.81</v>
      </c>
      <c r="M168">
        <f>(Table1[[#This Row],[unit_price]]*Table1[[#This Row],[quantity]])-(Table1[[#This Row],[unit_price]]*Table1[[#This Row],[discount]]*Table1[[#This Row],[quantity]])</f>
        <v>2025.8083999999999</v>
      </c>
      <c r="N168">
        <f>DAY(Table1[[#This Row],[order_date]])</f>
        <v>16</v>
      </c>
      <c r="O168" t="str">
        <f>TEXT(Table1[[#This Row],[order_date]],"mmm")</f>
        <v>Jun</v>
      </c>
      <c r="P168">
        <f>YEAR(Table1[[#This Row],[order_date]])</f>
        <v>2022</v>
      </c>
    </row>
    <row r="169" spans="1:16" x14ac:dyDescent="0.3">
      <c r="A169">
        <v>10168</v>
      </c>
      <c r="B169" s="1">
        <v>44729</v>
      </c>
      <c r="C169">
        <v>1683</v>
      </c>
      <c r="D169" t="s">
        <v>12</v>
      </c>
      <c r="E169" t="s">
        <v>17</v>
      </c>
      <c r="F169">
        <v>1</v>
      </c>
      <c r="G169">
        <v>147.91</v>
      </c>
      <c r="H169">
        <v>0.28999999999999998</v>
      </c>
      <c r="I169" t="s">
        <v>18</v>
      </c>
      <c r="J169">
        <v>3</v>
      </c>
      <c r="K169">
        <v>2</v>
      </c>
      <c r="L169">
        <v>105.02</v>
      </c>
      <c r="M169">
        <f>(Table1[[#This Row],[unit_price]]*Table1[[#This Row],[quantity]])-(Table1[[#This Row],[unit_price]]*Table1[[#This Row],[discount]]*Table1[[#This Row],[quantity]])</f>
        <v>105.01609999999999</v>
      </c>
      <c r="N169">
        <f>DAY(Table1[[#This Row],[order_date]])</f>
        <v>17</v>
      </c>
      <c r="O169" t="str">
        <f>TEXT(Table1[[#This Row],[order_date]],"mmm")</f>
        <v>Jun</v>
      </c>
      <c r="P169">
        <f>YEAR(Table1[[#This Row],[order_date]])</f>
        <v>2022</v>
      </c>
    </row>
    <row r="170" spans="1:16" x14ac:dyDescent="0.3">
      <c r="A170">
        <v>10169</v>
      </c>
      <c r="B170" s="1">
        <v>44730</v>
      </c>
      <c r="C170">
        <v>1871</v>
      </c>
      <c r="D170" t="s">
        <v>15</v>
      </c>
      <c r="E170" t="s">
        <v>21</v>
      </c>
      <c r="F170">
        <v>2</v>
      </c>
      <c r="G170">
        <v>17.399999999999999</v>
      </c>
      <c r="H170">
        <v>0.16</v>
      </c>
      <c r="I170" t="s">
        <v>16</v>
      </c>
      <c r="J170">
        <v>8</v>
      </c>
      <c r="K170">
        <v>4.4000000000000004</v>
      </c>
      <c r="L170">
        <v>29.23</v>
      </c>
      <c r="M170">
        <f>(Table1[[#This Row],[unit_price]]*Table1[[#This Row],[quantity]])-(Table1[[#This Row],[unit_price]]*Table1[[#This Row],[discount]]*Table1[[#This Row],[quantity]])</f>
        <v>29.231999999999999</v>
      </c>
      <c r="N170">
        <f>DAY(Table1[[#This Row],[order_date]])</f>
        <v>18</v>
      </c>
      <c r="O170" t="str">
        <f>TEXT(Table1[[#This Row],[order_date]],"mmm")</f>
        <v>Jun</v>
      </c>
      <c r="P170">
        <f>YEAR(Table1[[#This Row],[order_date]])</f>
        <v>2022</v>
      </c>
    </row>
    <row r="171" spans="1:16" x14ac:dyDescent="0.3">
      <c r="A171">
        <v>10170</v>
      </c>
      <c r="B171" s="1">
        <v>44731</v>
      </c>
      <c r="C171">
        <v>1725</v>
      </c>
      <c r="D171" t="s">
        <v>12</v>
      </c>
      <c r="E171" t="s">
        <v>20</v>
      </c>
      <c r="F171">
        <v>6</v>
      </c>
      <c r="G171">
        <v>215.62</v>
      </c>
      <c r="H171">
        <v>0.14000000000000001</v>
      </c>
      <c r="I171" t="s">
        <v>16</v>
      </c>
      <c r="J171">
        <v>5</v>
      </c>
      <c r="K171">
        <v>4.0999999999999996</v>
      </c>
      <c r="L171">
        <v>1112.5999999999999</v>
      </c>
      <c r="M171">
        <f>(Table1[[#This Row],[unit_price]]*Table1[[#This Row],[quantity]])-(Table1[[#This Row],[unit_price]]*Table1[[#This Row],[discount]]*Table1[[#This Row],[quantity]])</f>
        <v>1112.5992000000001</v>
      </c>
      <c r="N171">
        <f>DAY(Table1[[#This Row],[order_date]])</f>
        <v>19</v>
      </c>
      <c r="O171" t="str">
        <f>TEXT(Table1[[#This Row],[order_date]],"mmm")</f>
        <v>Jun</v>
      </c>
      <c r="P171">
        <f>YEAR(Table1[[#This Row],[order_date]])</f>
        <v>2022</v>
      </c>
    </row>
    <row r="172" spans="1:16" x14ac:dyDescent="0.3">
      <c r="A172">
        <v>10171</v>
      </c>
      <c r="B172" s="1">
        <v>44732</v>
      </c>
      <c r="C172">
        <v>1986</v>
      </c>
      <c r="D172" t="s">
        <v>19</v>
      </c>
      <c r="E172" t="s">
        <v>17</v>
      </c>
      <c r="F172">
        <v>1</v>
      </c>
      <c r="G172">
        <v>581.78</v>
      </c>
      <c r="H172">
        <v>0.08</v>
      </c>
      <c r="I172" t="s">
        <v>16</v>
      </c>
      <c r="J172">
        <v>7</v>
      </c>
      <c r="K172">
        <v>3.7</v>
      </c>
      <c r="L172">
        <v>535.24</v>
      </c>
      <c r="M172">
        <f>(Table1[[#This Row],[unit_price]]*Table1[[#This Row],[quantity]])-(Table1[[#This Row],[unit_price]]*Table1[[#This Row],[discount]]*Table1[[#This Row],[quantity]])</f>
        <v>535.23759999999993</v>
      </c>
      <c r="N172">
        <f>DAY(Table1[[#This Row],[order_date]])</f>
        <v>20</v>
      </c>
      <c r="O172" t="str">
        <f>TEXT(Table1[[#This Row],[order_date]],"mmm")</f>
        <v>Jun</v>
      </c>
      <c r="P172">
        <f>YEAR(Table1[[#This Row],[order_date]])</f>
        <v>2022</v>
      </c>
    </row>
    <row r="173" spans="1:16" x14ac:dyDescent="0.3">
      <c r="A173">
        <v>10172</v>
      </c>
      <c r="B173" s="1">
        <v>44733</v>
      </c>
      <c r="C173">
        <v>1546</v>
      </c>
      <c r="D173" t="s">
        <v>15</v>
      </c>
      <c r="E173" t="s">
        <v>21</v>
      </c>
      <c r="F173">
        <v>2</v>
      </c>
      <c r="G173">
        <v>421.56</v>
      </c>
      <c r="H173">
        <v>0.13</v>
      </c>
      <c r="I173" t="s">
        <v>14</v>
      </c>
      <c r="J173">
        <v>3</v>
      </c>
      <c r="K173">
        <v>2.5</v>
      </c>
      <c r="L173">
        <v>733.51</v>
      </c>
      <c r="M173">
        <f>(Table1[[#This Row],[unit_price]]*Table1[[#This Row],[quantity]])-(Table1[[#This Row],[unit_price]]*Table1[[#This Row],[discount]]*Table1[[#This Row],[quantity]])</f>
        <v>733.51440000000002</v>
      </c>
      <c r="N173">
        <f>DAY(Table1[[#This Row],[order_date]])</f>
        <v>21</v>
      </c>
      <c r="O173" t="str">
        <f>TEXT(Table1[[#This Row],[order_date]],"mmm")</f>
        <v>Jun</v>
      </c>
      <c r="P173">
        <f>YEAR(Table1[[#This Row],[order_date]])</f>
        <v>2022</v>
      </c>
    </row>
    <row r="174" spans="1:16" x14ac:dyDescent="0.3">
      <c r="A174">
        <v>10173</v>
      </c>
      <c r="B174" s="1">
        <v>44734</v>
      </c>
      <c r="C174">
        <v>1960</v>
      </c>
      <c r="D174" t="s">
        <v>19</v>
      </c>
      <c r="E174" t="s">
        <v>21</v>
      </c>
      <c r="F174">
        <v>3</v>
      </c>
      <c r="G174">
        <v>249.78</v>
      </c>
      <c r="H174">
        <v>0.04</v>
      </c>
      <c r="I174" t="s">
        <v>18</v>
      </c>
      <c r="J174">
        <v>8</v>
      </c>
      <c r="K174">
        <v>1.4</v>
      </c>
      <c r="L174">
        <v>719.37</v>
      </c>
      <c r="M174">
        <f>(Table1[[#This Row],[unit_price]]*Table1[[#This Row],[quantity]])-(Table1[[#This Row],[unit_price]]*Table1[[#This Row],[discount]]*Table1[[#This Row],[quantity]])</f>
        <v>719.3664</v>
      </c>
      <c r="N174">
        <f>DAY(Table1[[#This Row],[order_date]])</f>
        <v>22</v>
      </c>
      <c r="O174" t="str">
        <f>TEXT(Table1[[#This Row],[order_date]],"mmm")</f>
        <v>Jun</v>
      </c>
      <c r="P174">
        <f>YEAR(Table1[[#This Row],[order_date]])</f>
        <v>2022</v>
      </c>
    </row>
    <row r="175" spans="1:16" x14ac:dyDescent="0.3">
      <c r="A175">
        <v>10174</v>
      </c>
      <c r="B175" s="1">
        <v>44735</v>
      </c>
      <c r="C175">
        <v>1738</v>
      </c>
      <c r="D175" t="s">
        <v>19</v>
      </c>
      <c r="E175" t="s">
        <v>20</v>
      </c>
      <c r="F175">
        <v>1</v>
      </c>
      <c r="G175">
        <v>127.66</v>
      </c>
      <c r="H175">
        <v>0.34</v>
      </c>
      <c r="I175" t="s">
        <v>18</v>
      </c>
      <c r="J175">
        <v>2</v>
      </c>
      <c r="K175">
        <v>2.9</v>
      </c>
      <c r="L175">
        <v>84.26</v>
      </c>
      <c r="M175">
        <f>(Table1[[#This Row],[unit_price]]*Table1[[#This Row],[quantity]])-(Table1[[#This Row],[unit_price]]*Table1[[#This Row],[discount]]*Table1[[#This Row],[quantity]])</f>
        <v>84.255599999999987</v>
      </c>
      <c r="N175">
        <f>DAY(Table1[[#This Row],[order_date]])</f>
        <v>23</v>
      </c>
      <c r="O175" t="str">
        <f>TEXT(Table1[[#This Row],[order_date]],"mmm")</f>
        <v>Jun</v>
      </c>
      <c r="P175">
        <f>YEAR(Table1[[#This Row],[order_date]])</f>
        <v>2022</v>
      </c>
    </row>
    <row r="176" spans="1:16" x14ac:dyDescent="0.3">
      <c r="A176">
        <v>10175</v>
      </c>
      <c r="B176" s="1">
        <v>44736</v>
      </c>
      <c r="C176">
        <v>1612</v>
      </c>
      <c r="D176" t="s">
        <v>19</v>
      </c>
      <c r="E176" t="s">
        <v>20</v>
      </c>
      <c r="F176">
        <v>1</v>
      </c>
      <c r="G176">
        <v>223.31</v>
      </c>
      <c r="H176">
        <v>0.2</v>
      </c>
      <c r="I176" t="s">
        <v>16</v>
      </c>
      <c r="J176">
        <v>8</v>
      </c>
      <c r="K176">
        <v>1.4</v>
      </c>
      <c r="L176">
        <v>178.65</v>
      </c>
      <c r="M176">
        <f>(Table1[[#This Row],[unit_price]]*Table1[[#This Row],[quantity]])-(Table1[[#This Row],[unit_price]]*Table1[[#This Row],[discount]]*Table1[[#This Row],[quantity]])</f>
        <v>178.648</v>
      </c>
      <c r="N176">
        <f>DAY(Table1[[#This Row],[order_date]])</f>
        <v>24</v>
      </c>
      <c r="O176" t="str">
        <f>TEXT(Table1[[#This Row],[order_date]],"mmm")</f>
        <v>Jun</v>
      </c>
      <c r="P176">
        <f>YEAR(Table1[[#This Row],[order_date]])</f>
        <v>2022</v>
      </c>
    </row>
    <row r="177" spans="1:16" x14ac:dyDescent="0.3">
      <c r="A177">
        <v>10176</v>
      </c>
      <c r="B177" s="1">
        <v>44737</v>
      </c>
      <c r="C177">
        <v>1942</v>
      </c>
      <c r="D177" t="s">
        <v>15</v>
      </c>
      <c r="E177" t="s">
        <v>21</v>
      </c>
      <c r="F177">
        <v>5</v>
      </c>
      <c r="G177">
        <v>114.36</v>
      </c>
      <c r="H177">
        <v>0.04</v>
      </c>
      <c r="I177" t="s">
        <v>18</v>
      </c>
      <c r="J177">
        <v>2</v>
      </c>
      <c r="K177">
        <v>3</v>
      </c>
      <c r="L177">
        <v>548.92999999999995</v>
      </c>
      <c r="M177">
        <f>(Table1[[#This Row],[unit_price]]*Table1[[#This Row],[quantity]])-(Table1[[#This Row],[unit_price]]*Table1[[#This Row],[discount]]*Table1[[#This Row],[quantity]])</f>
        <v>548.928</v>
      </c>
      <c r="N177">
        <f>DAY(Table1[[#This Row],[order_date]])</f>
        <v>25</v>
      </c>
      <c r="O177" t="str">
        <f>TEXT(Table1[[#This Row],[order_date]],"mmm")</f>
        <v>Jun</v>
      </c>
      <c r="P177">
        <f>YEAR(Table1[[#This Row],[order_date]])</f>
        <v>2022</v>
      </c>
    </row>
    <row r="178" spans="1:16" x14ac:dyDescent="0.3">
      <c r="A178">
        <v>10177</v>
      </c>
      <c r="B178" s="1">
        <v>44738</v>
      </c>
      <c r="C178">
        <v>1461</v>
      </c>
      <c r="D178" t="s">
        <v>22</v>
      </c>
      <c r="E178" t="s">
        <v>21</v>
      </c>
      <c r="F178">
        <v>6</v>
      </c>
      <c r="G178">
        <v>77.19</v>
      </c>
      <c r="H178">
        <v>0.12</v>
      </c>
      <c r="I178" t="s">
        <v>14</v>
      </c>
      <c r="J178">
        <v>7</v>
      </c>
      <c r="K178">
        <v>4.3</v>
      </c>
      <c r="L178">
        <v>407.56</v>
      </c>
      <c r="M178">
        <f>(Table1[[#This Row],[unit_price]]*Table1[[#This Row],[quantity]])-(Table1[[#This Row],[unit_price]]*Table1[[#This Row],[discount]]*Table1[[#This Row],[quantity]])</f>
        <v>407.56319999999999</v>
      </c>
      <c r="N178">
        <f>DAY(Table1[[#This Row],[order_date]])</f>
        <v>26</v>
      </c>
      <c r="O178" t="str">
        <f>TEXT(Table1[[#This Row],[order_date]],"mmm")</f>
        <v>Jun</v>
      </c>
      <c r="P178">
        <f>YEAR(Table1[[#This Row],[order_date]])</f>
        <v>2022</v>
      </c>
    </row>
    <row r="179" spans="1:16" x14ac:dyDescent="0.3">
      <c r="A179">
        <v>10178</v>
      </c>
      <c r="B179" s="1">
        <v>44739</v>
      </c>
      <c r="C179">
        <v>1642</v>
      </c>
      <c r="D179" t="s">
        <v>15</v>
      </c>
      <c r="E179" t="s">
        <v>17</v>
      </c>
      <c r="F179">
        <v>6</v>
      </c>
      <c r="G179">
        <v>545.44000000000005</v>
      </c>
      <c r="H179">
        <v>0.19</v>
      </c>
      <c r="I179" t="s">
        <v>16</v>
      </c>
      <c r="J179">
        <v>2</v>
      </c>
      <c r="K179">
        <v>5</v>
      </c>
      <c r="L179">
        <v>2650.84</v>
      </c>
      <c r="M179">
        <f>(Table1[[#This Row],[unit_price]]*Table1[[#This Row],[quantity]])-(Table1[[#This Row],[unit_price]]*Table1[[#This Row],[discount]]*Table1[[#This Row],[quantity]])</f>
        <v>2650.8384000000001</v>
      </c>
      <c r="N179">
        <f>DAY(Table1[[#This Row],[order_date]])</f>
        <v>27</v>
      </c>
      <c r="O179" t="str">
        <f>TEXT(Table1[[#This Row],[order_date]],"mmm")</f>
        <v>Jun</v>
      </c>
      <c r="P179">
        <f>YEAR(Table1[[#This Row],[order_date]])</f>
        <v>2022</v>
      </c>
    </row>
    <row r="180" spans="1:16" x14ac:dyDescent="0.3">
      <c r="A180">
        <v>10179</v>
      </c>
      <c r="B180" s="1">
        <v>44740</v>
      </c>
      <c r="C180">
        <v>1768</v>
      </c>
      <c r="D180" t="s">
        <v>19</v>
      </c>
      <c r="E180" t="s">
        <v>21</v>
      </c>
      <c r="F180">
        <v>7</v>
      </c>
      <c r="G180">
        <v>598.63</v>
      </c>
      <c r="H180">
        <v>0.19</v>
      </c>
      <c r="I180" t="s">
        <v>16</v>
      </c>
      <c r="J180">
        <v>7</v>
      </c>
      <c r="K180">
        <v>1.8</v>
      </c>
      <c r="L180">
        <v>3394.23</v>
      </c>
      <c r="M180">
        <f>(Table1[[#This Row],[unit_price]]*Table1[[#This Row],[quantity]])-(Table1[[#This Row],[unit_price]]*Table1[[#This Row],[discount]]*Table1[[#This Row],[quantity]])</f>
        <v>3394.2320999999997</v>
      </c>
      <c r="N180">
        <f>DAY(Table1[[#This Row],[order_date]])</f>
        <v>28</v>
      </c>
      <c r="O180" t="str">
        <f>TEXT(Table1[[#This Row],[order_date]],"mmm")</f>
        <v>Jun</v>
      </c>
      <c r="P180">
        <f>YEAR(Table1[[#This Row],[order_date]])</f>
        <v>2022</v>
      </c>
    </row>
    <row r="181" spans="1:16" x14ac:dyDescent="0.3">
      <c r="A181">
        <v>10180</v>
      </c>
      <c r="B181" s="1">
        <v>44741</v>
      </c>
      <c r="C181">
        <v>1004</v>
      </c>
      <c r="D181" t="s">
        <v>22</v>
      </c>
      <c r="E181" t="s">
        <v>21</v>
      </c>
      <c r="F181">
        <v>3</v>
      </c>
      <c r="G181">
        <v>111.01</v>
      </c>
      <c r="H181">
        <v>0.01</v>
      </c>
      <c r="I181" t="s">
        <v>16</v>
      </c>
      <c r="J181">
        <v>1</v>
      </c>
      <c r="K181">
        <v>1.8</v>
      </c>
      <c r="L181">
        <v>329.7</v>
      </c>
      <c r="M181">
        <f>(Table1[[#This Row],[unit_price]]*Table1[[#This Row],[quantity]])-(Table1[[#This Row],[unit_price]]*Table1[[#This Row],[discount]]*Table1[[#This Row],[quantity]])</f>
        <v>329.69970000000001</v>
      </c>
      <c r="N181">
        <f>DAY(Table1[[#This Row],[order_date]])</f>
        <v>29</v>
      </c>
      <c r="O181" t="str">
        <f>TEXT(Table1[[#This Row],[order_date]],"mmm")</f>
        <v>Jun</v>
      </c>
      <c r="P181">
        <f>YEAR(Table1[[#This Row],[order_date]])</f>
        <v>2022</v>
      </c>
    </row>
    <row r="182" spans="1:16" x14ac:dyDescent="0.3">
      <c r="A182">
        <v>10181</v>
      </c>
      <c r="B182" s="1">
        <v>44742</v>
      </c>
      <c r="C182">
        <v>1217</v>
      </c>
      <c r="D182" t="s">
        <v>15</v>
      </c>
      <c r="E182" t="s">
        <v>17</v>
      </c>
      <c r="F182">
        <v>5</v>
      </c>
      <c r="G182">
        <v>46.9</v>
      </c>
      <c r="H182">
        <v>0.33</v>
      </c>
      <c r="I182" t="s">
        <v>18</v>
      </c>
      <c r="J182">
        <v>6</v>
      </c>
      <c r="K182">
        <v>4.2</v>
      </c>
      <c r="L182">
        <v>157.11000000000001</v>
      </c>
      <c r="M182">
        <f>(Table1[[#This Row],[unit_price]]*Table1[[#This Row],[quantity]])-(Table1[[#This Row],[unit_price]]*Table1[[#This Row],[discount]]*Table1[[#This Row],[quantity]])</f>
        <v>157.11500000000001</v>
      </c>
      <c r="N182">
        <f>DAY(Table1[[#This Row],[order_date]])</f>
        <v>30</v>
      </c>
      <c r="O182" t="str">
        <f>TEXT(Table1[[#This Row],[order_date]],"mmm")</f>
        <v>Jun</v>
      </c>
      <c r="P182">
        <f>YEAR(Table1[[#This Row],[order_date]])</f>
        <v>2022</v>
      </c>
    </row>
    <row r="183" spans="1:16" x14ac:dyDescent="0.3">
      <c r="A183">
        <v>10182</v>
      </c>
      <c r="B183" s="1">
        <v>44743</v>
      </c>
      <c r="C183">
        <v>1502</v>
      </c>
      <c r="D183" t="s">
        <v>15</v>
      </c>
      <c r="E183" t="s">
        <v>13</v>
      </c>
      <c r="F183">
        <v>7</v>
      </c>
      <c r="G183">
        <v>207.89</v>
      </c>
      <c r="H183">
        <v>0.1</v>
      </c>
      <c r="I183" t="s">
        <v>18</v>
      </c>
      <c r="J183">
        <v>10</v>
      </c>
      <c r="K183">
        <v>2.9</v>
      </c>
      <c r="L183">
        <v>1309.71</v>
      </c>
      <c r="M183">
        <f>(Table1[[#This Row],[unit_price]]*Table1[[#This Row],[quantity]])-(Table1[[#This Row],[unit_price]]*Table1[[#This Row],[discount]]*Table1[[#This Row],[quantity]])</f>
        <v>1309.7069999999999</v>
      </c>
      <c r="N183">
        <f>DAY(Table1[[#This Row],[order_date]])</f>
        <v>1</v>
      </c>
      <c r="O183" t="str">
        <f>TEXT(Table1[[#This Row],[order_date]],"mmm")</f>
        <v>Jul</v>
      </c>
      <c r="P183">
        <f>YEAR(Table1[[#This Row],[order_date]])</f>
        <v>2022</v>
      </c>
    </row>
    <row r="184" spans="1:16" x14ac:dyDescent="0.3">
      <c r="A184">
        <v>10183</v>
      </c>
      <c r="B184" s="1">
        <v>44744</v>
      </c>
      <c r="C184">
        <v>1766</v>
      </c>
      <c r="D184" t="s">
        <v>22</v>
      </c>
      <c r="E184" t="s">
        <v>17</v>
      </c>
      <c r="F184">
        <v>2</v>
      </c>
      <c r="G184">
        <v>285.07</v>
      </c>
      <c r="H184">
        <v>0.01</v>
      </c>
      <c r="I184" t="s">
        <v>18</v>
      </c>
      <c r="J184">
        <v>7</v>
      </c>
      <c r="K184">
        <v>4.7</v>
      </c>
      <c r="L184">
        <v>564.44000000000005</v>
      </c>
      <c r="M184">
        <f>(Table1[[#This Row],[unit_price]]*Table1[[#This Row],[quantity]])-(Table1[[#This Row],[unit_price]]*Table1[[#This Row],[discount]]*Table1[[#This Row],[quantity]])</f>
        <v>564.43859999999995</v>
      </c>
      <c r="N184">
        <f>DAY(Table1[[#This Row],[order_date]])</f>
        <v>2</v>
      </c>
      <c r="O184" t="str">
        <f>TEXT(Table1[[#This Row],[order_date]],"mmm")</f>
        <v>Jul</v>
      </c>
      <c r="P184">
        <f>YEAR(Table1[[#This Row],[order_date]])</f>
        <v>2022</v>
      </c>
    </row>
    <row r="185" spans="1:16" x14ac:dyDescent="0.3">
      <c r="A185">
        <v>10184</v>
      </c>
      <c r="B185" s="1">
        <v>44745</v>
      </c>
      <c r="C185">
        <v>1397</v>
      </c>
      <c r="D185" t="s">
        <v>19</v>
      </c>
      <c r="E185" t="s">
        <v>17</v>
      </c>
      <c r="F185">
        <v>7</v>
      </c>
      <c r="G185">
        <v>134.82</v>
      </c>
      <c r="H185">
        <v>0.03</v>
      </c>
      <c r="I185" t="s">
        <v>18</v>
      </c>
      <c r="J185">
        <v>4</v>
      </c>
      <c r="K185">
        <v>4.0999999999999996</v>
      </c>
      <c r="L185">
        <v>915.43</v>
      </c>
      <c r="M185">
        <f>(Table1[[#This Row],[unit_price]]*Table1[[#This Row],[quantity]])-(Table1[[#This Row],[unit_price]]*Table1[[#This Row],[discount]]*Table1[[#This Row],[quantity]])</f>
        <v>915.42780000000005</v>
      </c>
      <c r="N185">
        <f>DAY(Table1[[#This Row],[order_date]])</f>
        <v>3</v>
      </c>
      <c r="O185" t="str">
        <f>TEXT(Table1[[#This Row],[order_date]],"mmm")</f>
        <v>Jul</v>
      </c>
      <c r="P185">
        <f>YEAR(Table1[[#This Row],[order_date]])</f>
        <v>2022</v>
      </c>
    </row>
    <row r="186" spans="1:16" x14ac:dyDescent="0.3">
      <c r="A186">
        <v>10185</v>
      </c>
      <c r="B186" s="1">
        <v>44746</v>
      </c>
      <c r="C186">
        <v>1870</v>
      </c>
      <c r="D186" t="s">
        <v>19</v>
      </c>
      <c r="E186" t="s">
        <v>20</v>
      </c>
      <c r="F186">
        <v>2</v>
      </c>
      <c r="G186">
        <v>191.33</v>
      </c>
      <c r="H186">
        <v>0.2</v>
      </c>
      <c r="I186" t="s">
        <v>16</v>
      </c>
      <c r="J186">
        <v>11</v>
      </c>
      <c r="K186">
        <v>3.9</v>
      </c>
      <c r="L186">
        <v>306.13</v>
      </c>
      <c r="M186">
        <f>(Table1[[#This Row],[unit_price]]*Table1[[#This Row],[quantity]])-(Table1[[#This Row],[unit_price]]*Table1[[#This Row],[discount]]*Table1[[#This Row],[quantity]])</f>
        <v>306.12800000000004</v>
      </c>
      <c r="N186">
        <f>DAY(Table1[[#This Row],[order_date]])</f>
        <v>4</v>
      </c>
      <c r="O186" t="str">
        <f>TEXT(Table1[[#This Row],[order_date]],"mmm")</f>
        <v>Jul</v>
      </c>
      <c r="P186">
        <f>YEAR(Table1[[#This Row],[order_date]])</f>
        <v>2022</v>
      </c>
    </row>
    <row r="187" spans="1:16" x14ac:dyDescent="0.3">
      <c r="A187">
        <v>10186</v>
      </c>
      <c r="B187" s="1">
        <v>44747</v>
      </c>
      <c r="C187">
        <v>1794</v>
      </c>
      <c r="D187" t="s">
        <v>12</v>
      </c>
      <c r="E187" t="s">
        <v>17</v>
      </c>
      <c r="F187">
        <v>3</v>
      </c>
      <c r="G187">
        <v>132.51</v>
      </c>
      <c r="H187">
        <v>0.05</v>
      </c>
      <c r="I187" t="s">
        <v>18</v>
      </c>
      <c r="J187">
        <v>11</v>
      </c>
      <c r="K187">
        <v>1.4</v>
      </c>
      <c r="L187">
        <v>377.65</v>
      </c>
      <c r="M187">
        <f>(Table1[[#This Row],[unit_price]]*Table1[[#This Row],[quantity]])-(Table1[[#This Row],[unit_price]]*Table1[[#This Row],[discount]]*Table1[[#This Row],[quantity]])</f>
        <v>377.65349999999995</v>
      </c>
      <c r="N187">
        <f>DAY(Table1[[#This Row],[order_date]])</f>
        <v>5</v>
      </c>
      <c r="O187" t="str">
        <f>TEXT(Table1[[#This Row],[order_date]],"mmm")</f>
        <v>Jul</v>
      </c>
      <c r="P187">
        <f>YEAR(Table1[[#This Row],[order_date]])</f>
        <v>2022</v>
      </c>
    </row>
    <row r="188" spans="1:16" x14ac:dyDescent="0.3">
      <c r="A188">
        <v>10187</v>
      </c>
      <c r="B188" s="1">
        <v>44748</v>
      </c>
      <c r="C188">
        <v>1392</v>
      </c>
      <c r="D188" t="s">
        <v>19</v>
      </c>
      <c r="E188" t="s">
        <v>21</v>
      </c>
      <c r="F188">
        <v>6</v>
      </c>
      <c r="G188">
        <v>467.94</v>
      </c>
      <c r="H188">
        <v>0.01</v>
      </c>
      <c r="I188" t="s">
        <v>16</v>
      </c>
      <c r="J188">
        <v>1</v>
      </c>
      <c r="K188">
        <v>1.1000000000000001</v>
      </c>
      <c r="L188">
        <v>2779.56</v>
      </c>
      <c r="M188">
        <f>(Table1[[#This Row],[unit_price]]*Table1[[#This Row],[quantity]])-(Table1[[#This Row],[unit_price]]*Table1[[#This Row],[discount]]*Table1[[#This Row],[quantity]])</f>
        <v>2779.5636</v>
      </c>
      <c r="N188">
        <f>DAY(Table1[[#This Row],[order_date]])</f>
        <v>6</v>
      </c>
      <c r="O188" t="str">
        <f>TEXT(Table1[[#This Row],[order_date]],"mmm")</f>
        <v>Jul</v>
      </c>
      <c r="P188">
        <f>YEAR(Table1[[#This Row],[order_date]])</f>
        <v>2022</v>
      </c>
    </row>
    <row r="189" spans="1:16" x14ac:dyDescent="0.3">
      <c r="A189">
        <v>10188</v>
      </c>
      <c r="B189" s="1">
        <v>44749</v>
      </c>
      <c r="C189">
        <v>1206</v>
      </c>
      <c r="D189" t="s">
        <v>15</v>
      </c>
      <c r="E189" t="s">
        <v>21</v>
      </c>
      <c r="F189">
        <v>2</v>
      </c>
      <c r="G189">
        <v>431.86</v>
      </c>
      <c r="H189">
        <v>0.13</v>
      </c>
      <c r="I189" t="s">
        <v>16</v>
      </c>
      <c r="J189">
        <v>6</v>
      </c>
      <c r="K189">
        <v>2.2999999999999998</v>
      </c>
      <c r="L189">
        <v>751.44</v>
      </c>
      <c r="M189">
        <f>(Table1[[#This Row],[unit_price]]*Table1[[#This Row],[quantity]])-(Table1[[#This Row],[unit_price]]*Table1[[#This Row],[discount]]*Table1[[#This Row],[quantity]])</f>
        <v>751.43640000000005</v>
      </c>
      <c r="N189">
        <f>DAY(Table1[[#This Row],[order_date]])</f>
        <v>7</v>
      </c>
      <c r="O189" t="str">
        <f>TEXT(Table1[[#This Row],[order_date]],"mmm")</f>
        <v>Jul</v>
      </c>
      <c r="P189">
        <f>YEAR(Table1[[#This Row],[order_date]])</f>
        <v>2022</v>
      </c>
    </row>
    <row r="190" spans="1:16" x14ac:dyDescent="0.3">
      <c r="A190">
        <v>10189</v>
      </c>
      <c r="B190" s="1">
        <v>44750</v>
      </c>
      <c r="C190">
        <v>1014</v>
      </c>
      <c r="D190" t="s">
        <v>12</v>
      </c>
      <c r="E190" t="s">
        <v>21</v>
      </c>
      <c r="F190">
        <v>3</v>
      </c>
      <c r="G190">
        <v>386.45</v>
      </c>
      <c r="H190">
        <v>0.22</v>
      </c>
      <c r="I190" t="s">
        <v>18</v>
      </c>
      <c r="J190">
        <v>4</v>
      </c>
      <c r="K190">
        <v>1.9</v>
      </c>
      <c r="L190">
        <v>904.29</v>
      </c>
      <c r="M190">
        <f>(Table1[[#This Row],[unit_price]]*Table1[[#This Row],[quantity]])-(Table1[[#This Row],[unit_price]]*Table1[[#This Row],[discount]]*Table1[[#This Row],[quantity]])</f>
        <v>904.29299999999989</v>
      </c>
      <c r="N190">
        <f>DAY(Table1[[#This Row],[order_date]])</f>
        <v>8</v>
      </c>
      <c r="O190" t="str">
        <f>TEXT(Table1[[#This Row],[order_date]],"mmm")</f>
        <v>Jul</v>
      </c>
      <c r="P190">
        <f>YEAR(Table1[[#This Row],[order_date]])</f>
        <v>2022</v>
      </c>
    </row>
    <row r="191" spans="1:16" x14ac:dyDescent="0.3">
      <c r="A191">
        <v>10190</v>
      </c>
      <c r="B191" s="1">
        <v>44751</v>
      </c>
      <c r="C191">
        <v>1857</v>
      </c>
      <c r="D191" t="s">
        <v>22</v>
      </c>
      <c r="E191" t="s">
        <v>13</v>
      </c>
      <c r="F191">
        <v>7</v>
      </c>
      <c r="G191">
        <v>241.52</v>
      </c>
      <c r="H191">
        <v>0.04</v>
      </c>
      <c r="I191" t="s">
        <v>14</v>
      </c>
      <c r="J191">
        <v>3</v>
      </c>
      <c r="K191">
        <v>3.8</v>
      </c>
      <c r="L191">
        <v>1623.01</v>
      </c>
      <c r="M191">
        <f>(Table1[[#This Row],[unit_price]]*Table1[[#This Row],[quantity]])-(Table1[[#This Row],[unit_price]]*Table1[[#This Row],[discount]]*Table1[[#This Row],[quantity]])</f>
        <v>1623.0144</v>
      </c>
      <c r="N191">
        <f>DAY(Table1[[#This Row],[order_date]])</f>
        <v>9</v>
      </c>
      <c r="O191" t="str">
        <f>TEXT(Table1[[#This Row],[order_date]],"mmm")</f>
        <v>Jul</v>
      </c>
      <c r="P191">
        <f>YEAR(Table1[[#This Row],[order_date]])</f>
        <v>2022</v>
      </c>
    </row>
    <row r="192" spans="1:16" x14ac:dyDescent="0.3">
      <c r="A192">
        <v>10191</v>
      </c>
      <c r="B192" s="1">
        <v>44752</v>
      </c>
      <c r="C192">
        <v>1553</v>
      </c>
      <c r="D192" t="s">
        <v>19</v>
      </c>
      <c r="E192" t="s">
        <v>21</v>
      </c>
      <c r="F192">
        <v>2</v>
      </c>
      <c r="G192">
        <v>546.79</v>
      </c>
      <c r="H192">
        <v>0.11</v>
      </c>
      <c r="I192" t="s">
        <v>18</v>
      </c>
      <c r="J192">
        <v>4</v>
      </c>
      <c r="K192">
        <v>2.8</v>
      </c>
      <c r="L192">
        <v>973.29</v>
      </c>
      <c r="M192">
        <f>(Table1[[#This Row],[unit_price]]*Table1[[#This Row],[quantity]])-(Table1[[#This Row],[unit_price]]*Table1[[#This Row],[discount]]*Table1[[#This Row],[quantity]])</f>
        <v>973.28619999999989</v>
      </c>
      <c r="N192">
        <f>DAY(Table1[[#This Row],[order_date]])</f>
        <v>10</v>
      </c>
      <c r="O192" t="str">
        <f>TEXT(Table1[[#This Row],[order_date]],"mmm")</f>
        <v>Jul</v>
      </c>
      <c r="P192">
        <f>YEAR(Table1[[#This Row],[order_date]])</f>
        <v>2022</v>
      </c>
    </row>
    <row r="193" spans="1:16" x14ac:dyDescent="0.3">
      <c r="A193">
        <v>10192</v>
      </c>
      <c r="B193" s="1">
        <v>44753</v>
      </c>
      <c r="C193">
        <v>1891</v>
      </c>
      <c r="D193" t="s">
        <v>19</v>
      </c>
      <c r="E193" t="s">
        <v>13</v>
      </c>
      <c r="F193">
        <v>4</v>
      </c>
      <c r="G193">
        <v>582.17999999999995</v>
      </c>
      <c r="H193">
        <v>0.15</v>
      </c>
      <c r="I193" t="s">
        <v>18</v>
      </c>
      <c r="J193">
        <v>6</v>
      </c>
      <c r="K193">
        <v>3.1</v>
      </c>
      <c r="L193">
        <v>1979.41</v>
      </c>
      <c r="M193">
        <f>(Table1[[#This Row],[unit_price]]*Table1[[#This Row],[quantity]])-(Table1[[#This Row],[unit_price]]*Table1[[#This Row],[discount]]*Table1[[#This Row],[quantity]])</f>
        <v>1979.4119999999998</v>
      </c>
      <c r="N193">
        <f>DAY(Table1[[#This Row],[order_date]])</f>
        <v>11</v>
      </c>
      <c r="O193" t="str">
        <f>TEXT(Table1[[#This Row],[order_date]],"mmm")</f>
        <v>Jul</v>
      </c>
      <c r="P193">
        <f>YEAR(Table1[[#This Row],[order_date]])</f>
        <v>2022</v>
      </c>
    </row>
    <row r="194" spans="1:16" x14ac:dyDescent="0.3">
      <c r="A194">
        <v>10193</v>
      </c>
      <c r="B194" s="1">
        <v>44754</v>
      </c>
      <c r="C194">
        <v>1460</v>
      </c>
      <c r="D194" t="s">
        <v>19</v>
      </c>
      <c r="E194" t="s">
        <v>21</v>
      </c>
      <c r="F194">
        <v>1</v>
      </c>
      <c r="G194">
        <v>116.58</v>
      </c>
      <c r="H194">
        <v>0.06</v>
      </c>
      <c r="I194" t="s">
        <v>16</v>
      </c>
      <c r="J194">
        <v>5</v>
      </c>
      <c r="K194">
        <v>4.3</v>
      </c>
      <c r="L194">
        <v>109.59</v>
      </c>
      <c r="M194">
        <f>(Table1[[#This Row],[unit_price]]*Table1[[#This Row],[quantity]])-(Table1[[#This Row],[unit_price]]*Table1[[#This Row],[discount]]*Table1[[#This Row],[quantity]])</f>
        <v>109.5852</v>
      </c>
      <c r="N194">
        <f>DAY(Table1[[#This Row],[order_date]])</f>
        <v>12</v>
      </c>
      <c r="O194" t="str">
        <f>TEXT(Table1[[#This Row],[order_date]],"mmm")</f>
        <v>Jul</v>
      </c>
      <c r="P194">
        <f>YEAR(Table1[[#This Row],[order_date]])</f>
        <v>2022</v>
      </c>
    </row>
    <row r="195" spans="1:16" x14ac:dyDescent="0.3">
      <c r="A195">
        <v>10194</v>
      </c>
      <c r="B195" s="1">
        <v>44755</v>
      </c>
      <c r="C195">
        <v>1690</v>
      </c>
      <c r="D195" t="s">
        <v>15</v>
      </c>
      <c r="E195" t="s">
        <v>17</v>
      </c>
      <c r="F195">
        <v>7</v>
      </c>
      <c r="G195">
        <v>145.46</v>
      </c>
      <c r="H195">
        <v>0.18</v>
      </c>
      <c r="I195" t="s">
        <v>16</v>
      </c>
      <c r="J195">
        <v>2</v>
      </c>
      <c r="K195">
        <v>2.9</v>
      </c>
      <c r="L195">
        <v>834.94</v>
      </c>
      <c r="M195">
        <f>(Table1[[#This Row],[unit_price]]*Table1[[#This Row],[quantity]])-(Table1[[#This Row],[unit_price]]*Table1[[#This Row],[discount]]*Table1[[#This Row],[quantity]])</f>
        <v>834.94039999999995</v>
      </c>
      <c r="N195">
        <f>DAY(Table1[[#This Row],[order_date]])</f>
        <v>13</v>
      </c>
      <c r="O195" t="str">
        <f>TEXT(Table1[[#This Row],[order_date]],"mmm")</f>
        <v>Jul</v>
      </c>
      <c r="P195">
        <f>YEAR(Table1[[#This Row],[order_date]])</f>
        <v>2022</v>
      </c>
    </row>
    <row r="196" spans="1:16" x14ac:dyDescent="0.3">
      <c r="A196">
        <v>10195</v>
      </c>
      <c r="B196" s="1">
        <v>44756</v>
      </c>
      <c r="C196">
        <v>1574</v>
      </c>
      <c r="D196" t="s">
        <v>15</v>
      </c>
      <c r="E196" t="s">
        <v>20</v>
      </c>
      <c r="F196">
        <v>6</v>
      </c>
      <c r="G196">
        <v>322.49</v>
      </c>
      <c r="H196">
        <v>0.03</v>
      </c>
      <c r="I196" t="s">
        <v>16</v>
      </c>
      <c r="J196">
        <v>2</v>
      </c>
      <c r="K196">
        <v>3.2</v>
      </c>
      <c r="L196">
        <v>1876.89</v>
      </c>
      <c r="M196">
        <f>(Table1[[#This Row],[unit_price]]*Table1[[#This Row],[quantity]])-(Table1[[#This Row],[unit_price]]*Table1[[#This Row],[discount]]*Table1[[#This Row],[quantity]])</f>
        <v>1876.8918000000001</v>
      </c>
      <c r="N196">
        <f>DAY(Table1[[#This Row],[order_date]])</f>
        <v>14</v>
      </c>
      <c r="O196" t="str">
        <f>TEXT(Table1[[#This Row],[order_date]],"mmm")</f>
        <v>Jul</v>
      </c>
      <c r="P196">
        <f>YEAR(Table1[[#This Row],[order_date]])</f>
        <v>2022</v>
      </c>
    </row>
    <row r="197" spans="1:16" x14ac:dyDescent="0.3">
      <c r="A197">
        <v>10196</v>
      </c>
      <c r="B197" s="1">
        <v>44757</v>
      </c>
      <c r="C197">
        <v>1863</v>
      </c>
      <c r="D197" t="s">
        <v>19</v>
      </c>
      <c r="E197" t="s">
        <v>21</v>
      </c>
      <c r="F197">
        <v>7</v>
      </c>
      <c r="G197">
        <v>68.38</v>
      </c>
      <c r="H197">
        <v>0.02</v>
      </c>
      <c r="I197" t="s">
        <v>14</v>
      </c>
      <c r="J197">
        <v>3</v>
      </c>
      <c r="K197">
        <v>4.4000000000000004</v>
      </c>
      <c r="L197">
        <v>469.09</v>
      </c>
      <c r="M197">
        <f>(Table1[[#This Row],[unit_price]]*Table1[[#This Row],[quantity]])-(Table1[[#This Row],[unit_price]]*Table1[[#This Row],[discount]]*Table1[[#This Row],[quantity]])</f>
        <v>469.08679999999998</v>
      </c>
      <c r="N197">
        <f>DAY(Table1[[#This Row],[order_date]])</f>
        <v>15</v>
      </c>
      <c r="O197" t="str">
        <f>TEXT(Table1[[#This Row],[order_date]],"mmm")</f>
        <v>Jul</v>
      </c>
      <c r="P197">
        <f>YEAR(Table1[[#This Row],[order_date]])</f>
        <v>2022</v>
      </c>
    </row>
    <row r="198" spans="1:16" x14ac:dyDescent="0.3">
      <c r="A198">
        <v>10197</v>
      </c>
      <c r="B198" s="1">
        <v>44758</v>
      </c>
      <c r="C198">
        <v>1742</v>
      </c>
      <c r="D198" t="s">
        <v>12</v>
      </c>
      <c r="E198" t="s">
        <v>13</v>
      </c>
      <c r="F198">
        <v>4</v>
      </c>
      <c r="G198">
        <v>270.32</v>
      </c>
      <c r="H198">
        <v>0.18</v>
      </c>
      <c r="I198" t="s">
        <v>14</v>
      </c>
      <c r="J198">
        <v>11</v>
      </c>
      <c r="K198">
        <v>2.7</v>
      </c>
      <c r="L198">
        <v>886.65</v>
      </c>
      <c r="M198">
        <f>(Table1[[#This Row],[unit_price]]*Table1[[#This Row],[quantity]])-(Table1[[#This Row],[unit_price]]*Table1[[#This Row],[discount]]*Table1[[#This Row],[quantity]])</f>
        <v>886.64959999999996</v>
      </c>
      <c r="N198">
        <f>DAY(Table1[[#This Row],[order_date]])</f>
        <v>16</v>
      </c>
      <c r="O198" t="str">
        <f>TEXT(Table1[[#This Row],[order_date]],"mmm")</f>
        <v>Jul</v>
      </c>
      <c r="P198">
        <f>YEAR(Table1[[#This Row],[order_date]])</f>
        <v>2022</v>
      </c>
    </row>
    <row r="199" spans="1:16" x14ac:dyDescent="0.3">
      <c r="A199">
        <v>10198</v>
      </c>
      <c r="B199" s="1">
        <v>44759</v>
      </c>
      <c r="C199">
        <v>1240</v>
      </c>
      <c r="D199" t="s">
        <v>15</v>
      </c>
      <c r="E199" t="s">
        <v>13</v>
      </c>
      <c r="F199">
        <v>3</v>
      </c>
      <c r="G199">
        <v>355.35</v>
      </c>
      <c r="H199">
        <v>0.09</v>
      </c>
      <c r="I199" t="s">
        <v>14</v>
      </c>
      <c r="J199">
        <v>6</v>
      </c>
      <c r="K199">
        <v>1.3</v>
      </c>
      <c r="L199">
        <v>970.11</v>
      </c>
      <c r="M199">
        <f>(Table1[[#This Row],[unit_price]]*Table1[[#This Row],[quantity]])-(Table1[[#This Row],[unit_price]]*Table1[[#This Row],[discount]]*Table1[[#This Row],[quantity]])</f>
        <v>970.10550000000012</v>
      </c>
      <c r="N199">
        <f>DAY(Table1[[#This Row],[order_date]])</f>
        <v>17</v>
      </c>
      <c r="O199" t="str">
        <f>TEXT(Table1[[#This Row],[order_date]],"mmm")</f>
        <v>Jul</v>
      </c>
      <c r="P199">
        <f>YEAR(Table1[[#This Row],[order_date]])</f>
        <v>2022</v>
      </c>
    </row>
    <row r="200" spans="1:16" x14ac:dyDescent="0.3">
      <c r="A200">
        <v>10199</v>
      </c>
      <c r="B200" s="1">
        <v>44760</v>
      </c>
      <c r="C200">
        <v>1563</v>
      </c>
      <c r="D200" t="s">
        <v>19</v>
      </c>
      <c r="E200" t="s">
        <v>20</v>
      </c>
      <c r="F200">
        <v>3</v>
      </c>
      <c r="G200">
        <v>320.41000000000003</v>
      </c>
      <c r="H200">
        <v>0.03</v>
      </c>
      <c r="I200" t="s">
        <v>16</v>
      </c>
      <c r="J200">
        <v>1</v>
      </c>
      <c r="K200">
        <v>3.1</v>
      </c>
      <c r="L200">
        <v>932.39</v>
      </c>
      <c r="M200">
        <f>(Table1[[#This Row],[unit_price]]*Table1[[#This Row],[quantity]])-(Table1[[#This Row],[unit_price]]*Table1[[#This Row],[discount]]*Table1[[#This Row],[quantity]])</f>
        <v>932.3931</v>
      </c>
      <c r="N200">
        <f>DAY(Table1[[#This Row],[order_date]])</f>
        <v>18</v>
      </c>
      <c r="O200" t="str">
        <f>TEXT(Table1[[#This Row],[order_date]],"mmm")</f>
        <v>Jul</v>
      </c>
      <c r="P200">
        <f>YEAR(Table1[[#This Row],[order_date]])</f>
        <v>2022</v>
      </c>
    </row>
    <row r="201" spans="1:16" x14ac:dyDescent="0.3">
      <c r="A201">
        <v>10200</v>
      </c>
      <c r="B201" s="1">
        <v>44761</v>
      </c>
      <c r="C201">
        <v>1095</v>
      </c>
      <c r="D201" t="s">
        <v>15</v>
      </c>
      <c r="E201" t="s">
        <v>21</v>
      </c>
      <c r="F201">
        <v>7</v>
      </c>
      <c r="G201">
        <v>208.58</v>
      </c>
      <c r="H201">
        <v>0.15</v>
      </c>
      <c r="I201" t="s">
        <v>18</v>
      </c>
      <c r="J201">
        <v>11</v>
      </c>
      <c r="K201">
        <v>3.3</v>
      </c>
      <c r="L201">
        <v>1241.05</v>
      </c>
      <c r="M201">
        <f>(Table1[[#This Row],[unit_price]]*Table1[[#This Row],[quantity]])-(Table1[[#This Row],[unit_price]]*Table1[[#This Row],[discount]]*Table1[[#This Row],[quantity]])</f>
        <v>1241.0510000000002</v>
      </c>
      <c r="N201">
        <f>DAY(Table1[[#This Row],[order_date]])</f>
        <v>19</v>
      </c>
      <c r="O201" t="str">
        <f>TEXT(Table1[[#This Row],[order_date]],"mmm")</f>
        <v>Jul</v>
      </c>
      <c r="P201">
        <f>YEAR(Table1[[#This Row],[order_date]])</f>
        <v>2022</v>
      </c>
    </row>
    <row r="202" spans="1:16" x14ac:dyDescent="0.3">
      <c r="A202">
        <v>10201</v>
      </c>
      <c r="B202" s="1">
        <v>44762</v>
      </c>
      <c r="C202">
        <v>1899</v>
      </c>
      <c r="D202" t="s">
        <v>22</v>
      </c>
      <c r="E202" t="s">
        <v>17</v>
      </c>
      <c r="F202">
        <v>4</v>
      </c>
      <c r="G202">
        <v>332.33</v>
      </c>
      <c r="H202">
        <v>0.32</v>
      </c>
      <c r="I202" t="s">
        <v>18</v>
      </c>
      <c r="J202">
        <v>7</v>
      </c>
      <c r="K202">
        <v>3</v>
      </c>
      <c r="L202">
        <v>903.94</v>
      </c>
      <c r="M202">
        <f>(Table1[[#This Row],[unit_price]]*Table1[[#This Row],[quantity]])-(Table1[[#This Row],[unit_price]]*Table1[[#This Row],[discount]]*Table1[[#This Row],[quantity]])</f>
        <v>903.93759999999997</v>
      </c>
      <c r="N202">
        <f>DAY(Table1[[#This Row],[order_date]])</f>
        <v>20</v>
      </c>
      <c r="O202" t="str">
        <f>TEXT(Table1[[#This Row],[order_date]],"mmm")</f>
        <v>Jul</v>
      </c>
      <c r="P202">
        <f>YEAR(Table1[[#This Row],[order_date]])</f>
        <v>2022</v>
      </c>
    </row>
    <row r="203" spans="1:16" x14ac:dyDescent="0.3">
      <c r="A203">
        <v>10202</v>
      </c>
      <c r="B203" s="1">
        <v>44763</v>
      </c>
      <c r="C203">
        <v>1733</v>
      </c>
      <c r="D203" t="s">
        <v>19</v>
      </c>
      <c r="E203" t="s">
        <v>21</v>
      </c>
      <c r="F203">
        <v>7</v>
      </c>
      <c r="G203">
        <v>575.9</v>
      </c>
      <c r="H203">
        <v>0.25</v>
      </c>
      <c r="I203" t="s">
        <v>18</v>
      </c>
      <c r="J203">
        <v>8</v>
      </c>
      <c r="K203">
        <v>2</v>
      </c>
      <c r="L203">
        <v>3023.48</v>
      </c>
      <c r="M203">
        <f>(Table1[[#This Row],[unit_price]]*Table1[[#This Row],[quantity]])-(Table1[[#This Row],[unit_price]]*Table1[[#This Row],[discount]]*Table1[[#This Row],[quantity]])</f>
        <v>3023.4749999999999</v>
      </c>
      <c r="N203">
        <f>DAY(Table1[[#This Row],[order_date]])</f>
        <v>21</v>
      </c>
      <c r="O203" t="str">
        <f>TEXT(Table1[[#This Row],[order_date]],"mmm")</f>
        <v>Jul</v>
      </c>
      <c r="P203">
        <f>YEAR(Table1[[#This Row],[order_date]])</f>
        <v>2022</v>
      </c>
    </row>
    <row r="204" spans="1:16" x14ac:dyDescent="0.3">
      <c r="A204">
        <v>10203</v>
      </c>
      <c r="B204" s="1">
        <v>44764</v>
      </c>
      <c r="C204">
        <v>1484</v>
      </c>
      <c r="D204" t="s">
        <v>19</v>
      </c>
      <c r="E204" t="s">
        <v>21</v>
      </c>
      <c r="F204">
        <v>1</v>
      </c>
      <c r="G204">
        <v>135.52000000000001</v>
      </c>
      <c r="H204">
        <v>0.28999999999999998</v>
      </c>
      <c r="I204" t="s">
        <v>18</v>
      </c>
      <c r="J204">
        <v>7</v>
      </c>
      <c r="K204">
        <v>1.9</v>
      </c>
      <c r="L204">
        <v>96.22</v>
      </c>
      <c r="M204">
        <f>(Table1[[#This Row],[unit_price]]*Table1[[#This Row],[quantity]])-(Table1[[#This Row],[unit_price]]*Table1[[#This Row],[discount]]*Table1[[#This Row],[quantity]])</f>
        <v>96.219200000000001</v>
      </c>
      <c r="N204">
        <f>DAY(Table1[[#This Row],[order_date]])</f>
        <v>22</v>
      </c>
      <c r="O204" t="str">
        <f>TEXT(Table1[[#This Row],[order_date]],"mmm")</f>
        <v>Jul</v>
      </c>
      <c r="P204">
        <f>YEAR(Table1[[#This Row],[order_date]])</f>
        <v>2022</v>
      </c>
    </row>
    <row r="205" spans="1:16" x14ac:dyDescent="0.3">
      <c r="A205">
        <v>10204</v>
      </c>
      <c r="B205" s="1">
        <v>44765</v>
      </c>
      <c r="C205">
        <v>1406</v>
      </c>
      <c r="D205" t="s">
        <v>22</v>
      </c>
      <c r="E205" t="s">
        <v>20</v>
      </c>
      <c r="F205">
        <v>1</v>
      </c>
      <c r="G205">
        <v>398.08</v>
      </c>
      <c r="H205">
        <v>0.31</v>
      </c>
      <c r="I205" t="s">
        <v>18</v>
      </c>
      <c r="J205">
        <v>11</v>
      </c>
      <c r="K205">
        <v>2.5</v>
      </c>
      <c r="L205">
        <v>274.68</v>
      </c>
      <c r="M205">
        <f>(Table1[[#This Row],[unit_price]]*Table1[[#This Row],[quantity]])-(Table1[[#This Row],[unit_price]]*Table1[[#This Row],[discount]]*Table1[[#This Row],[quantity]])</f>
        <v>274.67520000000002</v>
      </c>
      <c r="N205">
        <f>DAY(Table1[[#This Row],[order_date]])</f>
        <v>23</v>
      </c>
      <c r="O205" t="str">
        <f>TEXT(Table1[[#This Row],[order_date]],"mmm")</f>
        <v>Jul</v>
      </c>
      <c r="P205">
        <f>YEAR(Table1[[#This Row],[order_date]])</f>
        <v>2022</v>
      </c>
    </row>
    <row r="206" spans="1:16" x14ac:dyDescent="0.3">
      <c r="A206">
        <v>10205</v>
      </c>
      <c r="B206" s="1">
        <v>44766</v>
      </c>
      <c r="C206">
        <v>1230</v>
      </c>
      <c r="D206" t="s">
        <v>15</v>
      </c>
      <c r="E206" t="s">
        <v>21</v>
      </c>
      <c r="F206">
        <v>5</v>
      </c>
      <c r="G206">
        <v>40.39</v>
      </c>
      <c r="H206">
        <v>0.34</v>
      </c>
      <c r="I206" t="s">
        <v>16</v>
      </c>
      <c r="J206">
        <v>3</v>
      </c>
      <c r="K206">
        <v>1.7</v>
      </c>
      <c r="L206">
        <v>133.29</v>
      </c>
      <c r="M206">
        <f>(Table1[[#This Row],[unit_price]]*Table1[[#This Row],[quantity]])-(Table1[[#This Row],[unit_price]]*Table1[[#This Row],[discount]]*Table1[[#This Row],[quantity]])</f>
        <v>133.28699999999998</v>
      </c>
      <c r="N206">
        <f>DAY(Table1[[#This Row],[order_date]])</f>
        <v>24</v>
      </c>
      <c r="O206" t="str">
        <f>TEXT(Table1[[#This Row],[order_date]],"mmm")</f>
        <v>Jul</v>
      </c>
      <c r="P206">
        <f>YEAR(Table1[[#This Row],[order_date]])</f>
        <v>2022</v>
      </c>
    </row>
    <row r="207" spans="1:16" x14ac:dyDescent="0.3">
      <c r="A207">
        <v>10206</v>
      </c>
      <c r="B207" s="1">
        <v>44767</v>
      </c>
      <c r="C207">
        <v>1748</v>
      </c>
      <c r="D207" t="s">
        <v>15</v>
      </c>
      <c r="E207" t="s">
        <v>17</v>
      </c>
      <c r="F207">
        <v>2</v>
      </c>
      <c r="G207">
        <v>53.85</v>
      </c>
      <c r="H207">
        <v>0.27</v>
      </c>
      <c r="I207" t="s">
        <v>16</v>
      </c>
      <c r="J207">
        <v>6</v>
      </c>
      <c r="K207">
        <v>3.7</v>
      </c>
      <c r="L207">
        <v>78.62</v>
      </c>
      <c r="M207">
        <f>(Table1[[#This Row],[unit_price]]*Table1[[#This Row],[quantity]])-(Table1[[#This Row],[unit_price]]*Table1[[#This Row],[discount]]*Table1[[#This Row],[quantity]])</f>
        <v>78.620999999999995</v>
      </c>
      <c r="N207">
        <f>DAY(Table1[[#This Row],[order_date]])</f>
        <v>25</v>
      </c>
      <c r="O207" t="str">
        <f>TEXT(Table1[[#This Row],[order_date]],"mmm")</f>
        <v>Jul</v>
      </c>
      <c r="P207">
        <f>YEAR(Table1[[#This Row],[order_date]])</f>
        <v>2022</v>
      </c>
    </row>
    <row r="208" spans="1:16" x14ac:dyDescent="0.3">
      <c r="A208">
        <v>10207</v>
      </c>
      <c r="B208" s="1">
        <v>44768</v>
      </c>
      <c r="C208">
        <v>1654</v>
      </c>
      <c r="D208" t="s">
        <v>15</v>
      </c>
      <c r="E208" t="s">
        <v>13</v>
      </c>
      <c r="F208">
        <v>5</v>
      </c>
      <c r="G208">
        <v>337.82</v>
      </c>
      <c r="H208">
        <v>0.21</v>
      </c>
      <c r="I208" t="s">
        <v>16</v>
      </c>
      <c r="J208">
        <v>4</v>
      </c>
      <c r="K208">
        <v>3.5</v>
      </c>
      <c r="L208">
        <v>1334.39</v>
      </c>
      <c r="M208">
        <f>(Table1[[#This Row],[unit_price]]*Table1[[#This Row],[quantity]])-(Table1[[#This Row],[unit_price]]*Table1[[#This Row],[discount]]*Table1[[#This Row],[quantity]])</f>
        <v>1334.3889999999999</v>
      </c>
      <c r="N208">
        <f>DAY(Table1[[#This Row],[order_date]])</f>
        <v>26</v>
      </c>
      <c r="O208" t="str">
        <f>TEXT(Table1[[#This Row],[order_date]],"mmm")</f>
        <v>Jul</v>
      </c>
      <c r="P208">
        <f>YEAR(Table1[[#This Row],[order_date]])</f>
        <v>2022</v>
      </c>
    </row>
    <row r="209" spans="1:16" x14ac:dyDescent="0.3">
      <c r="A209">
        <v>10208</v>
      </c>
      <c r="B209" s="1">
        <v>44769</v>
      </c>
      <c r="C209">
        <v>1170</v>
      </c>
      <c r="D209" t="s">
        <v>19</v>
      </c>
      <c r="E209" t="s">
        <v>20</v>
      </c>
      <c r="F209">
        <v>1</v>
      </c>
      <c r="G209">
        <v>76.39</v>
      </c>
      <c r="H209">
        <v>0.13</v>
      </c>
      <c r="I209" t="s">
        <v>16</v>
      </c>
      <c r="J209">
        <v>5</v>
      </c>
      <c r="K209">
        <v>3.5</v>
      </c>
      <c r="L209">
        <v>66.459999999999994</v>
      </c>
      <c r="M209">
        <f>(Table1[[#This Row],[unit_price]]*Table1[[#This Row],[quantity]])-(Table1[[#This Row],[unit_price]]*Table1[[#This Row],[discount]]*Table1[[#This Row],[quantity]])</f>
        <v>66.459299999999999</v>
      </c>
      <c r="N209">
        <f>DAY(Table1[[#This Row],[order_date]])</f>
        <v>27</v>
      </c>
      <c r="O209" t="str">
        <f>TEXT(Table1[[#This Row],[order_date]],"mmm")</f>
        <v>Jul</v>
      </c>
      <c r="P209">
        <f>YEAR(Table1[[#This Row],[order_date]])</f>
        <v>2022</v>
      </c>
    </row>
    <row r="210" spans="1:16" x14ac:dyDescent="0.3">
      <c r="A210">
        <v>10209</v>
      </c>
      <c r="B210" s="1">
        <v>44770</v>
      </c>
      <c r="C210">
        <v>1540</v>
      </c>
      <c r="D210" t="s">
        <v>19</v>
      </c>
      <c r="E210" t="s">
        <v>17</v>
      </c>
      <c r="F210">
        <v>4</v>
      </c>
      <c r="G210">
        <v>28.07</v>
      </c>
      <c r="H210">
        <v>0.06</v>
      </c>
      <c r="I210" t="s">
        <v>16</v>
      </c>
      <c r="J210">
        <v>3</v>
      </c>
      <c r="K210">
        <v>1.9</v>
      </c>
      <c r="L210">
        <v>105.54</v>
      </c>
      <c r="M210">
        <f>(Table1[[#This Row],[unit_price]]*Table1[[#This Row],[quantity]])-(Table1[[#This Row],[unit_price]]*Table1[[#This Row],[discount]]*Table1[[#This Row],[quantity]])</f>
        <v>105.5432</v>
      </c>
      <c r="N210">
        <f>DAY(Table1[[#This Row],[order_date]])</f>
        <v>28</v>
      </c>
      <c r="O210" t="str">
        <f>TEXT(Table1[[#This Row],[order_date]],"mmm")</f>
        <v>Jul</v>
      </c>
      <c r="P210">
        <f>YEAR(Table1[[#This Row],[order_date]])</f>
        <v>2022</v>
      </c>
    </row>
    <row r="211" spans="1:16" x14ac:dyDescent="0.3">
      <c r="A211">
        <v>10210</v>
      </c>
      <c r="B211" s="1">
        <v>44771</v>
      </c>
      <c r="C211">
        <v>1035</v>
      </c>
      <c r="D211" t="s">
        <v>15</v>
      </c>
      <c r="E211" t="s">
        <v>13</v>
      </c>
      <c r="F211">
        <v>2</v>
      </c>
      <c r="G211">
        <v>115.34</v>
      </c>
      <c r="H211">
        <v>0.24</v>
      </c>
      <c r="I211" t="s">
        <v>16</v>
      </c>
      <c r="J211">
        <v>5</v>
      </c>
      <c r="K211">
        <v>2</v>
      </c>
      <c r="L211">
        <v>175.32</v>
      </c>
      <c r="M211">
        <f>(Table1[[#This Row],[unit_price]]*Table1[[#This Row],[quantity]])-(Table1[[#This Row],[unit_price]]*Table1[[#This Row],[discount]]*Table1[[#This Row],[quantity]])</f>
        <v>175.3168</v>
      </c>
      <c r="N211">
        <f>DAY(Table1[[#This Row],[order_date]])</f>
        <v>29</v>
      </c>
      <c r="O211" t="str">
        <f>TEXT(Table1[[#This Row],[order_date]],"mmm")</f>
        <v>Jul</v>
      </c>
      <c r="P211">
        <f>YEAR(Table1[[#This Row],[order_date]])</f>
        <v>2022</v>
      </c>
    </row>
    <row r="212" spans="1:16" x14ac:dyDescent="0.3">
      <c r="A212">
        <v>10211</v>
      </c>
      <c r="B212" s="1">
        <v>44772</v>
      </c>
      <c r="C212">
        <v>1524</v>
      </c>
      <c r="D212" t="s">
        <v>19</v>
      </c>
      <c r="E212" t="s">
        <v>20</v>
      </c>
      <c r="F212">
        <v>4</v>
      </c>
      <c r="G212">
        <v>345.44</v>
      </c>
      <c r="H212">
        <v>0.35</v>
      </c>
      <c r="I212" t="s">
        <v>16</v>
      </c>
      <c r="J212">
        <v>6</v>
      </c>
      <c r="K212">
        <v>4.0999999999999996</v>
      </c>
      <c r="L212">
        <v>898.14</v>
      </c>
      <c r="M212">
        <f>(Table1[[#This Row],[unit_price]]*Table1[[#This Row],[quantity]])-(Table1[[#This Row],[unit_price]]*Table1[[#This Row],[discount]]*Table1[[#This Row],[quantity]])</f>
        <v>898.14400000000001</v>
      </c>
      <c r="N212">
        <f>DAY(Table1[[#This Row],[order_date]])</f>
        <v>30</v>
      </c>
      <c r="O212" t="str">
        <f>TEXT(Table1[[#This Row],[order_date]],"mmm")</f>
        <v>Jul</v>
      </c>
      <c r="P212">
        <f>YEAR(Table1[[#This Row],[order_date]])</f>
        <v>2022</v>
      </c>
    </row>
    <row r="213" spans="1:16" x14ac:dyDescent="0.3">
      <c r="A213">
        <v>10212</v>
      </c>
      <c r="B213" s="1">
        <v>44773</v>
      </c>
      <c r="C213">
        <v>1159</v>
      </c>
      <c r="D213" t="s">
        <v>19</v>
      </c>
      <c r="E213" t="s">
        <v>20</v>
      </c>
      <c r="F213">
        <v>5</v>
      </c>
      <c r="G213">
        <v>426.45</v>
      </c>
      <c r="H213">
        <v>0.16</v>
      </c>
      <c r="I213" t="s">
        <v>18</v>
      </c>
      <c r="J213">
        <v>8</v>
      </c>
      <c r="K213">
        <v>3.8</v>
      </c>
      <c r="L213">
        <v>1791.09</v>
      </c>
      <c r="M213">
        <f>(Table1[[#This Row],[unit_price]]*Table1[[#This Row],[quantity]])-(Table1[[#This Row],[unit_price]]*Table1[[#This Row],[discount]]*Table1[[#This Row],[quantity]])</f>
        <v>1791.0900000000001</v>
      </c>
      <c r="N213">
        <f>DAY(Table1[[#This Row],[order_date]])</f>
        <v>31</v>
      </c>
      <c r="O213" t="str">
        <f>TEXT(Table1[[#This Row],[order_date]],"mmm")</f>
        <v>Jul</v>
      </c>
      <c r="P213">
        <f>YEAR(Table1[[#This Row],[order_date]])</f>
        <v>2022</v>
      </c>
    </row>
    <row r="214" spans="1:16" x14ac:dyDescent="0.3">
      <c r="A214">
        <v>10213</v>
      </c>
      <c r="B214" s="1">
        <v>44774</v>
      </c>
      <c r="C214">
        <v>1838</v>
      </c>
      <c r="D214" t="s">
        <v>22</v>
      </c>
      <c r="E214" t="s">
        <v>13</v>
      </c>
      <c r="F214">
        <v>3</v>
      </c>
      <c r="G214">
        <v>133.44999999999999</v>
      </c>
      <c r="H214">
        <v>0.25</v>
      </c>
      <c r="I214" t="s">
        <v>14</v>
      </c>
      <c r="J214">
        <v>6</v>
      </c>
      <c r="K214">
        <v>4.5</v>
      </c>
      <c r="L214">
        <v>300.26</v>
      </c>
      <c r="M214">
        <f>(Table1[[#This Row],[unit_price]]*Table1[[#This Row],[quantity]])-(Table1[[#This Row],[unit_price]]*Table1[[#This Row],[discount]]*Table1[[#This Row],[quantity]])</f>
        <v>300.26249999999999</v>
      </c>
      <c r="N214">
        <f>DAY(Table1[[#This Row],[order_date]])</f>
        <v>1</v>
      </c>
      <c r="O214" t="str">
        <f>TEXT(Table1[[#This Row],[order_date]],"mmm")</f>
        <v>Aug</v>
      </c>
      <c r="P214">
        <f>YEAR(Table1[[#This Row],[order_date]])</f>
        <v>2022</v>
      </c>
    </row>
    <row r="215" spans="1:16" x14ac:dyDescent="0.3">
      <c r="A215">
        <v>10214</v>
      </c>
      <c r="B215" s="1">
        <v>44775</v>
      </c>
      <c r="C215">
        <v>1698</v>
      </c>
      <c r="D215" t="s">
        <v>12</v>
      </c>
      <c r="E215" t="s">
        <v>13</v>
      </c>
      <c r="F215">
        <v>4</v>
      </c>
      <c r="G215">
        <v>405.93</v>
      </c>
      <c r="H215">
        <v>0.17</v>
      </c>
      <c r="I215" t="s">
        <v>14</v>
      </c>
      <c r="J215">
        <v>9</v>
      </c>
      <c r="K215">
        <v>2.6</v>
      </c>
      <c r="L215">
        <v>1347.69</v>
      </c>
      <c r="M215">
        <f>(Table1[[#This Row],[unit_price]]*Table1[[#This Row],[quantity]])-(Table1[[#This Row],[unit_price]]*Table1[[#This Row],[discount]]*Table1[[#This Row],[quantity]])</f>
        <v>1347.6876</v>
      </c>
      <c r="N215">
        <f>DAY(Table1[[#This Row],[order_date]])</f>
        <v>2</v>
      </c>
      <c r="O215" t="str">
        <f>TEXT(Table1[[#This Row],[order_date]],"mmm")</f>
        <v>Aug</v>
      </c>
      <c r="P215">
        <f>YEAR(Table1[[#This Row],[order_date]])</f>
        <v>2022</v>
      </c>
    </row>
    <row r="216" spans="1:16" x14ac:dyDescent="0.3">
      <c r="A216">
        <v>10215</v>
      </c>
      <c r="B216" s="1">
        <v>44776</v>
      </c>
      <c r="C216">
        <v>1242</v>
      </c>
      <c r="D216" t="s">
        <v>22</v>
      </c>
      <c r="E216" t="s">
        <v>17</v>
      </c>
      <c r="F216">
        <v>5</v>
      </c>
      <c r="G216">
        <v>121.75</v>
      </c>
      <c r="H216">
        <v>0.15</v>
      </c>
      <c r="I216" t="s">
        <v>16</v>
      </c>
      <c r="J216">
        <v>10</v>
      </c>
      <c r="K216">
        <v>3.2</v>
      </c>
      <c r="L216">
        <v>517.44000000000005</v>
      </c>
      <c r="M216">
        <f>(Table1[[#This Row],[unit_price]]*Table1[[#This Row],[quantity]])-(Table1[[#This Row],[unit_price]]*Table1[[#This Row],[discount]]*Table1[[#This Row],[quantity]])</f>
        <v>517.4375</v>
      </c>
      <c r="N216">
        <f>DAY(Table1[[#This Row],[order_date]])</f>
        <v>3</v>
      </c>
      <c r="O216" t="str">
        <f>TEXT(Table1[[#This Row],[order_date]],"mmm")</f>
        <v>Aug</v>
      </c>
      <c r="P216">
        <f>YEAR(Table1[[#This Row],[order_date]])</f>
        <v>2022</v>
      </c>
    </row>
    <row r="217" spans="1:16" x14ac:dyDescent="0.3">
      <c r="A217">
        <v>10216</v>
      </c>
      <c r="B217" s="1">
        <v>44777</v>
      </c>
      <c r="C217">
        <v>1085</v>
      </c>
      <c r="D217" t="s">
        <v>12</v>
      </c>
      <c r="E217" t="s">
        <v>21</v>
      </c>
      <c r="F217">
        <v>5</v>
      </c>
      <c r="G217">
        <v>373.87</v>
      </c>
      <c r="H217">
        <v>0.14000000000000001</v>
      </c>
      <c r="I217" t="s">
        <v>16</v>
      </c>
      <c r="J217">
        <v>10</v>
      </c>
      <c r="K217">
        <v>4</v>
      </c>
      <c r="L217">
        <v>1607.64</v>
      </c>
      <c r="M217">
        <f>(Table1[[#This Row],[unit_price]]*Table1[[#This Row],[quantity]])-(Table1[[#This Row],[unit_price]]*Table1[[#This Row],[discount]]*Table1[[#This Row],[quantity]])</f>
        <v>1607.6409999999998</v>
      </c>
      <c r="N217">
        <f>DAY(Table1[[#This Row],[order_date]])</f>
        <v>4</v>
      </c>
      <c r="O217" t="str">
        <f>TEXT(Table1[[#This Row],[order_date]],"mmm")</f>
        <v>Aug</v>
      </c>
      <c r="P217">
        <f>YEAR(Table1[[#This Row],[order_date]])</f>
        <v>2022</v>
      </c>
    </row>
    <row r="218" spans="1:16" x14ac:dyDescent="0.3">
      <c r="A218">
        <v>10217</v>
      </c>
      <c r="B218" s="1">
        <v>44778</v>
      </c>
      <c r="C218">
        <v>1795</v>
      </c>
      <c r="D218" t="s">
        <v>19</v>
      </c>
      <c r="E218" t="s">
        <v>21</v>
      </c>
      <c r="F218">
        <v>5</v>
      </c>
      <c r="G218">
        <v>256</v>
      </c>
      <c r="H218">
        <v>0.18</v>
      </c>
      <c r="I218" t="s">
        <v>16</v>
      </c>
      <c r="J218">
        <v>10</v>
      </c>
      <c r="K218">
        <v>4.9000000000000004</v>
      </c>
      <c r="L218">
        <v>1049.5999999999999</v>
      </c>
      <c r="M218">
        <f>(Table1[[#This Row],[unit_price]]*Table1[[#This Row],[quantity]])-(Table1[[#This Row],[unit_price]]*Table1[[#This Row],[discount]]*Table1[[#This Row],[quantity]])</f>
        <v>1049.5999999999999</v>
      </c>
      <c r="N218">
        <f>DAY(Table1[[#This Row],[order_date]])</f>
        <v>5</v>
      </c>
      <c r="O218" t="str">
        <f>TEXT(Table1[[#This Row],[order_date]],"mmm")</f>
        <v>Aug</v>
      </c>
      <c r="P218">
        <f>YEAR(Table1[[#This Row],[order_date]])</f>
        <v>2022</v>
      </c>
    </row>
    <row r="219" spans="1:16" x14ac:dyDescent="0.3">
      <c r="A219">
        <v>10218</v>
      </c>
      <c r="B219" s="1">
        <v>44779</v>
      </c>
      <c r="C219">
        <v>1577</v>
      </c>
      <c r="D219" t="s">
        <v>12</v>
      </c>
      <c r="E219" t="s">
        <v>21</v>
      </c>
      <c r="F219">
        <v>3</v>
      </c>
      <c r="G219">
        <v>397.47</v>
      </c>
      <c r="H219">
        <v>0.13</v>
      </c>
      <c r="I219" t="s">
        <v>14</v>
      </c>
      <c r="J219">
        <v>10</v>
      </c>
      <c r="K219">
        <v>5</v>
      </c>
      <c r="L219">
        <v>1037.4000000000001</v>
      </c>
      <c r="M219">
        <f>(Table1[[#This Row],[unit_price]]*Table1[[#This Row],[quantity]])-(Table1[[#This Row],[unit_price]]*Table1[[#This Row],[discount]]*Table1[[#This Row],[quantity]])</f>
        <v>1037.3967</v>
      </c>
      <c r="N219">
        <f>DAY(Table1[[#This Row],[order_date]])</f>
        <v>6</v>
      </c>
      <c r="O219" t="str">
        <f>TEXT(Table1[[#This Row],[order_date]],"mmm")</f>
        <v>Aug</v>
      </c>
      <c r="P219">
        <f>YEAR(Table1[[#This Row],[order_date]])</f>
        <v>2022</v>
      </c>
    </row>
    <row r="220" spans="1:16" x14ac:dyDescent="0.3">
      <c r="A220">
        <v>10219</v>
      </c>
      <c r="B220" s="1">
        <v>44780</v>
      </c>
      <c r="C220">
        <v>1681</v>
      </c>
      <c r="D220" t="s">
        <v>19</v>
      </c>
      <c r="E220" t="s">
        <v>21</v>
      </c>
      <c r="F220">
        <v>3</v>
      </c>
      <c r="G220">
        <v>597.11</v>
      </c>
      <c r="H220">
        <v>0.26</v>
      </c>
      <c r="I220" t="s">
        <v>18</v>
      </c>
      <c r="J220">
        <v>4</v>
      </c>
      <c r="K220">
        <v>5</v>
      </c>
      <c r="L220">
        <v>1325.58</v>
      </c>
      <c r="M220">
        <f>(Table1[[#This Row],[unit_price]]*Table1[[#This Row],[quantity]])-(Table1[[#This Row],[unit_price]]*Table1[[#This Row],[discount]]*Table1[[#This Row],[quantity]])</f>
        <v>1325.5841999999998</v>
      </c>
      <c r="N220">
        <f>DAY(Table1[[#This Row],[order_date]])</f>
        <v>7</v>
      </c>
      <c r="O220" t="str">
        <f>TEXT(Table1[[#This Row],[order_date]],"mmm")</f>
        <v>Aug</v>
      </c>
      <c r="P220">
        <f>YEAR(Table1[[#This Row],[order_date]])</f>
        <v>2022</v>
      </c>
    </row>
    <row r="221" spans="1:16" x14ac:dyDescent="0.3">
      <c r="A221">
        <v>10220</v>
      </c>
      <c r="B221" s="1">
        <v>44781</v>
      </c>
      <c r="C221">
        <v>1556</v>
      </c>
      <c r="D221" t="s">
        <v>12</v>
      </c>
      <c r="E221" t="s">
        <v>21</v>
      </c>
      <c r="F221">
        <v>7</v>
      </c>
      <c r="G221">
        <v>563.62</v>
      </c>
      <c r="H221">
        <v>0.31</v>
      </c>
      <c r="I221" t="s">
        <v>16</v>
      </c>
      <c r="J221">
        <v>2</v>
      </c>
      <c r="K221">
        <v>4.5999999999999996</v>
      </c>
      <c r="L221">
        <v>2722.28</v>
      </c>
      <c r="M221">
        <f>(Table1[[#This Row],[unit_price]]*Table1[[#This Row],[quantity]])-(Table1[[#This Row],[unit_price]]*Table1[[#This Row],[discount]]*Table1[[#This Row],[quantity]])</f>
        <v>2722.2846</v>
      </c>
      <c r="N221">
        <f>DAY(Table1[[#This Row],[order_date]])</f>
        <v>8</v>
      </c>
      <c r="O221" t="str">
        <f>TEXT(Table1[[#This Row],[order_date]],"mmm")</f>
        <v>Aug</v>
      </c>
      <c r="P221">
        <f>YEAR(Table1[[#This Row],[order_date]])</f>
        <v>2022</v>
      </c>
    </row>
    <row r="222" spans="1:16" x14ac:dyDescent="0.3">
      <c r="A222">
        <v>10221</v>
      </c>
      <c r="B222" s="1">
        <v>44782</v>
      </c>
      <c r="C222">
        <v>1573</v>
      </c>
      <c r="D222" t="s">
        <v>12</v>
      </c>
      <c r="E222" t="s">
        <v>17</v>
      </c>
      <c r="F222">
        <v>3</v>
      </c>
      <c r="G222">
        <v>17.5</v>
      </c>
      <c r="H222">
        <v>0.31</v>
      </c>
      <c r="I222" t="s">
        <v>14</v>
      </c>
      <c r="J222">
        <v>9</v>
      </c>
      <c r="K222">
        <v>3.6</v>
      </c>
      <c r="L222">
        <v>36.22</v>
      </c>
      <c r="M222">
        <f>(Table1[[#This Row],[unit_price]]*Table1[[#This Row],[quantity]])-(Table1[[#This Row],[unit_price]]*Table1[[#This Row],[discount]]*Table1[[#This Row],[quantity]])</f>
        <v>36.225000000000001</v>
      </c>
      <c r="N222">
        <f>DAY(Table1[[#This Row],[order_date]])</f>
        <v>9</v>
      </c>
      <c r="O222" t="str">
        <f>TEXT(Table1[[#This Row],[order_date]],"mmm")</f>
        <v>Aug</v>
      </c>
      <c r="P222">
        <f>YEAR(Table1[[#This Row],[order_date]])</f>
        <v>2022</v>
      </c>
    </row>
    <row r="223" spans="1:16" x14ac:dyDescent="0.3">
      <c r="A223">
        <v>10222</v>
      </c>
      <c r="B223" s="1">
        <v>44783</v>
      </c>
      <c r="C223">
        <v>1952</v>
      </c>
      <c r="D223" t="s">
        <v>22</v>
      </c>
      <c r="E223" t="s">
        <v>20</v>
      </c>
      <c r="F223">
        <v>2</v>
      </c>
      <c r="G223">
        <v>532.98</v>
      </c>
      <c r="H223">
        <v>0.08</v>
      </c>
      <c r="I223" t="s">
        <v>16</v>
      </c>
      <c r="J223">
        <v>11</v>
      </c>
      <c r="K223">
        <v>1</v>
      </c>
      <c r="L223">
        <v>980.68</v>
      </c>
      <c r="M223">
        <f>(Table1[[#This Row],[unit_price]]*Table1[[#This Row],[quantity]])-(Table1[[#This Row],[unit_price]]*Table1[[#This Row],[discount]]*Table1[[#This Row],[quantity]])</f>
        <v>980.68320000000006</v>
      </c>
      <c r="N223">
        <f>DAY(Table1[[#This Row],[order_date]])</f>
        <v>10</v>
      </c>
      <c r="O223" t="str">
        <f>TEXT(Table1[[#This Row],[order_date]],"mmm")</f>
        <v>Aug</v>
      </c>
      <c r="P223">
        <f>YEAR(Table1[[#This Row],[order_date]])</f>
        <v>2022</v>
      </c>
    </row>
    <row r="224" spans="1:16" x14ac:dyDescent="0.3">
      <c r="A224">
        <v>10223</v>
      </c>
      <c r="B224" s="1">
        <v>44784</v>
      </c>
      <c r="C224">
        <v>1645</v>
      </c>
      <c r="D224" t="s">
        <v>12</v>
      </c>
      <c r="E224" t="s">
        <v>17</v>
      </c>
      <c r="F224">
        <v>3</v>
      </c>
      <c r="G224">
        <v>53.9</v>
      </c>
      <c r="H224">
        <v>0.31</v>
      </c>
      <c r="I224" t="s">
        <v>14</v>
      </c>
      <c r="J224">
        <v>3</v>
      </c>
      <c r="K224">
        <v>3.8</v>
      </c>
      <c r="L224">
        <v>111.57</v>
      </c>
      <c r="M224">
        <f>(Table1[[#This Row],[unit_price]]*Table1[[#This Row],[quantity]])-(Table1[[#This Row],[unit_price]]*Table1[[#This Row],[discount]]*Table1[[#This Row],[quantity]])</f>
        <v>111.57299999999999</v>
      </c>
      <c r="N224">
        <f>DAY(Table1[[#This Row],[order_date]])</f>
        <v>11</v>
      </c>
      <c r="O224" t="str">
        <f>TEXT(Table1[[#This Row],[order_date]],"mmm")</f>
        <v>Aug</v>
      </c>
      <c r="P224">
        <f>YEAR(Table1[[#This Row],[order_date]])</f>
        <v>2022</v>
      </c>
    </row>
    <row r="225" spans="1:16" x14ac:dyDescent="0.3">
      <c r="A225">
        <v>10224</v>
      </c>
      <c r="B225" s="1">
        <v>44785</v>
      </c>
      <c r="C225">
        <v>1795</v>
      </c>
      <c r="D225" t="s">
        <v>15</v>
      </c>
      <c r="E225" t="s">
        <v>17</v>
      </c>
      <c r="F225">
        <v>3</v>
      </c>
      <c r="G225">
        <v>572.53</v>
      </c>
      <c r="H225">
        <v>0.12</v>
      </c>
      <c r="I225" t="s">
        <v>16</v>
      </c>
      <c r="J225">
        <v>11</v>
      </c>
      <c r="K225">
        <v>2</v>
      </c>
      <c r="L225">
        <v>1511.48</v>
      </c>
      <c r="M225">
        <f>(Table1[[#This Row],[unit_price]]*Table1[[#This Row],[quantity]])-(Table1[[#This Row],[unit_price]]*Table1[[#This Row],[discount]]*Table1[[#This Row],[quantity]])</f>
        <v>1511.4792</v>
      </c>
      <c r="N225">
        <f>DAY(Table1[[#This Row],[order_date]])</f>
        <v>12</v>
      </c>
      <c r="O225" t="str">
        <f>TEXT(Table1[[#This Row],[order_date]],"mmm")</f>
        <v>Aug</v>
      </c>
      <c r="P225">
        <f>YEAR(Table1[[#This Row],[order_date]])</f>
        <v>2022</v>
      </c>
    </row>
    <row r="226" spans="1:16" x14ac:dyDescent="0.3">
      <c r="A226">
        <v>10225</v>
      </c>
      <c r="B226" s="1">
        <v>44786</v>
      </c>
      <c r="C226">
        <v>1027</v>
      </c>
      <c r="D226" t="s">
        <v>19</v>
      </c>
      <c r="E226" t="s">
        <v>17</v>
      </c>
      <c r="F226">
        <v>3</v>
      </c>
      <c r="G226">
        <v>179.87</v>
      </c>
      <c r="H226">
        <v>0.11</v>
      </c>
      <c r="I226" t="s">
        <v>16</v>
      </c>
      <c r="J226">
        <v>7</v>
      </c>
      <c r="K226">
        <v>1.2</v>
      </c>
      <c r="L226">
        <v>480.25</v>
      </c>
      <c r="M226">
        <f>(Table1[[#This Row],[unit_price]]*Table1[[#This Row],[quantity]])-(Table1[[#This Row],[unit_price]]*Table1[[#This Row],[discount]]*Table1[[#This Row],[quantity]])</f>
        <v>480.25290000000001</v>
      </c>
      <c r="N226">
        <f>DAY(Table1[[#This Row],[order_date]])</f>
        <v>13</v>
      </c>
      <c r="O226" t="str">
        <f>TEXT(Table1[[#This Row],[order_date]],"mmm")</f>
        <v>Aug</v>
      </c>
      <c r="P226">
        <f>YEAR(Table1[[#This Row],[order_date]])</f>
        <v>2022</v>
      </c>
    </row>
    <row r="227" spans="1:16" x14ac:dyDescent="0.3">
      <c r="A227">
        <v>10226</v>
      </c>
      <c r="B227" s="1">
        <v>44787</v>
      </c>
      <c r="C227">
        <v>1619</v>
      </c>
      <c r="D227" t="s">
        <v>15</v>
      </c>
      <c r="E227" t="s">
        <v>20</v>
      </c>
      <c r="F227">
        <v>4</v>
      </c>
      <c r="G227">
        <v>238.49</v>
      </c>
      <c r="H227">
        <v>0.25</v>
      </c>
      <c r="I227" t="s">
        <v>18</v>
      </c>
      <c r="J227">
        <v>4</v>
      </c>
      <c r="K227">
        <v>3.8</v>
      </c>
      <c r="L227">
        <v>715.47</v>
      </c>
      <c r="M227">
        <f>(Table1[[#This Row],[unit_price]]*Table1[[#This Row],[quantity]])-(Table1[[#This Row],[unit_price]]*Table1[[#This Row],[discount]]*Table1[[#This Row],[quantity]])</f>
        <v>715.47</v>
      </c>
      <c r="N227">
        <f>DAY(Table1[[#This Row],[order_date]])</f>
        <v>14</v>
      </c>
      <c r="O227" t="str">
        <f>TEXT(Table1[[#This Row],[order_date]],"mmm")</f>
        <v>Aug</v>
      </c>
      <c r="P227">
        <f>YEAR(Table1[[#This Row],[order_date]])</f>
        <v>2022</v>
      </c>
    </row>
    <row r="228" spans="1:16" x14ac:dyDescent="0.3">
      <c r="A228">
        <v>10227</v>
      </c>
      <c r="B228" s="1">
        <v>44788</v>
      </c>
      <c r="C228">
        <v>1555</v>
      </c>
      <c r="D228" t="s">
        <v>15</v>
      </c>
      <c r="E228" t="s">
        <v>17</v>
      </c>
      <c r="F228">
        <v>3</v>
      </c>
      <c r="G228">
        <v>68.61</v>
      </c>
      <c r="H228">
        <v>0.11</v>
      </c>
      <c r="I228" t="s">
        <v>14</v>
      </c>
      <c r="J228">
        <v>1</v>
      </c>
      <c r="K228">
        <v>4</v>
      </c>
      <c r="L228">
        <v>183.19</v>
      </c>
      <c r="M228">
        <f>(Table1[[#This Row],[unit_price]]*Table1[[#This Row],[quantity]])-(Table1[[#This Row],[unit_price]]*Table1[[#This Row],[discount]]*Table1[[#This Row],[quantity]])</f>
        <v>183.18869999999998</v>
      </c>
      <c r="N228">
        <f>DAY(Table1[[#This Row],[order_date]])</f>
        <v>15</v>
      </c>
      <c r="O228" t="str">
        <f>TEXT(Table1[[#This Row],[order_date]],"mmm")</f>
        <v>Aug</v>
      </c>
      <c r="P228">
        <f>YEAR(Table1[[#This Row],[order_date]])</f>
        <v>2022</v>
      </c>
    </row>
    <row r="229" spans="1:16" x14ac:dyDescent="0.3">
      <c r="A229">
        <v>10228</v>
      </c>
      <c r="B229" s="1">
        <v>44789</v>
      </c>
      <c r="C229">
        <v>1339</v>
      </c>
      <c r="D229" t="s">
        <v>19</v>
      </c>
      <c r="E229" t="s">
        <v>17</v>
      </c>
      <c r="F229">
        <v>2</v>
      </c>
      <c r="G229">
        <v>80.680000000000007</v>
      </c>
      <c r="H229">
        <v>0.02</v>
      </c>
      <c r="I229" t="s">
        <v>14</v>
      </c>
      <c r="J229">
        <v>8</v>
      </c>
      <c r="K229">
        <v>3.6</v>
      </c>
      <c r="L229">
        <v>158.13</v>
      </c>
      <c r="M229">
        <f>(Table1[[#This Row],[unit_price]]*Table1[[#This Row],[quantity]])-(Table1[[#This Row],[unit_price]]*Table1[[#This Row],[discount]]*Table1[[#This Row],[quantity]])</f>
        <v>158.1328</v>
      </c>
      <c r="N229">
        <f>DAY(Table1[[#This Row],[order_date]])</f>
        <v>16</v>
      </c>
      <c r="O229" t="str">
        <f>TEXT(Table1[[#This Row],[order_date]],"mmm")</f>
        <v>Aug</v>
      </c>
      <c r="P229">
        <f>YEAR(Table1[[#This Row],[order_date]])</f>
        <v>2022</v>
      </c>
    </row>
    <row r="230" spans="1:16" x14ac:dyDescent="0.3">
      <c r="A230">
        <v>10229</v>
      </c>
      <c r="B230" s="1">
        <v>44790</v>
      </c>
      <c r="C230">
        <v>1797</v>
      </c>
      <c r="D230" t="s">
        <v>15</v>
      </c>
      <c r="E230" t="s">
        <v>20</v>
      </c>
      <c r="F230">
        <v>5</v>
      </c>
      <c r="G230">
        <v>440.14</v>
      </c>
      <c r="H230">
        <v>0.13</v>
      </c>
      <c r="I230" t="s">
        <v>18</v>
      </c>
      <c r="J230">
        <v>4</v>
      </c>
      <c r="K230">
        <v>2.5</v>
      </c>
      <c r="L230">
        <v>1914.61</v>
      </c>
      <c r="M230">
        <f>(Table1[[#This Row],[unit_price]]*Table1[[#This Row],[quantity]])-(Table1[[#This Row],[unit_price]]*Table1[[#This Row],[discount]]*Table1[[#This Row],[quantity]])</f>
        <v>1914.6089999999999</v>
      </c>
      <c r="N230">
        <f>DAY(Table1[[#This Row],[order_date]])</f>
        <v>17</v>
      </c>
      <c r="O230" t="str">
        <f>TEXT(Table1[[#This Row],[order_date]],"mmm")</f>
        <v>Aug</v>
      </c>
      <c r="P230">
        <f>YEAR(Table1[[#This Row],[order_date]])</f>
        <v>2022</v>
      </c>
    </row>
    <row r="231" spans="1:16" x14ac:dyDescent="0.3">
      <c r="A231">
        <v>10230</v>
      </c>
      <c r="B231" s="1">
        <v>44791</v>
      </c>
      <c r="C231">
        <v>1957</v>
      </c>
      <c r="D231" t="s">
        <v>12</v>
      </c>
      <c r="E231" t="s">
        <v>17</v>
      </c>
      <c r="F231">
        <v>4</v>
      </c>
      <c r="G231">
        <v>567.42999999999995</v>
      </c>
      <c r="H231">
        <v>0.25</v>
      </c>
      <c r="I231" t="s">
        <v>16</v>
      </c>
      <c r="J231">
        <v>11</v>
      </c>
      <c r="K231">
        <v>3</v>
      </c>
      <c r="L231">
        <v>1702.29</v>
      </c>
      <c r="M231">
        <f>(Table1[[#This Row],[unit_price]]*Table1[[#This Row],[quantity]])-(Table1[[#This Row],[unit_price]]*Table1[[#This Row],[discount]]*Table1[[#This Row],[quantity]])</f>
        <v>1702.29</v>
      </c>
      <c r="N231">
        <f>DAY(Table1[[#This Row],[order_date]])</f>
        <v>18</v>
      </c>
      <c r="O231" t="str">
        <f>TEXT(Table1[[#This Row],[order_date]],"mmm")</f>
        <v>Aug</v>
      </c>
      <c r="P231">
        <f>YEAR(Table1[[#This Row],[order_date]])</f>
        <v>2022</v>
      </c>
    </row>
    <row r="232" spans="1:16" x14ac:dyDescent="0.3">
      <c r="A232">
        <v>10231</v>
      </c>
      <c r="B232" s="1">
        <v>44792</v>
      </c>
      <c r="C232">
        <v>1330</v>
      </c>
      <c r="D232" t="s">
        <v>19</v>
      </c>
      <c r="E232" t="s">
        <v>21</v>
      </c>
      <c r="F232">
        <v>1</v>
      </c>
      <c r="G232">
        <v>372.29</v>
      </c>
      <c r="H232">
        <v>0.11</v>
      </c>
      <c r="I232" t="s">
        <v>16</v>
      </c>
      <c r="J232">
        <v>6</v>
      </c>
      <c r="K232">
        <v>4.7</v>
      </c>
      <c r="L232">
        <v>331.34</v>
      </c>
      <c r="M232">
        <f>(Table1[[#This Row],[unit_price]]*Table1[[#This Row],[quantity]])-(Table1[[#This Row],[unit_price]]*Table1[[#This Row],[discount]]*Table1[[#This Row],[quantity]])</f>
        <v>331.3381</v>
      </c>
      <c r="N232">
        <f>DAY(Table1[[#This Row],[order_date]])</f>
        <v>19</v>
      </c>
      <c r="O232" t="str">
        <f>TEXT(Table1[[#This Row],[order_date]],"mmm")</f>
        <v>Aug</v>
      </c>
      <c r="P232">
        <f>YEAR(Table1[[#This Row],[order_date]])</f>
        <v>2022</v>
      </c>
    </row>
    <row r="233" spans="1:16" x14ac:dyDescent="0.3">
      <c r="A233">
        <v>10232</v>
      </c>
      <c r="B233" s="1">
        <v>44793</v>
      </c>
      <c r="C233">
        <v>1639</v>
      </c>
      <c r="D233" t="s">
        <v>22</v>
      </c>
      <c r="E233" t="s">
        <v>13</v>
      </c>
      <c r="F233">
        <v>3</v>
      </c>
      <c r="G233">
        <v>433.77</v>
      </c>
      <c r="H233">
        <v>0.22</v>
      </c>
      <c r="I233" t="s">
        <v>14</v>
      </c>
      <c r="J233">
        <v>7</v>
      </c>
      <c r="K233">
        <v>3.9</v>
      </c>
      <c r="L233">
        <v>1015.02</v>
      </c>
      <c r="M233">
        <f>(Table1[[#This Row],[unit_price]]*Table1[[#This Row],[quantity]])-(Table1[[#This Row],[unit_price]]*Table1[[#This Row],[discount]]*Table1[[#This Row],[quantity]])</f>
        <v>1015.0218</v>
      </c>
      <c r="N233">
        <f>DAY(Table1[[#This Row],[order_date]])</f>
        <v>20</v>
      </c>
      <c r="O233" t="str">
        <f>TEXT(Table1[[#This Row],[order_date]],"mmm")</f>
        <v>Aug</v>
      </c>
      <c r="P233">
        <f>YEAR(Table1[[#This Row],[order_date]])</f>
        <v>2022</v>
      </c>
    </row>
    <row r="234" spans="1:16" x14ac:dyDescent="0.3">
      <c r="A234">
        <v>10233</v>
      </c>
      <c r="B234" s="1">
        <v>44794</v>
      </c>
      <c r="C234">
        <v>1505</v>
      </c>
      <c r="D234" t="s">
        <v>12</v>
      </c>
      <c r="E234" t="s">
        <v>17</v>
      </c>
      <c r="F234">
        <v>7</v>
      </c>
      <c r="G234">
        <v>460.75</v>
      </c>
      <c r="H234">
        <v>0.23</v>
      </c>
      <c r="I234" t="s">
        <v>18</v>
      </c>
      <c r="J234">
        <v>8</v>
      </c>
      <c r="K234">
        <v>3</v>
      </c>
      <c r="L234">
        <v>2483.44</v>
      </c>
      <c r="M234">
        <f>(Table1[[#This Row],[unit_price]]*Table1[[#This Row],[quantity]])-(Table1[[#This Row],[unit_price]]*Table1[[#This Row],[discount]]*Table1[[#This Row],[quantity]])</f>
        <v>2483.4425000000001</v>
      </c>
      <c r="N234">
        <f>DAY(Table1[[#This Row],[order_date]])</f>
        <v>21</v>
      </c>
      <c r="O234" t="str">
        <f>TEXT(Table1[[#This Row],[order_date]],"mmm")</f>
        <v>Aug</v>
      </c>
      <c r="P234">
        <f>YEAR(Table1[[#This Row],[order_date]])</f>
        <v>2022</v>
      </c>
    </row>
    <row r="235" spans="1:16" x14ac:dyDescent="0.3">
      <c r="A235">
        <v>10234</v>
      </c>
      <c r="B235" s="1">
        <v>44795</v>
      </c>
      <c r="C235">
        <v>1347</v>
      </c>
      <c r="D235" t="s">
        <v>12</v>
      </c>
      <c r="E235" t="s">
        <v>13</v>
      </c>
      <c r="F235">
        <v>7</v>
      </c>
      <c r="G235">
        <v>168.75</v>
      </c>
      <c r="H235">
        <v>0.26</v>
      </c>
      <c r="I235" t="s">
        <v>18</v>
      </c>
      <c r="J235">
        <v>10</v>
      </c>
      <c r="K235">
        <v>3.4</v>
      </c>
      <c r="L235">
        <v>874.12</v>
      </c>
      <c r="M235">
        <f>(Table1[[#This Row],[unit_price]]*Table1[[#This Row],[quantity]])-(Table1[[#This Row],[unit_price]]*Table1[[#This Row],[discount]]*Table1[[#This Row],[quantity]])</f>
        <v>874.125</v>
      </c>
      <c r="N235">
        <f>DAY(Table1[[#This Row],[order_date]])</f>
        <v>22</v>
      </c>
      <c r="O235" t="str">
        <f>TEXT(Table1[[#This Row],[order_date]],"mmm")</f>
        <v>Aug</v>
      </c>
      <c r="P235">
        <f>YEAR(Table1[[#This Row],[order_date]])</f>
        <v>2022</v>
      </c>
    </row>
    <row r="236" spans="1:16" x14ac:dyDescent="0.3">
      <c r="A236">
        <v>10235</v>
      </c>
      <c r="B236" s="1">
        <v>44796</v>
      </c>
      <c r="C236">
        <v>1472</v>
      </c>
      <c r="D236" t="s">
        <v>12</v>
      </c>
      <c r="E236" t="s">
        <v>17</v>
      </c>
      <c r="F236">
        <v>5</v>
      </c>
      <c r="G236">
        <v>41.46</v>
      </c>
      <c r="H236">
        <v>0.31</v>
      </c>
      <c r="I236" t="s">
        <v>16</v>
      </c>
      <c r="J236">
        <v>2</v>
      </c>
      <c r="K236">
        <v>4.7</v>
      </c>
      <c r="L236">
        <v>143.04</v>
      </c>
      <c r="M236">
        <f>(Table1[[#This Row],[unit_price]]*Table1[[#This Row],[quantity]])-(Table1[[#This Row],[unit_price]]*Table1[[#This Row],[discount]]*Table1[[#This Row],[quantity]])</f>
        <v>143.03700000000001</v>
      </c>
      <c r="N236">
        <f>DAY(Table1[[#This Row],[order_date]])</f>
        <v>23</v>
      </c>
      <c r="O236" t="str">
        <f>TEXT(Table1[[#This Row],[order_date]],"mmm")</f>
        <v>Aug</v>
      </c>
      <c r="P236">
        <f>YEAR(Table1[[#This Row],[order_date]])</f>
        <v>2022</v>
      </c>
    </row>
    <row r="237" spans="1:16" x14ac:dyDescent="0.3">
      <c r="A237">
        <v>10236</v>
      </c>
      <c r="B237" s="1">
        <v>44797</v>
      </c>
      <c r="C237">
        <v>1230</v>
      </c>
      <c r="D237" t="s">
        <v>15</v>
      </c>
      <c r="E237" t="s">
        <v>17</v>
      </c>
      <c r="F237">
        <v>5</v>
      </c>
      <c r="G237">
        <v>16.100000000000001</v>
      </c>
      <c r="H237">
        <v>0.15</v>
      </c>
      <c r="I237" t="s">
        <v>18</v>
      </c>
      <c r="J237">
        <v>9</v>
      </c>
      <c r="K237">
        <v>2.6</v>
      </c>
      <c r="L237">
        <v>68.42</v>
      </c>
      <c r="M237">
        <f>(Table1[[#This Row],[unit_price]]*Table1[[#This Row],[quantity]])-(Table1[[#This Row],[unit_price]]*Table1[[#This Row],[discount]]*Table1[[#This Row],[quantity]])</f>
        <v>68.424999999999997</v>
      </c>
      <c r="N237">
        <f>DAY(Table1[[#This Row],[order_date]])</f>
        <v>24</v>
      </c>
      <c r="O237" t="str">
        <f>TEXT(Table1[[#This Row],[order_date]],"mmm")</f>
        <v>Aug</v>
      </c>
      <c r="P237">
        <f>YEAR(Table1[[#This Row],[order_date]])</f>
        <v>2022</v>
      </c>
    </row>
    <row r="238" spans="1:16" x14ac:dyDescent="0.3">
      <c r="A238">
        <v>10237</v>
      </c>
      <c r="B238" s="1">
        <v>44798</v>
      </c>
      <c r="C238">
        <v>1189</v>
      </c>
      <c r="D238" t="s">
        <v>12</v>
      </c>
      <c r="E238" t="s">
        <v>21</v>
      </c>
      <c r="F238">
        <v>4</v>
      </c>
      <c r="G238">
        <v>220.13</v>
      </c>
      <c r="H238">
        <v>0.06</v>
      </c>
      <c r="I238" t="s">
        <v>16</v>
      </c>
      <c r="J238">
        <v>10</v>
      </c>
      <c r="K238">
        <v>1.4</v>
      </c>
      <c r="L238">
        <v>827.69</v>
      </c>
      <c r="M238">
        <f>(Table1[[#This Row],[unit_price]]*Table1[[#This Row],[quantity]])-(Table1[[#This Row],[unit_price]]*Table1[[#This Row],[discount]]*Table1[[#This Row],[quantity]])</f>
        <v>827.68880000000001</v>
      </c>
      <c r="N238">
        <f>DAY(Table1[[#This Row],[order_date]])</f>
        <v>25</v>
      </c>
      <c r="O238" t="str">
        <f>TEXT(Table1[[#This Row],[order_date]],"mmm")</f>
        <v>Aug</v>
      </c>
      <c r="P238">
        <f>YEAR(Table1[[#This Row],[order_date]])</f>
        <v>2022</v>
      </c>
    </row>
    <row r="239" spans="1:16" x14ac:dyDescent="0.3">
      <c r="A239">
        <v>10238</v>
      </c>
      <c r="B239" s="1">
        <v>44799</v>
      </c>
      <c r="C239">
        <v>1224</v>
      </c>
      <c r="D239" t="s">
        <v>22</v>
      </c>
      <c r="E239" t="s">
        <v>20</v>
      </c>
      <c r="F239">
        <v>7</v>
      </c>
      <c r="G239">
        <v>156.26</v>
      </c>
      <c r="H239">
        <v>0.11</v>
      </c>
      <c r="I239" t="s">
        <v>18</v>
      </c>
      <c r="J239">
        <v>3</v>
      </c>
      <c r="K239">
        <v>2.2999999999999998</v>
      </c>
      <c r="L239">
        <v>973.5</v>
      </c>
      <c r="M239">
        <f>(Table1[[#This Row],[unit_price]]*Table1[[#This Row],[quantity]])-(Table1[[#This Row],[unit_price]]*Table1[[#This Row],[discount]]*Table1[[#This Row],[quantity]])</f>
        <v>973.49979999999994</v>
      </c>
      <c r="N239">
        <f>DAY(Table1[[#This Row],[order_date]])</f>
        <v>26</v>
      </c>
      <c r="O239" t="str">
        <f>TEXT(Table1[[#This Row],[order_date]],"mmm")</f>
        <v>Aug</v>
      </c>
      <c r="P239">
        <f>YEAR(Table1[[#This Row],[order_date]])</f>
        <v>2022</v>
      </c>
    </row>
    <row r="240" spans="1:16" x14ac:dyDescent="0.3">
      <c r="A240">
        <v>10239</v>
      </c>
      <c r="B240" s="1">
        <v>44800</v>
      </c>
      <c r="C240">
        <v>1384</v>
      </c>
      <c r="D240" t="s">
        <v>19</v>
      </c>
      <c r="E240" t="s">
        <v>13</v>
      </c>
      <c r="F240">
        <v>1</v>
      </c>
      <c r="G240">
        <v>51.46</v>
      </c>
      <c r="H240">
        <v>0.15</v>
      </c>
      <c r="I240" t="s">
        <v>14</v>
      </c>
      <c r="J240">
        <v>1</v>
      </c>
      <c r="K240">
        <v>2.7</v>
      </c>
      <c r="L240">
        <v>43.74</v>
      </c>
      <c r="M240">
        <f>(Table1[[#This Row],[unit_price]]*Table1[[#This Row],[quantity]])-(Table1[[#This Row],[unit_price]]*Table1[[#This Row],[discount]]*Table1[[#This Row],[quantity]])</f>
        <v>43.741</v>
      </c>
      <c r="N240">
        <f>DAY(Table1[[#This Row],[order_date]])</f>
        <v>27</v>
      </c>
      <c r="O240" t="str">
        <f>TEXT(Table1[[#This Row],[order_date]],"mmm")</f>
        <v>Aug</v>
      </c>
      <c r="P240">
        <f>YEAR(Table1[[#This Row],[order_date]])</f>
        <v>2022</v>
      </c>
    </row>
    <row r="241" spans="1:16" x14ac:dyDescent="0.3">
      <c r="A241">
        <v>10240</v>
      </c>
      <c r="B241" s="1">
        <v>44801</v>
      </c>
      <c r="C241">
        <v>1376</v>
      </c>
      <c r="D241" t="s">
        <v>15</v>
      </c>
      <c r="E241" t="s">
        <v>20</v>
      </c>
      <c r="F241">
        <v>6</v>
      </c>
      <c r="G241">
        <v>120.02</v>
      </c>
      <c r="H241">
        <v>0.25</v>
      </c>
      <c r="I241" t="s">
        <v>18</v>
      </c>
      <c r="J241">
        <v>2</v>
      </c>
      <c r="K241">
        <v>2.1</v>
      </c>
      <c r="L241">
        <v>540.09</v>
      </c>
      <c r="M241">
        <f>(Table1[[#This Row],[unit_price]]*Table1[[#This Row],[quantity]])-(Table1[[#This Row],[unit_price]]*Table1[[#This Row],[discount]]*Table1[[#This Row],[quantity]])</f>
        <v>540.09</v>
      </c>
      <c r="N241">
        <f>DAY(Table1[[#This Row],[order_date]])</f>
        <v>28</v>
      </c>
      <c r="O241" t="str">
        <f>TEXT(Table1[[#This Row],[order_date]],"mmm")</f>
        <v>Aug</v>
      </c>
      <c r="P241">
        <f>YEAR(Table1[[#This Row],[order_date]])</f>
        <v>2022</v>
      </c>
    </row>
    <row r="242" spans="1:16" x14ac:dyDescent="0.3">
      <c r="A242">
        <v>10241</v>
      </c>
      <c r="B242" s="1">
        <v>44802</v>
      </c>
      <c r="C242">
        <v>1282</v>
      </c>
      <c r="D242" t="s">
        <v>22</v>
      </c>
      <c r="E242" t="s">
        <v>21</v>
      </c>
      <c r="F242">
        <v>7</v>
      </c>
      <c r="G242">
        <v>87.83</v>
      </c>
      <c r="H242">
        <v>0</v>
      </c>
      <c r="I242" t="s">
        <v>18</v>
      </c>
      <c r="J242">
        <v>8</v>
      </c>
      <c r="K242">
        <v>3.1</v>
      </c>
      <c r="L242">
        <v>614.80999999999995</v>
      </c>
      <c r="M242">
        <f>(Table1[[#This Row],[unit_price]]*Table1[[#This Row],[quantity]])-(Table1[[#This Row],[unit_price]]*Table1[[#This Row],[discount]]*Table1[[#This Row],[quantity]])</f>
        <v>614.80999999999995</v>
      </c>
      <c r="N242">
        <f>DAY(Table1[[#This Row],[order_date]])</f>
        <v>29</v>
      </c>
      <c r="O242" t="str">
        <f>TEXT(Table1[[#This Row],[order_date]],"mmm")</f>
        <v>Aug</v>
      </c>
      <c r="P242">
        <f>YEAR(Table1[[#This Row],[order_date]])</f>
        <v>2022</v>
      </c>
    </row>
    <row r="243" spans="1:16" x14ac:dyDescent="0.3">
      <c r="A243">
        <v>10242</v>
      </c>
      <c r="B243" s="1">
        <v>44803</v>
      </c>
      <c r="C243">
        <v>1957</v>
      </c>
      <c r="D243" t="s">
        <v>19</v>
      </c>
      <c r="E243" t="s">
        <v>21</v>
      </c>
      <c r="F243">
        <v>7</v>
      </c>
      <c r="G243">
        <v>550.20000000000005</v>
      </c>
      <c r="H243">
        <v>0.11</v>
      </c>
      <c r="I243" t="s">
        <v>16</v>
      </c>
      <c r="J243">
        <v>10</v>
      </c>
      <c r="K243">
        <v>2.2000000000000002</v>
      </c>
      <c r="L243">
        <v>3427.75</v>
      </c>
      <c r="M243">
        <f>(Table1[[#This Row],[unit_price]]*Table1[[#This Row],[quantity]])-(Table1[[#This Row],[unit_price]]*Table1[[#This Row],[discount]]*Table1[[#This Row],[quantity]])</f>
        <v>3427.7460000000005</v>
      </c>
      <c r="N243">
        <f>DAY(Table1[[#This Row],[order_date]])</f>
        <v>30</v>
      </c>
      <c r="O243" t="str">
        <f>TEXT(Table1[[#This Row],[order_date]],"mmm")</f>
        <v>Aug</v>
      </c>
      <c r="P243">
        <f>YEAR(Table1[[#This Row],[order_date]])</f>
        <v>2022</v>
      </c>
    </row>
    <row r="244" spans="1:16" x14ac:dyDescent="0.3">
      <c r="A244">
        <v>10243</v>
      </c>
      <c r="B244" s="1">
        <v>44804</v>
      </c>
      <c r="C244">
        <v>1632</v>
      </c>
      <c r="D244" t="s">
        <v>15</v>
      </c>
      <c r="E244" t="s">
        <v>13</v>
      </c>
      <c r="F244">
        <v>2</v>
      </c>
      <c r="G244">
        <v>97.06</v>
      </c>
      <c r="H244">
        <v>0.27</v>
      </c>
      <c r="I244" t="s">
        <v>16</v>
      </c>
      <c r="J244">
        <v>6</v>
      </c>
      <c r="K244">
        <v>1.4</v>
      </c>
      <c r="L244">
        <v>141.71</v>
      </c>
      <c r="M244">
        <f>(Table1[[#This Row],[unit_price]]*Table1[[#This Row],[quantity]])-(Table1[[#This Row],[unit_price]]*Table1[[#This Row],[discount]]*Table1[[#This Row],[quantity]])</f>
        <v>141.70760000000001</v>
      </c>
      <c r="N244">
        <f>DAY(Table1[[#This Row],[order_date]])</f>
        <v>31</v>
      </c>
      <c r="O244" t="str">
        <f>TEXT(Table1[[#This Row],[order_date]],"mmm")</f>
        <v>Aug</v>
      </c>
      <c r="P244">
        <f>YEAR(Table1[[#This Row],[order_date]])</f>
        <v>2022</v>
      </c>
    </row>
    <row r="245" spans="1:16" x14ac:dyDescent="0.3">
      <c r="A245">
        <v>10244</v>
      </c>
      <c r="B245" s="1">
        <v>44805</v>
      </c>
      <c r="C245">
        <v>1627</v>
      </c>
      <c r="D245" t="s">
        <v>22</v>
      </c>
      <c r="E245" t="s">
        <v>20</v>
      </c>
      <c r="F245">
        <v>6</v>
      </c>
      <c r="G245">
        <v>329.52</v>
      </c>
      <c r="H245">
        <v>0.23</v>
      </c>
      <c r="I245" t="s">
        <v>14</v>
      </c>
      <c r="J245">
        <v>11</v>
      </c>
      <c r="K245">
        <v>1.8</v>
      </c>
      <c r="L245">
        <v>1522.38</v>
      </c>
      <c r="M245">
        <f>(Table1[[#This Row],[unit_price]]*Table1[[#This Row],[quantity]])-(Table1[[#This Row],[unit_price]]*Table1[[#This Row],[discount]]*Table1[[#This Row],[quantity]])</f>
        <v>1522.3824</v>
      </c>
      <c r="N245">
        <f>DAY(Table1[[#This Row],[order_date]])</f>
        <v>1</v>
      </c>
      <c r="O245" t="str">
        <f>TEXT(Table1[[#This Row],[order_date]],"mmm")</f>
        <v>Sep</v>
      </c>
      <c r="P245">
        <f>YEAR(Table1[[#This Row],[order_date]])</f>
        <v>2022</v>
      </c>
    </row>
    <row r="246" spans="1:16" x14ac:dyDescent="0.3">
      <c r="A246">
        <v>10245</v>
      </c>
      <c r="B246" s="1">
        <v>44806</v>
      </c>
      <c r="C246">
        <v>1972</v>
      </c>
      <c r="D246" t="s">
        <v>19</v>
      </c>
      <c r="E246" t="s">
        <v>21</v>
      </c>
      <c r="F246">
        <v>5</v>
      </c>
      <c r="G246">
        <v>361.97</v>
      </c>
      <c r="H246">
        <v>0.26</v>
      </c>
      <c r="I246" t="s">
        <v>16</v>
      </c>
      <c r="J246">
        <v>1</v>
      </c>
      <c r="K246">
        <v>4.7</v>
      </c>
      <c r="L246">
        <v>1339.29</v>
      </c>
      <c r="M246">
        <f>(Table1[[#This Row],[unit_price]]*Table1[[#This Row],[quantity]])-(Table1[[#This Row],[unit_price]]*Table1[[#This Row],[discount]]*Table1[[#This Row],[quantity]])</f>
        <v>1339.289</v>
      </c>
      <c r="N246">
        <f>DAY(Table1[[#This Row],[order_date]])</f>
        <v>2</v>
      </c>
      <c r="O246" t="str">
        <f>TEXT(Table1[[#This Row],[order_date]],"mmm")</f>
        <v>Sep</v>
      </c>
      <c r="P246">
        <f>YEAR(Table1[[#This Row],[order_date]])</f>
        <v>2022</v>
      </c>
    </row>
    <row r="247" spans="1:16" x14ac:dyDescent="0.3">
      <c r="A247">
        <v>10246</v>
      </c>
      <c r="B247" s="1">
        <v>44807</v>
      </c>
      <c r="C247">
        <v>1744</v>
      </c>
      <c r="D247" t="s">
        <v>15</v>
      </c>
      <c r="E247" t="s">
        <v>17</v>
      </c>
      <c r="F247">
        <v>6</v>
      </c>
      <c r="G247">
        <v>332.94</v>
      </c>
      <c r="H247">
        <v>0.28000000000000003</v>
      </c>
      <c r="I247" t="s">
        <v>14</v>
      </c>
      <c r="J247">
        <v>11</v>
      </c>
      <c r="K247">
        <v>3.5</v>
      </c>
      <c r="L247">
        <v>1438.3</v>
      </c>
      <c r="M247">
        <f>(Table1[[#This Row],[unit_price]]*Table1[[#This Row],[quantity]])-(Table1[[#This Row],[unit_price]]*Table1[[#This Row],[discount]]*Table1[[#This Row],[quantity]])</f>
        <v>1438.3008</v>
      </c>
      <c r="N247">
        <f>DAY(Table1[[#This Row],[order_date]])</f>
        <v>3</v>
      </c>
      <c r="O247" t="str">
        <f>TEXT(Table1[[#This Row],[order_date]],"mmm")</f>
        <v>Sep</v>
      </c>
      <c r="P247">
        <f>YEAR(Table1[[#This Row],[order_date]])</f>
        <v>2022</v>
      </c>
    </row>
    <row r="248" spans="1:16" x14ac:dyDescent="0.3">
      <c r="A248">
        <v>10247</v>
      </c>
      <c r="B248" s="1">
        <v>44808</v>
      </c>
      <c r="C248">
        <v>1258</v>
      </c>
      <c r="D248" t="s">
        <v>22</v>
      </c>
      <c r="E248" t="s">
        <v>17</v>
      </c>
      <c r="F248">
        <v>7</v>
      </c>
      <c r="G248">
        <v>72.95</v>
      </c>
      <c r="H248">
        <v>0.27</v>
      </c>
      <c r="I248" t="s">
        <v>18</v>
      </c>
      <c r="J248">
        <v>9</v>
      </c>
      <c r="K248">
        <v>2.2999999999999998</v>
      </c>
      <c r="L248">
        <v>372.77</v>
      </c>
      <c r="M248">
        <f>(Table1[[#This Row],[unit_price]]*Table1[[#This Row],[quantity]])-(Table1[[#This Row],[unit_price]]*Table1[[#This Row],[discount]]*Table1[[#This Row],[quantity]])</f>
        <v>372.77450000000005</v>
      </c>
      <c r="N248">
        <f>DAY(Table1[[#This Row],[order_date]])</f>
        <v>4</v>
      </c>
      <c r="O248" t="str">
        <f>TEXT(Table1[[#This Row],[order_date]],"mmm")</f>
        <v>Sep</v>
      </c>
      <c r="P248">
        <f>YEAR(Table1[[#This Row],[order_date]])</f>
        <v>2022</v>
      </c>
    </row>
    <row r="249" spans="1:16" x14ac:dyDescent="0.3">
      <c r="A249">
        <v>10248</v>
      </c>
      <c r="B249" s="1">
        <v>44809</v>
      </c>
      <c r="C249">
        <v>1358</v>
      </c>
      <c r="D249" t="s">
        <v>15</v>
      </c>
      <c r="E249" t="s">
        <v>17</v>
      </c>
      <c r="F249">
        <v>5</v>
      </c>
      <c r="G249">
        <v>201.5</v>
      </c>
      <c r="H249">
        <v>0.24</v>
      </c>
      <c r="I249" t="s">
        <v>18</v>
      </c>
      <c r="J249">
        <v>7</v>
      </c>
      <c r="K249">
        <v>2.5</v>
      </c>
      <c r="L249">
        <v>765.7</v>
      </c>
      <c r="M249">
        <f>(Table1[[#This Row],[unit_price]]*Table1[[#This Row],[quantity]])-(Table1[[#This Row],[unit_price]]*Table1[[#This Row],[discount]]*Table1[[#This Row],[quantity]])</f>
        <v>765.7</v>
      </c>
      <c r="N249">
        <f>DAY(Table1[[#This Row],[order_date]])</f>
        <v>5</v>
      </c>
      <c r="O249" t="str">
        <f>TEXT(Table1[[#This Row],[order_date]],"mmm")</f>
        <v>Sep</v>
      </c>
      <c r="P249">
        <f>YEAR(Table1[[#This Row],[order_date]])</f>
        <v>2022</v>
      </c>
    </row>
    <row r="250" spans="1:16" x14ac:dyDescent="0.3">
      <c r="A250">
        <v>10249</v>
      </c>
      <c r="B250" s="1">
        <v>44810</v>
      </c>
      <c r="C250">
        <v>1709</v>
      </c>
      <c r="D250" t="s">
        <v>19</v>
      </c>
      <c r="E250" t="s">
        <v>20</v>
      </c>
      <c r="F250">
        <v>6</v>
      </c>
      <c r="G250">
        <v>44.99</v>
      </c>
      <c r="H250">
        <v>0.15</v>
      </c>
      <c r="I250" t="s">
        <v>14</v>
      </c>
      <c r="J250">
        <v>10</v>
      </c>
      <c r="K250">
        <v>3</v>
      </c>
      <c r="L250">
        <v>229.45</v>
      </c>
      <c r="M250">
        <f>(Table1[[#This Row],[unit_price]]*Table1[[#This Row],[quantity]])-(Table1[[#This Row],[unit_price]]*Table1[[#This Row],[discount]]*Table1[[#This Row],[quantity]])</f>
        <v>229.44900000000001</v>
      </c>
      <c r="N250">
        <f>DAY(Table1[[#This Row],[order_date]])</f>
        <v>6</v>
      </c>
      <c r="O250" t="str">
        <f>TEXT(Table1[[#This Row],[order_date]],"mmm")</f>
        <v>Sep</v>
      </c>
      <c r="P250">
        <f>YEAR(Table1[[#This Row],[order_date]])</f>
        <v>2022</v>
      </c>
    </row>
    <row r="251" spans="1:16" x14ac:dyDescent="0.3">
      <c r="A251">
        <v>10250</v>
      </c>
      <c r="B251" s="1">
        <v>44811</v>
      </c>
      <c r="C251">
        <v>1455</v>
      </c>
      <c r="D251" t="s">
        <v>19</v>
      </c>
      <c r="E251" t="s">
        <v>17</v>
      </c>
      <c r="F251">
        <v>5</v>
      </c>
      <c r="G251">
        <v>246.47</v>
      </c>
      <c r="H251">
        <v>0.34</v>
      </c>
      <c r="I251" t="s">
        <v>18</v>
      </c>
      <c r="J251">
        <v>11</v>
      </c>
      <c r="K251">
        <v>3.7</v>
      </c>
      <c r="L251">
        <v>813.35</v>
      </c>
      <c r="M251">
        <f>(Table1[[#This Row],[unit_price]]*Table1[[#This Row],[quantity]])-(Table1[[#This Row],[unit_price]]*Table1[[#This Row],[discount]]*Table1[[#This Row],[quantity]])</f>
        <v>813.35099999999989</v>
      </c>
      <c r="N251">
        <f>DAY(Table1[[#This Row],[order_date]])</f>
        <v>7</v>
      </c>
      <c r="O251" t="str">
        <f>TEXT(Table1[[#This Row],[order_date]],"mmm")</f>
        <v>Sep</v>
      </c>
      <c r="P251">
        <f>YEAR(Table1[[#This Row],[order_date]])</f>
        <v>2022</v>
      </c>
    </row>
    <row r="252" spans="1:16" x14ac:dyDescent="0.3">
      <c r="A252">
        <v>10251</v>
      </c>
      <c r="B252" s="1">
        <v>44812</v>
      </c>
      <c r="C252">
        <v>1410</v>
      </c>
      <c r="D252" t="s">
        <v>15</v>
      </c>
      <c r="E252" t="s">
        <v>17</v>
      </c>
      <c r="F252">
        <v>5</v>
      </c>
      <c r="G252">
        <v>125.33</v>
      </c>
      <c r="H252">
        <v>0.2</v>
      </c>
      <c r="I252" t="s">
        <v>14</v>
      </c>
      <c r="J252">
        <v>3</v>
      </c>
      <c r="K252">
        <v>3.3</v>
      </c>
      <c r="L252">
        <v>501.32</v>
      </c>
      <c r="M252">
        <f>(Table1[[#This Row],[unit_price]]*Table1[[#This Row],[quantity]])-(Table1[[#This Row],[unit_price]]*Table1[[#This Row],[discount]]*Table1[[#This Row],[quantity]])</f>
        <v>501.31999999999994</v>
      </c>
      <c r="N252">
        <f>DAY(Table1[[#This Row],[order_date]])</f>
        <v>8</v>
      </c>
      <c r="O252" t="str">
        <f>TEXT(Table1[[#This Row],[order_date]],"mmm")</f>
        <v>Sep</v>
      </c>
      <c r="P252">
        <f>YEAR(Table1[[#This Row],[order_date]])</f>
        <v>2022</v>
      </c>
    </row>
    <row r="253" spans="1:16" x14ac:dyDescent="0.3">
      <c r="A253">
        <v>10252</v>
      </c>
      <c r="B253" s="1">
        <v>44813</v>
      </c>
      <c r="C253">
        <v>1648</v>
      </c>
      <c r="D253" t="s">
        <v>12</v>
      </c>
      <c r="E253" t="s">
        <v>21</v>
      </c>
      <c r="F253">
        <v>4</v>
      </c>
      <c r="G253">
        <v>343.56</v>
      </c>
      <c r="H253">
        <v>7.0000000000000007E-2</v>
      </c>
      <c r="I253" t="s">
        <v>16</v>
      </c>
      <c r="J253">
        <v>7</v>
      </c>
      <c r="K253">
        <v>4.7</v>
      </c>
      <c r="L253">
        <v>1278.04</v>
      </c>
      <c r="M253">
        <f>(Table1[[#This Row],[unit_price]]*Table1[[#This Row],[quantity]])-(Table1[[#This Row],[unit_price]]*Table1[[#This Row],[discount]]*Table1[[#This Row],[quantity]])</f>
        <v>1278.0432000000001</v>
      </c>
      <c r="N253">
        <f>DAY(Table1[[#This Row],[order_date]])</f>
        <v>9</v>
      </c>
      <c r="O253" t="str">
        <f>TEXT(Table1[[#This Row],[order_date]],"mmm")</f>
        <v>Sep</v>
      </c>
      <c r="P253">
        <f>YEAR(Table1[[#This Row],[order_date]])</f>
        <v>2022</v>
      </c>
    </row>
    <row r="254" spans="1:16" x14ac:dyDescent="0.3">
      <c r="A254">
        <v>10253</v>
      </c>
      <c r="B254" s="1">
        <v>44814</v>
      </c>
      <c r="C254">
        <v>1317</v>
      </c>
      <c r="D254" t="s">
        <v>19</v>
      </c>
      <c r="E254" t="s">
        <v>21</v>
      </c>
      <c r="F254">
        <v>1</v>
      </c>
      <c r="G254">
        <v>420.29</v>
      </c>
      <c r="H254">
        <v>0.1</v>
      </c>
      <c r="I254" t="s">
        <v>18</v>
      </c>
      <c r="J254">
        <v>6</v>
      </c>
      <c r="K254">
        <v>3.5</v>
      </c>
      <c r="L254">
        <v>378.26</v>
      </c>
      <c r="M254">
        <f>(Table1[[#This Row],[unit_price]]*Table1[[#This Row],[quantity]])-(Table1[[#This Row],[unit_price]]*Table1[[#This Row],[discount]]*Table1[[#This Row],[quantity]])</f>
        <v>378.26100000000002</v>
      </c>
      <c r="N254">
        <f>DAY(Table1[[#This Row],[order_date]])</f>
        <v>10</v>
      </c>
      <c r="O254" t="str">
        <f>TEXT(Table1[[#This Row],[order_date]],"mmm")</f>
        <v>Sep</v>
      </c>
      <c r="P254">
        <f>YEAR(Table1[[#This Row],[order_date]])</f>
        <v>2022</v>
      </c>
    </row>
    <row r="255" spans="1:16" x14ac:dyDescent="0.3">
      <c r="A255">
        <v>10254</v>
      </c>
      <c r="B255" s="1">
        <v>44815</v>
      </c>
      <c r="C255">
        <v>1676</v>
      </c>
      <c r="D255" t="s">
        <v>15</v>
      </c>
      <c r="E255" t="s">
        <v>17</v>
      </c>
      <c r="F255">
        <v>5</v>
      </c>
      <c r="G255">
        <v>326.29000000000002</v>
      </c>
      <c r="H255">
        <v>0.24</v>
      </c>
      <c r="I255" t="s">
        <v>18</v>
      </c>
      <c r="J255">
        <v>3</v>
      </c>
      <c r="K255">
        <v>4.5999999999999996</v>
      </c>
      <c r="L255">
        <v>1239.9000000000001</v>
      </c>
      <c r="M255">
        <f>(Table1[[#This Row],[unit_price]]*Table1[[#This Row],[quantity]])-(Table1[[#This Row],[unit_price]]*Table1[[#This Row],[discount]]*Table1[[#This Row],[quantity]])</f>
        <v>1239.902</v>
      </c>
      <c r="N255">
        <f>DAY(Table1[[#This Row],[order_date]])</f>
        <v>11</v>
      </c>
      <c r="O255" t="str">
        <f>TEXT(Table1[[#This Row],[order_date]],"mmm")</f>
        <v>Sep</v>
      </c>
      <c r="P255">
        <f>YEAR(Table1[[#This Row],[order_date]])</f>
        <v>2022</v>
      </c>
    </row>
    <row r="256" spans="1:16" x14ac:dyDescent="0.3">
      <c r="A256">
        <v>10255</v>
      </c>
      <c r="B256" s="1">
        <v>44816</v>
      </c>
      <c r="C256">
        <v>1224</v>
      </c>
      <c r="D256" t="s">
        <v>19</v>
      </c>
      <c r="E256" t="s">
        <v>17</v>
      </c>
      <c r="F256">
        <v>2</v>
      </c>
      <c r="G256">
        <v>269.02999999999997</v>
      </c>
      <c r="H256">
        <v>0.32</v>
      </c>
      <c r="I256" t="s">
        <v>16</v>
      </c>
      <c r="J256">
        <v>8</v>
      </c>
      <c r="K256">
        <v>1</v>
      </c>
      <c r="L256">
        <v>365.88</v>
      </c>
      <c r="M256">
        <f>(Table1[[#This Row],[unit_price]]*Table1[[#This Row],[quantity]])-(Table1[[#This Row],[unit_price]]*Table1[[#This Row],[discount]]*Table1[[#This Row],[quantity]])</f>
        <v>365.88079999999997</v>
      </c>
      <c r="N256">
        <f>DAY(Table1[[#This Row],[order_date]])</f>
        <v>12</v>
      </c>
      <c r="O256" t="str">
        <f>TEXT(Table1[[#This Row],[order_date]],"mmm")</f>
        <v>Sep</v>
      </c>
      <c r="P256">
        <f>YEAR(Table1[[#This Row],[order_date]])</f>
        <v>2022</v>
      </c>
    </row>
    <row r="257" spans="1:16" x14ac:dyDescent="0.3">
      <c r="A257">
        <v>10256</v>
      </c>
      <c r="B257" s="1">
        <v>44817</v>
      </c>
      <c r="C257">
        <v>1818</v>
      </c>
      <c r="D257" t="s">
        <v>19</v>
      </c>
      <c r="E257" t="s">
        <v>21</v>
      </c>
      <c r="F257">
        <v>7</v>
      </c>
      <c r="G257">
        <v>241.59</v>
      </c>
      <c r="H257">
        <v>0.06</v>
      </c>
      <c r="I257" t="s">
        <v>18</v>
      </c>
      <c r="J257">
        <v>1</v>
      </c>
      <c r="K257">
        <v>4.5999999999999996</v>
      </c>
      <c r="L257">
        <v>1589.66</v>
      </c>
      <c r="M257">
        <f>(Table1[[#This Row],[unit_price]]*Table1[[#This Row],[quantity]])-(Table1[[#This Row],[unit_price]]*Table1[[#This Row],[discount]]*Table1[[#This Row],[quantity]])</f>
        <v>1589.6622000000002</v>
      </c>
      <c r="N257">
        <f>DAY(Table1[[#This Row],[order_date]])</f>
        <v>13</v>
      </c>
      <c r="O257" t="str">
        <f>TEXT(Table1[[#This Row],[order_date]],"mmm")</f>
        <v>Sep</v>
      </c>
      <c r="P257">
        <f>YEAR(Table1[[#This Row],[order_date]])</f>
        <v>2022</v>
      </c>
    </row>
    <row r="258" spans="1:16" x14ac:dyDescent="0.3">
      <c r="A258">
        <v>10257</v>
      </c>
      <c r="B258" s="1">
        <v>44818</v>
      </c>
      <c r="C258">
        <v>1233</v>
      </c>
      <c r="D258" t="s">
        <v>22</v>
      </c>
      <c r="E258" t="s">
        <v>13</v>
      </c>
      <c r="F258">
        <v>7</v>
      </c>
      <c r="G258">
        <v>507.39</v>
      </c>
      <c r="H258">
        <v>0.03</v>
      </c>
      <c r="I258" t="s">
        <v>18</v>
      </c>
      <c r="J258">
        <v>5</v>
      </c>
      <c r="K258">
        <v>3.9</v>
      </c>
      <c r="L258">
        <v>3445.18</v>
      </c>
      <c r="M258">
        <f>(Table1[[#This Row],[unit_price]]*Table1[[#This Row],[quantity]])-(Table1[[#This Row],[unit_price]]*Table1[[#This Row],[discount]]*Table1[[#This Row],[quantity]])</f>
        <v>3445.1781000000001</v>
      </c>
      <c r="N258">
        <f>DAY(Table1[[#This Row],[order_date]])</f>
        <v>14</v>
      </c>
      <c r="O258" t="str">
        <f>TEXT(Table1[[#This Row],[order_date]],"mmm")</f>
        <v>Sep</v>
      </c>
      <c r="P258">
        <f>YEAR(Table1[[#This Row],[order_date]])</f>
        <v>2022</v>
      </c>
    </row>
    <row r="259" spans="1:16" x14ac:dyDescent="0.3">
      <c r="A259">
        <v>10258</v>
      </c>
      <c r="B259" s="1">
        <v>44819</v>
      </c>
      <c r="C259">
        <v>1683</v>
      </c>
      <c r="D259" t="s">
        <v>22</v>
      </c>
      <c r="E259" t="s">
        <v>20</v>
      </c>
      <c r="F259">
        <v>2</v>
      </c>
      <c r="G259">
        <v>143.33000000000001</v>
      </c>
      <c r="H259">
        <v>0.31</v>
      </c>
      <c r="I259" t="s">
        <v>14</v>
      </c>
      <c r="J259">
        <v>8</v>
      </c>
      <c r="K259">
        <v>1.7</v>
      </c>
      <c r="L259">
        <v>197.8</v>
      </c>
      <c r="M259">
        <f>(Table1[[#This Row],[unit_price]]*Table1[[#This Row],[quantity]])-(Table1[[#This Row],[unit_price]]*Table1[[#This Row],[discount]]*Table1[[#This Row],[quantity]])</f>
        <v>197.79540000000003</v>
      </c>
      <c r="N259">
        <f>DAY(Table1[[#This Row],[order_date]])</f>
        <v>15</v>
      </c>
      <c r="O259" t="str">
        <f>TEXT(Table1[[#This Row],[order_date]],"mmm")</f>
        <v>Sep</v>
      </c>
      <c r="P259">
        <f>YEAR(Table1[[#This Row],[order_date]])</f>
        <v>2022</v>
      </c>
    </row>
    <row r="260" spans="1:16" x14ac:dyDescent="0.3">
      <c r="A260">
        <v>10259</v>
      </c>
      <c r="B260" s="1">
        <v>44820</v>
      </c>
      <c r="C260">
        <v>1663</v>
      </c>
      <c r="D260" t="s">
        <v>19</v>
      </c>
      <c r="E260" t="s">
        <v>20</v>
      </c>
      <c r="F260">
        <v>3</v>
      </c>
      <c r="G260">
        <v>444.52</v>
      </c>
      <c r="H260">
        <v>0.32</v>
      </c>
      <c r="I260" t="s">
        <v>16</v>
      </c>
      <c r="J260">
        <v>3</v>
      </c>
      <c r="K260">
        <v>2.1</v>
      </c>
      <c r="L260">
        <v>906.82</v>
      </c>
      <c r="M260">
        <f>(Table1[[#This Row],[unit_price]]*Table1[[#This Row],[quantity]])-(Table1[[#This Row],[unit_price]]*Table1[[#This Row],[discount]]*Table1[[#This Row],[quantity]])</f>
        <v>906.82079999999996</v>
      </c>
      <c r="N260">
        <f>DAY(Table1[[#This Row],[order_date]])</f>
        <v>16</v>
      </c>
      <c r="O260" t="str">
        <f>TEXT(Table1[[#This Row],[order_date]],"mmm")</f>
        <v>Sep</v>
      </c>
      <c r="P260">
        <f>YEAR(Table1[[#This Row],[order_date]])</f>
        <v>2022</v>
      </c>
    </row>
    <row r="261" spans="1:16" x14ac:dyDescent="0.3">
      <c r="A261">
        <v>10260</v>
      </c>
      <c r="B261" s="1">
        <v>44821</v>
      </c>
      <c r="C261">
        <v>1974</v>
      </c>
      <c r="D261" t="s">
        <v>15</v>
      </c>
      <c r="E261" t="s">
        <v>21</v>
      </c>
      <c r="F261">
        <v>5</v>
      </c>
      <c r="G261">
        <v>458.13</v>
      </c>
      <c r="H261">
        <v>0.1</v>
      </c>
      <c r="I261" t="s">
        <v>18</v>
      </c>
      <c r="J261">
        <v>11</v>
      </c>
      <c r="K261">
        <v>3.2</v>
      </c>
      <c r="L261">
        <v>2061.58</v>
      </c>
      <c r="M261">
        <f>(Table1[[#This Row],[unit_price]]*Table1[[#This Row],[quantity]])-(Table1[[#This Row],[unit_price]]*Table1[[#This Row],[discount]]*Table1[[#This Row],[quantity]])</f>
        <v>2061.585</v>
      </c>
      <c r="N261">
        <f>DAY(Table1[[#This Row],[order_date]])</f>
        <v>17</v>
      </c>
      <c r="O261" t="str">
        <f>TEXT(Table1[[#This Row],[order_date]],"mmm")</f>
        <v>Sep</v>
      </c>
      <c r="P261">
        <f>YEAR(Table1[[#This Row],[order_date]])</f>
        <v>2022</v>
      </c>
    </row>
    <row r="262" spans="1:16" x14ac:dyDescent="0.3">
      <c r="A262">
        <v>10261</v>
      </c>
      <c r="B262" s="1">
        <v>44822</v>
      </c>
      <c r="C262">
        <v>1826</v>
      </c>
      <c r="D262" t="s">
        <v>19</v>
      </c>
      <c r="E262" t="s">
        <v>20</v>
      </c>
      <c r="F262">
        <v>5</v>
      </c>
      <c r="G262">
        <v>260.23</v>
      </c>
      <c r="H262">
        <v>0.13</v>
      </c>
      <c r="I262" t="s">
        <v>16</v>
      </c>
      <c r="J262">
        <v>10</v>
      </c>
      <c r="K262">
        <v>1.5</v>
      </c>
      <c r="L262">
        <v>1132</v>
      </c>
      <c r="M262">
        <f>(Table1[[#This Row],[unit_price]]*Table1[[#This Row],[quantity]])-(Table1[[#This Row],[unit_price]]*Table1[[#This Row],[discount]]*Table1[[#This Row],[quantity]])</f>
        <v>1132.0005000000001</v>
      </c>
      <c r="N262">
        <f>DAY(Table1[[#This Row],[order_date]])</f>
        <v>18</v>
      </c>
      <c r="O262" t="str">
        <f>TEXT(Table1[[#This Row],[order_date]],"mmm")</f>
        <v>Sep</v>
      </c>
      <c r="P262">
        <f>YEAR(Table1[[#This Row],[order_date]])</f>
        <v>2022</v>
      </c>
    </row>
    <row r="263" spans="1:16" x14ac:dyDescent="0.3">
      <c r="A263">
        <v>10262</v>
      </c>
      <c r="B263" s="1">
        <v>44823</v>
      </c>
      <c r="C263">
        <v>1373</v>
      </c>
      <c r="D263" t="s">
        <v>15</v>
      </c>
      <c r="E263" t="s">
        <v>21</v>
      </c>
      <c r="F263">
        <v>5</v>
      </c>
      <c r="G263">
        <v>188.92</v>
      </c>
      <c r="H263">
        <v>0.23</v>
      </c>
      <c r="I263" t="s">
        <v>18</v>
      </c>
      <c r="J263">
        <v>11</v>
      </c>
      <c r="K263">
        <v>4.0999999999999996</v>
      </c>
      <c r="L263">
        <v>727.34</v>
      </c>
      <c r="M263">
        <f>(Table1[[#This Row],[unit_price]]*Table1[[#This Row],[quantity]])-(Table1[[#This Row],[unit_price]]*Table1[[#This Row],[discount]]*Table1[[#This Row],[quantity]])</f>
        <v>727.34199999999987</v>
      </c>
      <c r="N263">
        <f>DAY(Table1[[#This Row],[order_date]])</f>
        <v>19</v>
      </c>
      <c r="O263" t="str">
        <f>TEXT(Table1[[#This Row],[order_date]],"mmm")</f>
        <v>Sep</v>
      </c>
      <c r="P263">
        <f>YEAR(Table1[[#This Row],[order_date]])</f>
        <v>2022</v>
      </c>
    </row>
    <row r="264" spans="1:16" x14ac:dyDescent="0.3">
      <c r="A264">
        <v>10263</v>
      </c>
      <c r="B264" s="1">
        <v>44824</v>
      </c>
      <c r="C264">
        <v>1671</v>
      </c>
      <c r="D264" t="s">
        <v>22</v>
      </c>
      <c r="E264" t="s">
        <v>21</v>
      </c>
      <c r="F264">
        <v>6</v>
      </c>
      <c r="G264">
        <v>290.27</v>
      </c>
      <c r="H264">
        <v>0.12</v>
      </c>
      <c r="I264" t="s">
        <v>18</v>
      </c>
      <c r="J264">
        <v>6</v>
      </c>
      <c r="K264">
        <v>4.2</v>
      </c>
      <c r="L264">
        <v>1532.63</v>
      </c>
      <c r="M264">
        <f>(Table1[[#This Row],[unit_price]]*Table1[[#This Row],[quantity]])-(Table1[[#This Row],[unit_price]]*Table1[[#This Row],[discount]]*Table1[[#This Row],[quantity]])</f>
        <v>1532.6255999999998</v>
      </c>
      <c r="N264">
        <f>DAY(Table1[[#This Row],[order_date]])</f>
        <v>20</v>
      </c>
      <c r="O264" t="str">
        <f>TEXT(Table1[[#This Row],[order_date]],"mmm")</f>
        <v>Sep</v>
      </c>
      <c r="P264">
        <f>YEAR(Table1[[#This Row],[order_date]])</f>
        <v>2022</v>
      </c>
    </row>
    <row r="265" spans="1:16" x14ac:dyDescent="0.3">
      <c r="A265">
        <v>10264</v>
      </c>
      <c r="B265" s="1">
        <v>44825</v>
      </c>
      <c r="C265">
        <v>1607</v>
      </c>
      <c r="D265" t="s">
        <v>19</v>
      </c>
      <c r="E265" t="s">
        <v>21</v>
      </c>
      <c r="F265">
        <v>5</v>
      </c>
      <c r="G265">
        <v>69.53</v>
      </c>
      <c r="H265">
        <v>0.31</v>
      </c>
      <c r="I265" t="s">
        <v>18</v>
      </c>
      <c r="J265">
        <v>10</v>
      </c>
      <c r="K265">
        <v>2.2000000000000002</v>
      </c>
      <c r="L265">
        <v>239.88</v>
      </c>
      <c r="M265">
        <f>(Table1[[#This Row],[unit_price]]*Table1[[#This Row],[quantity]])-(Table1[[#This Row],[unit_price]]*Table1[[#This Row],[discount]]*Table1[[#This Row],[quantity]])</f>
        <v>239.87849999999997</v>
      </c>
      <c r="N265">
        <f>DAY(Table1[[#This Row],[order_date]])</f>
        <v>21</v>
      </c>
      <c r="O265" t="str">
        <f>TEXT(Table1[[#This Row],[order_date]],"mmm")</f>
        <v>Sep</v>
      </c>
      <c r="P265">
        <f>YEAR(Table1[[#This Row],[order_date]])</f>
        <v>2022</v>
      </c>
    </row>
    <row r="266" spans="1:16" x14ac:dyDescent="0.3">
      <c r="A266">
        <v>10265</v>
      </c>
      <c r="B266" s="1">
        <v>44826</v>
      </c>
      <c r="C266">
        <v>1471</v>
      </c>
      <c r="D266" t="s">
        <v>19</v>
      </c>
      <c r="E266" t="s">
        <v>21</v>
      </c>
      <c r="F266">
        <v>5</v>
      </c>
      <c r="G266">
        <v>41.87</v>
      </c>
      <c r="H266">
        <v>0.04</v>
      </c>
      <c r="I266" t="s">
        <v>16</v>
      </c>
      <c r="J266">
        <v>11</v>
      </c>
      <c r="K266">
        <v>1.3</v>
      </c>
      <c r="L266">
        <v>200.98</v>
      </c>
      <c r="M266">
        <f>(Table1[[#This Row],[unit_price]]*Table1[[#This Row],[quantity]])-(Table1[[#This Row],[unit_price]]*Table1[[#This Row],[discount]]*Table1[[#This Row],[quantity]])</f>
        <v>200.976</v>
      </c>
      <c r="N266">
        <f>DAY(Table1[[#This Row],[order_date]])</f>
        <v>22</v>
      </c>
      <c r="O266" t="str">
        <f>TEXT(Table1[[#This Row],[order_date]],"mmm")</f>
        <v>Sep</v>
      </c>
      <c r="P266">
        <f>YEAR(Table1[[#This Row],[order_date]])</f>
        <v>2022</v>
      </c>
    </row>
    <row r="267" spans="1:16" x14ac:dyDescent="0.3">
      <c r="A267">
        <v>10266</v>
      </c>
      <c r="B267" s="1">
        <v>44827</v>
      </c>
      <c r="C267">
        <v>1232</v>
      </c>
      <c r="D267" t="s">
        <v>15</v>
      </c>
      <c r="E267" t="s">
        <v>13</v>
      </c>
      <c r="F267">
        <v>2</v>
      </c>
      <c r="G267">
        <v>80.290000000000006</v>
      </c>
      <c r="H267">
        <v>0.01</v>
      </c>
      <c r="I267" t="s">
        <v>16</v>
      </c>
      <c r="J267">
        <v>2</v>
      </c>
      <c r="K267">
        <v>5</v>
      </c>
      <c r="L267">
        <v>158.97</v>
      </c>
      <c r="M267">
        <f>(Table1[[#This Row],[unit_price]]*Table1[[#This Row],[quantity]])-(Table1[[#This Row],[unit_price]]*Table1[[#This Row],[discount]]*Table1[[#This Row],[quantity]])</f>
        <v>158.97420000000002</v>
      </c>
      <c r="N267">
        <f>DAY(Table1[[#This Row],[order_date]])</f>
        <v>23</v>
      </c>
      <c r="O267" t="str">
        <f>TEXT(Table1[[#This Row],[order_date]],"mmm")</f>
        <v>Sep</v>
      </c>
      <c r="P267">
        <f>YEAR(Table1[[#This Row],[order_date]])</f>
        <v>2022</v>
      </c>
    </row>
    <row r="268" spans="1:16" x14ac:dyDescent="0.3">
      <c r="A268">
        <v>10267</v>
      </c>
      <c r="B268" s="1">
        <v>44828</v>
      </c>
      <c r="C268">
        <v>1691</v>
      </c>
      <c r="D268" t="s">
        <v>12</v>
      </c>
      <c r="E268" t="s">
        <v>17</v>
      </c>
      <c r="F268">
        <v>1</v>
      </c>
      <c r="G268">
        <v>124.48</v>
      </c>
      <c r="H268">
        <v>7.0000000000000007E-2</v>
      </c>
      <c r="I268" t="s">
        <v>16</v>
      </c>
      <c r="J268">
        <v>9</v>
      </c>
      <c r="K268">
        <v>2</v>
      </c>
      <c r="L268">
        <v>115.77</v>
      </c>
      <c r="M268">
        <f>(Table1[[#This Row],[unit_price]]*Table1[[#This Row],[quantity]])-(Table1[[#This Row],[unit_price]]*Table1[[#This Row],[discount]]*Table1[[#This Row],[quantity]])</f>
        <v>115.7664</v>
      </c>
      <c r="N268">
        <f>DAY(Table1[[#This Row],[order_date]])</f>
        <v>24</v>
      </c>
      <c r="O268" t="str">
        <f>TEXT(Table1[[#This Row],[order_date]],"mmm")</f>
        <v>Sep</v>
      </c>
      <c r="P268">
        <f>YEAR(Table1[[#This Row],[order_date]])</f>
        <v>2022</v>
      </c>
    </row>
    <row r="269" spans="1:16" x14ac:dyDescent="0.3">
      <c r="A269">
        <v>10268</v>
      </c>
      <c r="B269" s="1">
        <v>44829</v>
      </c>
      <c r="C269">
        <v>1112</v>
      </c>
      <c r="D269" t="s">
        <v>12</v>
      </c>
      <c r="E269" t="s">
        <v>17</v>
      </c>
      <c r="F269">
        <v>1</v>
      </c>
      <c r="G269">
        <v>309.94</v>
      </c>
      <c r="H269">
        <v>0.1</v>
      </c>
      <c r="I269" t="s">
        <v>16</v>
      </c>
      <c r="J269">
        <v>2</v>
      </c>
      <c r="K269">
        <v>1.3</v>
      </c>
      <c r="L269">
        <v>278.95</v>
      </c>
      <c r="M269">
        <f>(Table1[[#This Row],[unit_price]]*Table1[[#This Row],[quantity]])-(Table1[[#This Row],[unit_price]]*Table1[[#This Row],[discount]]*Table1[[#This Row],[quantity]])</f>
        <v>278.94600000000003</v>
      </c>
      <c r="N269">
        <f>DAY(Table1[[#This Row],[order_date]])</f>
        <v>25</v>
      </c>
      <c r="O269" t="str">
        <f>TEXT(Table1[[#This Row],[order_date]],"mmm")</f>
        <v>Sep</v>
      </c>
      <c r="P269">
        <f>YEAR(Table1[[#This Row],[order_date]])</f>
        <v>2022</v>
      </c>
    </row>
    <row r="270" spans="1:16" x14ac:dyDescent="0.3">
      <c r="A270">
        <v>10269</v>
      </c>
      <c r="B270" s="1">
        <v>44830</v>
      </c>
      <c r="C270">
        <v>1829</v>
      </c>
      <c r="D270" t="s">
        <v>19</v>
      </c>
      <c r="E270" t="s">
        <v>13</v>
      </c>
      <c r="F270">
        <v>3</v>
      </c>
      <c r="G270">
        <v>511.74</v>
      </c>
      <c r="H270">
        <v>0.04</v>
      </c>
      <c r="I270" t="s">
        <v>18</v>
      </c>
      <c r="J270">
        <v>5</v>
      </c>
      <c r="K270">
        <v>2.2999999999999998</v>
      </c>
      <c r="L270">
        <v>1473.81</v>
      </c>
      <c r="M270">
        <f>(Table1[[#This Row],[unit_price]]*Table1[[#This Row],[quantity]])-(Table1[[#This Row],[unit_price]]*Table1[[#This Row],[discount]]*Table1[[#This Row],[quantity]])</f>
        <v>1473.8112000000001</v>
      </c>
      <c r="N270">
        <f>DAY(Table1[[#This Row],[order_date]])</f>
        <v>26</v>
      </c>
      <c r="O270" t="str">
        <f>TEXT(Table1[[#This Row],[order_date]],"mmm")</f>
        <v>Sep</v>
      </c>
      <c r="P270">
        <f>YEAR(Table1[[#This Row],[order_date]])</f>
        <v>2022</v>
      </c>
    </row>
    <row r="271" spans="1:16" x14ac:dyDescent="0.3">
      <c r="A271">
        <v>10270</v>
      </c>
      <c r="B271" s="1">
        <v>44831</v>
      </c>
      <c r="C271">
        <v>1496</v>
      </c>
      <c r="D271" t="s">
        <v>22</v>
      </c>
      <c r="E271" t="s">
        <v>20</v>
      </c>
      <c r="F271">
        <v>2</v>
      </c>
      <c r="G271">
        <v>152.85</v>
      </c>
      <c r="H271">
        <v>0.02</v>
      </c>
      <c r="I271" t="s">
        <v>14</v>
      </c>
      <c r="J271">
        <v>3</v>
      </c>
      <c r="K271">
        <v>4.9000000000000004</v>
      </c>
      <c r="L271">
        <v>299.58999999999997</v>
      </c>
      <c r="M271">
        <f>(Table1[[#This Row],[unit_price]]*Table1[[#This Row],[quantity]])-(Table1[[#This Row],[unit_price]]*Table1[[#This Row],[discount]]*Table1[[#This Row],[quantity]])</f>
        <v>299.58600000000001</v>
      </c>
      <c r="N271">
        <f>DAY(Table1[[#This Row],[order_date]])</f>
        <v>27</v>
      </c>
      <c r="O271" t="str">
        <f>TEXT(Table1[[#This Row],[order_date]],"mmm")</f>
        <v>Sep</v>
      </c>
      <c r="P271">
        <f>YEAR(Table1[[#This Row],[order_date]])</f>
        <v>2022</v>
      </c>
    </row>
    <row r="272" spans="1:16" x14ac:dyDescent="0.3">
      <c r="A272">
        <v>10271</v>
      </c>
      <c r="B272" s="1">
        <v>44832</v>
      </c>
      <c r="C272">
        <v>1441</v>
      </c>
      <c r="D272" t="s">
        <v>15</v>
      </c>
      <c r="E272" t="s">
        <v>20</v>
      </c>
      <c r="F272">
        <v>5</v>
      </c>
      <c r="G272">
        <v>562.07000000000005</v>
      </c>
      <c r="H272">
        <v>0.26</v>
      </c>
      <c r="I272" t="s">
        <v>16</v>
      </c>
      <c r="J272">
        <v>10</v>
      </c>
      <c r="K272">
        <v>4.2</v>
      </c>
      <c r="L272">
        <v>2079.66</v>
      </c>
      <c r="M272">
        <f>(Table1[[#This Row],[unit_price]]*Table1[[#This Row],[quantity]])-(Table1[[#This Row],[unit_price]]*Table1[[#This Row],[discount]]*Table1[[#This Row],[quantity]])</f>
        <v>2079.6590000000006</v>
      </c>
      <c r="N272">
        <f>DAY(Table1[[#This Row],[order_date]])</f>
        <v>28</v>
      </c>
      <c r="O272" t="str">
        <f>TEXT(Table1[[#This Row],[order_date]],"mmm")</f>
        <v>Sep</v>
      </c>
      <c r="P272">
        <f>YEAR(Table1[[#This Row],[order_date]])</f>
        <v>2022</v>
      </c>
    </row>
    <row r="273" spans="1:16" x14ac:dyDescent="0.3">
      <c r="A273">
        <v>10272</v>
      </c>
      <c r="B273" s="1">
        <v>44833</v>
      </c>
      <c r="C273">
        <v>1563</v>
      </c>
      <c r="D273" t="s">
        <v>15</v>
      </c>
      <c r="E273" t="s">
        <v>17</v>
      </c>
      <c r="F273">
        <v>1</v>
      </c>
      <c r="G273">
        <v>573.62</v>
      </c>
      <c r="H273">
        <v>0.06</v>
      </c>
      <c r="I273" t="s">
        <v>16</v>
      </c>
      <c r="J273">
        <v>9</v>
      </c>
      <c r="K273">
        <v>2.9</v>
      </c>
      <c r="L273">
        <v>539.20000000000005</v>
      </c>
      <c r="M273">
        <f>(Table1[[#This Row],[unit_price]]*Table1[[#This Row],[quantity]])-(Table1[[#This Row],[unit_price]]*Table1[[#This Row],[discount]]*Table1[[#This Row],[quantity]])</f>
        <v>539.20280000000002</v>
      </c>
      <c r="N273">
        <f>DAY(Table1[[#This Row],[order_date]])</f>
        <v>29</v>
      </c>
      <c r="O273" t="str">
        <f>TEXT(Table1[[#This Row],[order_date]],"mmm")</f>
        <v>Sep</v>
      </c>
      <c r="P273">
        <f>YEAR(Table1[[#This Row],[order_date]])</f>
        <v>2022</v>
      </c>
    </row>
    <row r="274" spans="1:16" x14ac:dyDescent="0.3">
      <c r="A274">
        <v>10273</v>
      </c>
      <c r="B274" s="1">
        <v>44834</v>
      </c>
      <c r="C274">
        <v>1267</v>
      </c>
      <c r="D274" t="s">
        <v>22</v>
      </c>
      <c r="E274" t="s">
        <v>20</v>
      </c>
      <c r="F274">
        <v>4</v>
      </c>
      <c r="G274">
        <v>575.96</v>
      </c>
      <c r="H274">
        <v>0.32</v>
      </c>
      <c r="I274" t="s">
        <v>18</v>
      </c>
      <c r="J274">
        <v>9</v>
      </c>
      <c r="K274">
        <v>2.2000000000000002</v>
      </c>
      <c r="L274">
        <v>1566.61</v>
      </c>
      <c r="M274">
        <f>(Table1[[#This Row],[unit_price]]*Table1[[#This Row],[quantity]])-(Table1[[#This Row],[unit_price]]*Table1[[#This Row],[discount]]*Table1[[#This Row],[quantity]])</f>
        <v>1566.6112000000001</v>
      </c>
      <c r="N274">
        <f>DAY(Table1[[#This Row],[order_date]])</f>
        <v>30</v>
      </c>
      <c r="O274" t="str">
        <f>TEXT(Table1[[#This Row],[order_date]],"mmm")</f>
        <v>Sep</v>
      </c>
      <c r="P274">
        <f>YEAR(Table1[[#This Row],[order_date]])</f>
        <v>2022</v>
      </c>
    </row>
    <row r="275" spans="1:16" x14ac:dyDescent="0.3">
      <c r="A275">
        <v>10274</v>
      </c>
      <c r="B275" s="1">
        <v>44835</v>
      </c>
      <c r="C275">
        <v>1509</v>
      </c>
      <c r="D275" t="s">
        <v>12</v>
      </c>
      <c r="E275" t="s">
        <v>17</v>
      </c>
      <c r="F275">
        <v>4</v>
      </c>
      <c r="G275">
        <v>504.97</v>
      </c>
      <c r="H275">
        <v>0.13</v>
      </c>
      <c r="I275" t="s">
        <v>18</v>
      </c>
      <c r="J275">
        <v>7</v>
      </c>
      <c r="K275">
        <v>2.7</v>
      </c>
      <c r="L275">
        <v>1757.3</v>
      </c>
      <c r="M275">
        <f>(Table1[[#This Row],[unit_price]]*Table1[[#This Row],[quantity]])-(Table1[[#This Row],[unit_price]]*Table1[[#This Row],[discount]]*Table1[[#This Row],[quantity]])</f>
        <v>1757.2956000000001</v>
      </c>
      <c r="N275">
        <f>DAY(Table1[[#This Row],[order_date]])</f>
        <v>1</v>
      </c>
      <c r="O275" t="str">
        <f>TEXT(Table1[[#This Row],[order_date]],"mmm")</f>
        <v>Oct</v>
      </c>
      <c r="P275">
        <f>YEAR(Table1[[#This Row],[order_date]])</f>
        <v>2022</v>
      </c>
    </row>
    <row r="276" spans="1:16" x14ac:dyDescent="0.3">
      <c r="A276">
        <v>10275</v>
      </c>
      <c r="B276" s="1">
        <v>44836</v>
      </c>
      <c r="C276">
        <v>1806</v>
      </c>
      <c r="D276" t="s">
        <v>12</v>
      </c>
      <c r="E276" t="s">
        <v>17</v>
      </c>
      <c r="F276">
        <v>4</v>
      </c>
      <c r="G276">
        <v>227.84</v>
      </c>
      <c r="H276">
        <v>0.23</v>
      </c>
      <c r="I276" t="s">
        <v>16</v>
      </c>
      <c r="J276">
        <v>10</v>
      </c>
      <c r="K276">
        <v>1.1000000000000001</v>
      </c>
      <c r="L276">
        <v>701.75</v>
      </c>
      <c r="M276">
        <f>(Table1[[#This Row],[unit_price]]*Table1[[#This Row],[quantity]])-(Table1[[#This Row],[unit_price]]*Table1[[#This Row],[discount]]*Table1[[#This Row],[quantity]])</f>
        <v>701.74720000000002</v>
      </c>
      <c r="N276">
        <f>DAY(Table1[[#This Row],[order_date]])</f>
        <v>2</v>
      </c>
      <c r="O276" t="str">
        <f>TEXT(Table1[[#This Row],[order_date]],"mmm")</f>
        <v>Oct</v>
      </c>
      <c r="P276">
        <f>YEAR(Table1[[#This Row],[order_date]])</f>
        <v>2022</v>
      </c>
    </row>
    <row r="277" spans="1:16" x14ac:dyDescent="0.3">
      <c r="A277">
        <v>10276</v>
      </c>
      <c r="B277" s="1">
        <v>44837</v>
      </c>
      <c r="C277">
        <v>1385</v>
      </c>
      <c r="D277" t="s">
        <v>15</v>
      </c>
      <c r="E277" t="s">
        <v>13</v>
      </c>
      <c r="F277">
        <v>5</v>
      </c>
      <c r="G277">
        <v>57.52</v>
      </c>
      <c r="H277">
        <v>0.08</v>
      </c>
      <c r="I277" t="s">
        <v>16</v>
      </c>
      <c r="J277">
        <v>5</v>
      </c>
      <c r="K277">
        <v>3.9</v>
      </c>
      <c r="L277">
        <v>264.58999999999997</v>
      </c>
      <c r="M277">
        <f>(Table1[[#This Row],[unit_price]]*Table1[[#This Row],[quantity]])-(Table1[[#This Row],[unit_price]]*Table1[[#This Row],[discount]]*Table1[[#This Row],[quantity]])</f>
        <v>264.59200000000004</v>
      </c>
      <c r="N277">
        <f>DAY(Table1[[#This Row],[order_date]])</f>
        <v>3</v>
      </c>
      <c r="O277" t="str">
        <f>TEXT(Table1[[#This Row],[order_date]],"mmm")</f>
        <v>Oct</v>
      </c>
      <c r="P277">
        <f>YEAR(Table1[[#This Row],[order_date]])</f>
        <v>2022</v>
      </c>
    </row>
    <row r="278" spans="1:16" x14ac:dyDescent="0.3">
      <c r="A278">
        <v>10277</v>
      </c>
      <c r="B278" s="1">
        <v>44838</v>
      </c>
      <c r="C278">
        <v>1386</v>
      </c>
      <c r="D278" t="s">
        <v>15</v>
      </c>
      <c r="E278" t="s">
        <v>20</v>
      </c>
      <c r="F278">
        <v>5</v>
      </c>
      <c r="G278">
        <v>347.76</v>
      </c>
      <c r="H278">
        <v>0.08</v>
      </c>
      <c r="I278" t="s">
        <v>16</v>
      </c>
      <c r="J278">
        <v>9</v>
      </c>
      <c r="K278">
        <v>1.4</v>
      </c>
      <c r="L278">
        <v>1599.7</v>
      </c>
      <c r="M278">
        <f>(Table1[[#This Row],[unit_price]]*Table1[[#This Row],[quantity]])-(Table1[[#This Row],[unit_price]]*Table1[[#This Row],[discount]]*Table1[[#This Row],[quantity]])</f>
        <v>1599.6959999999999</v>
      </c>
      <c r="N278">
        <f>DAY(Table1[[#This Row],[order_date]])</f>
        <v>4</v>
      </c>
      <c r="O278" t="str">
        <f>TEXT(Table1[[#This Row],[order_date]],"mmm")</f>
        <v>Oct</v>
      </c>
      <c r="P278">
        <f>YEAR(Table1[[#This Row],[order_date]])</f>
        <v>2022</v>
      </c>
    </row>
    <row r="279" spans="1:16" x14ac:dyDescent="0.3">
      <c r="A279">
        <v>10278</v>
      </c>
      <c r="B279" s="1">
        <v>44839</v>
      </c>
      <c r="C279">
        <v>1112</v>
      </c>
      <c r="D279" t="s">
        <v>22</v>
      </c>
      <c r="E279" t="s">
        <v>13</v>
      </c>
      <c r="F279">
        <v>3</v>
      </c>
      <c r="G279">
        <v>341.83</v>
      </c>
      <c r="H279">
        <v>0.2</v>
      </c>
      <c r="I279" t="s">
        <v>16</v>
      </c>
      <c r="J279">
        <v>7</v>
      </c>
      <c r="K279">
        <v>3.1</v>
      </c>
      <c r="L279">
        <v>820.39</v>
      </c>
      <c r="M279">
        <f>(Table1[[#This Row],[unit_price]]*Table1[[#This Row],[quantity]])-(Table1[[#This Row],[unit_price]]*Table1[[#This Row],[discount]]*Table1[[#This Row],[quantity]])</f>
        <v>820.39200000000005</v>
      </c>
      <c r="N279">
        <f>DAY(Table1[[#This Row],[order_date]])</f>
        <v>5</v>
      </c>
      <c r="O279" t="str">
        <f>TEXT(Table1[[#This Row],[order_date]],"mmm")</f>
        <v>Oct</v>
      </c>
      <c r="P279">
        <f>YEAR(Table1[[#This Row],[order_date]])</f>
        <v>2022</v>
      </c>
    </row>
    <row r="280" spans="1:16" x14ac:dyDescent="0.3">
      <c r="A280">
        <v>10279</v>
      </c>
      <c r="B280" s="1">
        <v>44840</v>
      </c>
      <c r="C280">
        <v>1612</v>
      </c>
      <c r="D280" t="s">
        <v>19</v>
      </c>
      <c r="E280" t="s">
        <v>17</v>
      </c>
      <c r="F280">
        <v>7</v>
      </c>
      <c r="G280">
        <v>512.24</v>
      </c>
      <c r="H280">
        <v>0.2</v>
      </c>
      <c r="I280" t="s">
        <v>16</v>
      </c>
      <c r="J280">
        <v>2</v>
      </c>
      <c r="K280">
        <v>3.3</v>
      </c>
      <c r="L280">
        <v>2868.54</v>
      </c>
      <c r="M280">
        <f>(Table1[[#This Row],[unit_price]]*Table1[[#This Row],[quantity]])-(Table1[[#This Row],[unit_price]]*Table1[[#This Row],[discount]]*Table1[[#This Row],[quantity]])</f>
        <v>2868.5440000000003</v>
      </c>
      <c r="N280">
        <f>DAY(Table1[[#This Row],[order_date]])</f>
        <v>6</v>
      </c>
      <c r="O280" t="str">
        <f>TEXT(Table1[[#This Row],[order_date]],"mmm")</f>
        <v>Oct</v>
      </c>
      <c r="P280">
        <f>YEAR(Table1[[#This Row],[order_date]])</f>
        <v>2022</v>
      </c>
    </row>
    <row r="281" spans="1:16" x14ac:dyDescent="0.3">
      <c r="A281">
        <v>10280</v>
      </c>
      <c r="B281" s="1">
        <v>44841</v>
      </c>
      <c r="C281">
        <v>1624</v>
      </c>
      <c r="D281" t="s">
        <v>15</v>
      </c>
      <c r="E281" t="s">
        <v>17</v>
      </c>
      <c r="F281">
        <v>3</v>
      </c>
      <c r="G281">
        <v>597.65</v>
      </c>
      <c r="H281">
        <v>0.27</v>
      </c>
      <c r="I281" t="s">
        <v>16</v>
      </c>
      <c r="J281">
        <v>10</v>
      </c>
      <c r="K281">
        <v>1</v>
      </c>
      <c r="L281">
        <v>1308.8499999999999</v>
      </c>
      <c r="M281">
        <f>(Table1[[#This Row],[unit_price]]*Table1[[#This Row],[quantity]])-(Table1[[#This Row],[unit_price]]*Table1[[#This Row],[discount]]*Table1[[#This Row],[quantity]])</f>
        <v>1308.8534999999997</v>
      </c>
      <c r="N281">
        <f>DAY(Table1[[#This Row],[order_date]])</f>
        <v>7</v>
      </c>
      <c r="O281" t="str">
        <f>TEXT(Table1[[#This Row],[order_date]],"mmm")</f>
        <v>Oct</v>
      </c>
      <c r="P281">
        <f>YEAR(Table1[[#This Row],[order_date]])</f>
        <v>2022</v>
      </c>
    </row>
    <row r="282" spans="1:16" x14ac:dyDescent="0.3">
      <c r="A282">
        <v>10281</v>
      </c>
      <c r="B282" s="1">
        <v>44842</v>
      </c>
      <c r="C282">
        <v>1951</v>
      </c>
      <c r="D282" t="s">
        <v>15</v>
      </c>
      <c r="E282" t="s">
        <v>17</v>
      </c>
      <c r="F282">
        <v>3</v>
      </c>
      <c r="G282">
        <v>312.27</v>
      </c>
      <c r="H282">
        <v>0.27</v>
      </c>
      <c r="I282" t="s">
        <v>18</v>
      </c>
      <c r="J282">
        <v>1</v>
      </c>
      <c r="K282">
        <v>4.9000000000000004</v>
      </c>
      <c r="L282">
        <v>683.87</v>
      </c>
      <c r="M282">
        <f>(Table1[[#This Row],[unit_price]]*Table1[[#This Row],[quantity]])-(Table1[[#This Row],[unit_price]]*Table1[[#This Row],[discount]]*Table1[[#This Row],[quantity]])</f>
        <v>683.87130000000002</v>
      </c>
      <c r="N282">
        <f>DAY(Table1[[#This Row],[order_date]])</f>
        <v>8</v>
      </c>
      <c r="O282" t="str">
        <f>TEXT(Table1[[#This Row],[order_date]],"mmm")</f>
        <v>Oct</v>
      </c>
      <c r="P282">
        <f>YEAR(Table1[[#This Row],[order_date]])</f>
        <v>2022</v>
      </c>
    </row>
    <row r="283" spans="1:16" x14ac:dyDescent="0.3">
      <c r="A283">
        <v>10282</v>
      </c>
      <c r="B283" s="1">
        <v>44843</v>
      </c>
      <c r="C283">
        <v>1080</v>
      </c>
      <c r="D283" t="s">
        <v>22</v>
      </c>
      <c r="E283" t="s">
        <v>21</v>
      </c>
      <c r="F283">
        <v>6</v>
      </c>
      <c r="G283">
        <v>216.94</v>
      </c>
      <c r="H283">
        <v>0.23</v>
      </c>
      <c r="I283" t="s">
        <v>18</v>
      </c>
      <c r="J283">
        <v>10</v>
      </c>
      <c r="K283">
        <v>2.2000000000000002</v>
      </c>
      <c r="L283">
        <v>1002.26</v>
      </c>
      <c r="M283">
        <f>(Table1[[#This Row],[unit_price]]*Table1[[#This Row],[quantity]])-(Table1[[#This Row],[unit_price]]*Table1[[#This Row],[discount]]*Table1[[#This Row],[quantity]])</f>
        <v>1002.2627999999999</v>
      </c>
      <c r="N283">
        <f>DAY(Table1[[#This Row],[order_date]])</f>
        <v>9</v>
      </c>
      <c r="O283" t="str">
        <f>TEXT(Table1[[#This Row],[order_date]],"mmm")</f>
        <v>Oct</v>
      </c>
      <c r="P283">
        <f>YEAR(Table1[[#This Row],[order_date]])</f>
        <v>2022</v>
      </c>
    </row>
    <row r="284" spans="1:16" x14ac:dyDescent="0.3">
      <c r="A284">
        <v>10283</v>
      </c>
      <c r="B284" s="1">
        <v>44844</v>
      </c>
      <c r="C284">
        <v>1698</v>
      </c>
      <c r="D284" t="s">
        <v>19</v>
      </c>
      <c r="E284" t="s">
        <v>21</v>
      </c>
      <c r="F284">
        <v>4</v>
      </c>
      <c r="G284">
        <v>123.75</v>
      </c>
      <c r="H284">
        <v>0.16</v>
      </c>
      <c r="I284" t="s">
        <v>16</v>
      </c>
      <c r="J284">
        <v>10</v>
      </c>
      <c r="K284">
        <v>1.3</v>
      </c>
      <c r="L284">
        <v>415.8</v>
      </c>
      <c r="M284">
        <f>(Table1[[#This Row],[unit_price]]*Table1[[#This Row],[quantity]])-(Table1[[#This Row],[unit_price]]*Table1[[#This Row],[discount]]*Table1[[#This Row],[quantity]])</f>
        <v>415.8</v>
      </c>
      <c r="N284">
        <f>DAY(Table1[[#This Row],[order_date]])</f>
        <v>10</v>
      </c>
      <c r="O284" t="str">
        <f>TEXT(Table1[[#This Row],[order_date]],"mmm")</f>
        <v>Oct</v>
      </c>
      <c r="P284">
        <f>YEAR(Table1[[#This Row],[order_date]])</f>
        <v>2022</v>
      </c>
    </row>
    <row r="285" spans="1:16" x14ac:dyDescent="0.3">
      <c r="A285">
        <v>10284</v>
      </c>
      <c r="B285" s="1">
        <v>44845</v>
      </c>
      <c r="C285">
        <v>1112</v>
      </c>
      <c r="D285" t="s">
        <v>19</v>
      </c>
      <c r="E285" t="s">
        <v>21</v>
      </c>
      <c r="F285">
        <v>5</v>
      </c>
      <c r="G285">
        <v>17.809999999999999</v>
      </c>
      <c r="H285">
        <v>0.31</v>
      </c>
      <c r="I285" t="s">
        <v>18</v>
      </c>
      <c r="J285">
        <v>4</v>
      </c>
      <c r="K285">
        <v>4.4000000000000004</v>
      </c>
      <c r="L285">
        <v>61.44</v>
      </c>
      <c r="M285">
        <f>(Table1[[#This Row],[unit_price]]*Table1[[#This Row],[quantity]])-(Table1[[#This Row],[unit_price]]*Table1[[#This Row],[discount]]*Table1[[#This Row],[quantity]])</f>
        <v>61.444499999999998</v>
      </c>
      <c r="N285">
        <f>DAY(Table1[[#This Row],[order_date]])</f>
        <v>11</v>
      </c>
      <c r="O285" t="str">
        <f>TEXT(Table1[[#This Row],[order_date]],"mmm")</f>
        <v>Oct</v>
      </c>
      <c r="P285">
        <f>YEAR(Table1[[#This Row],[order_date]])</f>
        <v>2022</v>
      </c>
    </row>
    <row r="286" spans="1:16" x14ac:dyDescent="0.3">
      <c r="A286">
        <v>10285</v>
      </c>
      <c r="B286" s="1">
        <v>44846</v>
      </c>
      <c r="C286">
        <v>1001</v>
      </c>
      <c r="D286" t="s">
        <v>12</v>
      </c>
      <c r="E286" t="s">
        <v>13</v>
      </c>
      <c r="F286">
        <v>4</v>
      </c>
      <c r="G286">
        <v>312.83</v>
      </c>
      <c r="H286">
        <v>0.22</v>
      </c>
      <c r="I286" t="s">
        <v>18</v>
      </c>
      <c r="J286">
        <v>10</v>
      </c>
      <c r="K286">
        <v>1.6</v>
      </c>
      <c r="L286">
        <v>976.03</v>
      </c>
      <c r="M286">
        <f>(Table1[[#This Row],[unit_price]]*Table1[[#This Row],[quantity]])-(Table1[[#This Row],[unit_price]]*Table1[[#This Row],[discount]]*Table1[[#This Row],[quantity]])</f>
        <v>976.02959999999996</v>
      </c>
      <c r="N286">
        <f>DAY(Table1[[#This Row],[order_date]])</f>
        <v>12</v>
      </c>
      <c r="O286" t="str">
        <f>TEXT(Table1[[#This Row],[order_date]],"mmm")</f>
        <v>Oct</v>
      </c>
      <c r="P286">
        <f>YEAR(Table1[[#This Row],[order_date]])</f>
        <v>2022</v>
      </c>
    </row>
    <row r="287" spans="1:16" x14ac:dyDescent="0.3">
      <c r="A287">
        <v>10286</v>
      </c>
      <c r="B287" s="1">
        <v>44847</v>
      </c>
      <c r="C287">
        <v>1641</v>
      </c>
      <c r="D287" t="s">
        <v>19</v>
      </c>
      <c r="E287" t="s">
        <v>17</v>
      </c>
      <c r="F287">
        <v>3</v>
      </c>
      <c r="G287">
        <v>339.98</v>
      </c>
      <c r="H287">
        <v>0.35</v>
      </c>
      <c r="I287" t="s">
        <v>14</v>
      </c>
      <c r="J287">
        <v>8</v>
      </c>
      <c r="K287">
        <v>1.1000000000000001</v>
      </c>
      <c r="L287">
        <v>662.96</v>
      </c>
      <c r="M287">
        <f>(Table1[[#This Row],[unit_price]]*Table1[[#This Row],[quantity]])-(Table1[[#This Row],[unit_price]]*Table1[[#This Row],[discount]]*Table1[[#This Row],[quantity]])</f>
        <v>662.96100000000001</v>
      </c>
      <c r="N287">
        <f>DAY(Table1[[#This Row],[order_date]])</f>
        <v>13</v>
      </c>
      <c r="O287" t="str">
        <f>TEXT(Table1[[#This Row],[order_date]],"mmm")</f>
        <v>Oct</v>
      </c>
      <c r="P287">
        <f>YEAR(Table1[[#This Row],[order_date]])</f>
        <v>2022</v>
      </c>
    </row>
    <row r="288" spans="1:16" x14ac:dyDescent="0.3">
      <c r="A288">
        <v>10287</v>
      </c>
      <c r="B288" s="1">
        <v>44848</v>
      </c>
      <c r="C288">
        <v>1219</v>
      </c>
      <c r="D288" t="s">
        <v>15</v>
      </c>
      <c r="E288" t="s">
        <v>20</v>
      </c>
      <c r="F288">
        <v>5</v>
      </c>
      <c r="G288">
        <v>497.59</v>
      </c>
      <c r="H288">
        <v>0.28999999999999998</v>
      </c>
      <c r="I288" t="s">
        <v>16</v>
      </c>
      <c r="J288">
        <v>6</v>
      </c>
      <c r="K288">
        <v>3</v>
      </c>
      <c r="L288">
        <v>1766.44</v>
      </c>
      <c r="M288">
        <f>(Table1[[#This Row],[unit_price]]*Table1[[#This Row],[quantity]])-(Table1[[#This Row],[unit_price]]*Table1[[#This Row],[discount]]*Table1[[#This Row],[quantity]])</f>
        <v>1766.4444999999998</v>
      </c>
      <c r="N288">
        <f>DAY(Table1[[#This Row],[order_date]])</f>
        <v>14</v>
      </c>
      <c r="O288" t="str">
        <f>TEXT(Table1[[#This Row],[order_date]],"mmm")</f>
        <v>Oct</v>
      </c>
      <c r="P288">
        <f>YEAR(Table1[[#This Row],[order_date]])</f>
        <v>2022</v>
      </c>
    </row>
    <row r="289" spans="1:16" x14ac:dyDescent="0.3">
      <c r="A289">
        <v>10288</v>
      </c>
      <c r="B289" s="1">
        <v>44849</v>
      </c>
      <c r="C289">
        <v>1565</v>
      </c>
      <c r="D289" t="s">
        <v>19</v>
      </c>
      <c r="E289" t="s">
        <v>13</v>
      </c>
      <c r="F289">
        <v>2</v>
      </c>
      <c r="G289">
        <v>310.18</v>
      </c>
      <c r="H289">
        <v>0.02</v>
      </c>
      <c r="I289" t="s">
        <v>18</v>
      </c>
      <c r="J289">
        <v>2</v>
      </c>
      <c r="K289">
        <v>1.5</v>
      </c>
      <c r="L289">
        <v>607.95000000000005</v>
      </c>
      <c r="M289">
        <f>(Table1[[#This Row],[unit_price]]*Table1[[#This Row],[quantity]])-(Table1[[#This Row],[unit_price]]*Table1[[#This Row],[discount]]*Table1[[#This Row],[quantity]])</f>
        <v>607.95280000000002</v>
      </c>
      <c r="N289">
        <f>DAY(Table1[[#This Row],[order_date]])</f>
        <v>15</v>
      </c>
      <c r="O289" t="str">
        <f>TEXT(Table1[[#This Row],[order_date]],"mmm")</f>
        <v>Oct</v>
      </c>
      <c r="P289">
        <f>YEAR(Table1[[#This Row],[order_date]])</f>
        <v>2022</v>
      </c>
    </row>
    <row r="290" spans="1:16" x14ac:dyDescent="0.3">
      <c r="A290">
        <v>10289</v>
      </c>
      <c r="B290" s="1">
        <v>44850</v>
      </c>
      <c r="C290">
        <v>1854</v>
      </c>
      <c r="D290" t="s">
        <v>19</v>
      </c>
      <c r="E290" t="s">
        <v>13</v>
      </c>
      <c r="F290">
        <v>1</v>
      </c>
      <c r="G290">
        <v>551.13</v>
      </c>
      <c r="H290">
        <v>0.11</v>
      </c>
      <c r="I290" t="s">
        <v>18</v>
      </c>
      <c r="J290">
        <v>5</v>
      </c>
      <c r="K290">
        <v>4.9000000000000004</v>
      </c>
      <c r="L290">
        <v>490.51</v>
      </c>
      <c r="M290">
        <f>(Table1[[#This Row],[unit_price]]*Table1[[#This Row],[quantity]])-(Table1[[#This Row],[unit_price]]*Table1[[#This Row],[discount]]*Table1[[#This Row],[quantity]])</f>
        <v>490.50569999999999</v>
      </c>
      <c r="N290">
        <f>DAY(Table1[[#This Row],[order_date]])</f>
        <v>16</v>
      </c>
      <c r="O290" t="str">
        <f>TEXT(Table1[[#This Row],[order_date]],"mmm")</f>
        <v>Oct</v>
      </c>
      <c r="P290">
        <f>YEAR(Table1[[#This Row],[order_date]])</f>
        <v>2022</v>
      </c>
    </row>
    <row r="291" spans="1:16" x14ac:dyDescent="0.3">
      <c r="A291">
        <v>10290</v>
      </c>
      <c r="B291" s="1">
        <v>44851</v>
      </c>
      <c r="C291">
        <v>1996</v>
      </c>
      <c r="D291" t="s">
        <v>19</v>
      </c>
      <c r="E291" t="s">
        <v>13</v>
      </c>
      <c r="F291">
        <v>1</v>
      </c>
      <c r="G291">
        <v>382.43</v>
      </c>
      <c r="H291">
        <v>0.2</v>
      </c>
      <c r="I291" t="s">
        <v>16</v>
      </c>
      <c r="J291">
        <v>9</v>
      </c>
      <c r="K291">
        <v>1</v>
      </c>
      <c r="L291">
        <v>305.94</v>
      </c>
      <c r="M291">
        <f>(Table1[[#This Row],[unit_price]]*Table1[[#This Row],[quantity]])-(Table1[[#This Row],[unit_price]]*Table1[[#This Row],[discount]]*Table1[[#This Row],[quantity]])</f>
        <v>305.94400000000002</v>
      </c>
      <c r="N291">
        <f>DAY(Table1[[#This Row],[order_date]])</f>
        <v>17</v>
      </c>
      <c r="O291" t="str">
        <f>TEXT(Table1[[#This Row],[order_date]],"mmm")</f>
        <v>Oct</v>
      </c>
      <c r="P291">
        <f>YEAR(Table1[[#This Row],[order_date]])</f>
        <v>2022</v>
      </c>
    </row>
    <row r="292" spans="1:16" x14ac:dyDescent="0.3">
      <c r="A292">
        <v>10291</v>
      </c>
      <c r="B292" s="1">
        <v>44852</v>
      </c>
      <c r="C292">
        <v>1735</v>
      </c>
      <c r="D292" t="s">
        <v>19</v>
      </c>
      <c r="E292" t="s">
        <v>20</v>
      </c>
      <c r="F292">
        <v>3</v>
      </c>
      <c r="G292">
        <v>506.6</v>
      </c>
      <c r="H292">
        <v>0.25</v>
      </c>
      <c r="I292" t="s">
        <v>14</v>
      </c>
      <c r="J292">
        <v>6</v>
      </c>
      <c r="K292">
        <v>1.2</v>
      </c>
      <c r="L292">
        <v>1139.8499999999999</v>
      </c>
      <c r="M292">
        <f>(Table1[[#This Row],[unit_price]]*Table1[[#This Row],[quantity]])-(Table1[[#This Row],[unit_price]]*Table1[[#This Row],[discount]]*Table1[[#This Row],[quantity]])</f>
        <v>1139.8500000000001</v>
      </c>
      <c r="N292">
        <f>DAY(Table1[[#This Row],[order_date]])</f>
        <v>18</v>
      </c>
      <c r="O292" t="str">
        <f>TEXT(Table1[[#This Row],[order_date]],"mmm")</f>
        <v>Oct</v>
      </c>
      <c r="P292">
        <f>YEAR(Table1[[#This Row],[order_date]])</f>
        <v>2022</v>
      </c>
    </row>
    <row r="293" spans="1:16" x14ac:dyDescent="0.3">
      <c r="A293">
        <v>10292</v>
      </c>
      <c r="B293" s="1">
        <v>44853</v>
      </c>
      <c r="C293">
        <v>1224</v>
      </c>
      <c r="D293" t="s">
        <v>12</v>
      </c>
      <c r="E293" t="s">
        <v>17</v>
      </c>
      <c r="F293">
        <v>7</v>
      </c>
      <c r="G293">
        <v>101.76</v>
      </c>
      <c r="H293">
        <v>0.19</v>
      </c>
      <c r="I293" t="s">
        <v>18</v>
      </c>
      <c r="J293">
        <v>6</v>
      </c>
      <c r="K293">
        <v>4.3</v>
      </c>
      <c r="L293">
        <v>576.98</v>
      </c>
      <c r="M293">
        <f>(Table1[[#This Row],[unit_price]]*Table1[[#This Row],[quantity]])-(Table1[[#This Row],[unit_price]]*Table1[[#This Row],[discount]]*Table1[[#This Row],[quantity]])</f>
        <v>576.97919999999999</v>
      </c>
      <c r="N293">
        <f>DAY(Table1[[#This Row],[order_date]])</f>
        <v>19</v>
      </c>
      <c r="O293" t="str">
        <f>TEXT(Table1[[#This Row],[order_date]],"mmm")</f>
        <v>Oct</v>
      </c>
      <c r="P293">
        <f>YEAR(Table1[[#This Row],[order_date]])</f>
        <v>2022</v>
      </c>
    </row>
    <row r="294" spans="1:16" x14ac:dyDescent="0.3">
      <c r="A294">
        <v>10293</v>
      </c>
      <c r="B294" s="1">
        <v>44854</v>
      </c>
      <c r="C294">
        <v>1384</v>
      </c>
      <c r="D294" t="s">
        <v>19</v>
      </c>
      <c r="E294" t="s">
        <v>21</v>
      </c>
      <c r="F294">
        <v>4</v>
      </c>
      <c r="G294">
        <v>515.37</v>
      </c>
      <c r="H294">
        <v>0.28000000000000003</v>
      </c>
      <c r="I294" t="s">
        <v>18</v>
      </c>
      <c r="J294">
        <v>7</v>
      </c>
      <c r="K294">
        <v>2</v>
      </c>
      <c r="L294">
        <v>1484.27</v>
      </c>
      <c r="M294">
        <f>(Table1[[#This Row],[unit_price]]*Table1[[#This Row],[quantity]])-(Table1[[#This Row],[unit_price]]*Table1[[#This Row],[discount]]*Table1[[#This Row],[quantity]])</f>
        <v>1484.2655999999999</v>
      </c>
      <c r="N294">
        <f>DAY(Table1[[#This Row],[order_date]])</f>
        <v>20</v>
      </c>
      <c r="O294" t="str">
        <f>TEXT(Table1[[#This Row],[order_date]],"mmm")</f>
        <v>Oct</v>
      </c>
      <c r="P294">
        <f>YEAR(Table1[[#This Row],[order_date]])</f>
        <v>2022</v>
      </c>
    </row>
    <row r="295" spans="1:16" x14ac:dyDescent="0.3">
      <c r="A295">
        <v>10294</v>
      </c>
      <c r="B295" s="1">
        <v>44855</v>
      </c>
      <c r="C295">
        <v>1402</v>
      </c>
      <c r="D295" t="s">
        <v>12</v>
      </c>
      <c r="E295" t="s">
        <v>17</v>
      </c>
      <c r="F295">
        <v>2</v>
      </c>
      <c r="G295">
        <v>409.96</v>
      </c>
      <c r="H295">
        <v>0.1</v>
      </c>
      <c r="I295" t="s">
        <v>16</v>
      </c>
      <c r="J295">
        <v>11</v>
      </c>
      <c r="K295">
        <v>4.5999999999999996</v>
      </c>
      <c r="L295">
        <v>737.93</v>
      </c>
      <c r="M295">
        <f>(Table1[[#This Row],[unit_price]]*Table1[[#This Row],[quantity]])-(Table1[[#This Row],[unit_price]]*Table1[[#This Row],[discount]]*Table1[[#This Row],[quantity]])</f>
        <v>737.928</v>
      </c>
      <c r="N295">
        <f>DAY(Table1[[#This Row],[order_date]])</f>
        <v>21</v>
      </c>
      <c r="O295" t="str">
        <f>TEXT(Table1[[#This Row],[order_date]],"mmm")</f>
        <v>Oct</v>
      </c>
      <c r="P295">
        <f>YEAR(Table1[[#This Row],[order_date]])</f>
        <v>2022</v>
      </c>
    </row>
    <row r="296" spans="1:16" x14ac:dyDescent="0.3">
      <c r="A296">
        <v>10295</v>
      </c>
      <c r="B296" s="1">
        <v>44856</v>
      </c>
      <c r="C296">
        <v>1637</v>
      </c>
      <c r="D296" t="s">
        <v>15</v>
      </c>
      <c r="E296" t="s">
        <v>17</v>
      </c>
      <c r="F296">
        <v>5</v>
      </c>
      <c r="G296">
        <v>114.59</v>
      </c>
      <c r="H296">
        <v>0.06</v>
      </c>
      <c r="I296" t="s">
        <v>16</v>
      </c>
      <c r="J296">
        <v>5</v>
      </c>
      <c r="K296">
        <v>2.2000000000000002</v>
      </c>
      <c r="L296">
        <v>538.57000000000005</v>
      </c>
      <c r="M296">
        <f>(Table1[[#This Row],[unit_price]]*Table1[[#This Row],[quantity]])-(Table1[[#This Row],[unit_price]]*Table1[[#This Row],[discount]]*Table1[[#This Row],[quantity]])</f>
        <v>538.57300000000009</v>
      </c>
      <c r="N296">
        <f>DAY(Table1[[#This Row],[order_date]])</f>
        <v>22</v>
      </c>
      <c r="O296" t="str">
        <f>TEXT(Table1[[#This Row],[order_date]],"mmm")</f>
        <v>Oct</v>
      </c>
      <c r="P296">
        <f>YEAR(Table1[[#This Row],[order_date]])</f>
        <v>2022</v>
      </c>
    </row>
    <row r="297" spans="1:16" x14ac:dyDescent="0.3">
      <c r="A297">
        <v>10296</v>
      </c>
      <c r="B297" s="1">
        <v>44857</v>
      </c>
      <c r="C297">
        <v>1129</v>
      </c>
      <c r="D297" t="s">
        <v>15</v>
      </c>
      <c r="E297" t="s">
        <v>13</v>
      </c>
      <c r="F297">
        <v>7</v>
      </c>
      <c r="G297">
        <v>126.01</v>
      </c>
      <c r="H297">
        <v>0.02</v>
      </c>
      <c r="I297" t="s">
        <v>18</v>
      </c>
      <c r="J297">
        <v>3</v>
      </c>
      <c r="K297">
        <v>1.3</v>
      </c>
      <c r="L297">
        <v>864.43</v>
      </c>
      <c r="M297">
        <f>(Table1[[#This Row],[unit_price]]*Table1[[#This Row],[quantity]])-(Table1[[#This Row],[unit_price]]*Table1[[#This Row],[discount]]*Table1[[#This Row],[quantity]])</f>
        <v>864.42860000000007</v>
      </c>
      <c r="N297">
        <f>DAY(Table1[[#This Row],[order_date]])</f>
        <v>23</v>
      </c>
      <c r="O297" t="str">
        <f>TEXT(Table1[[#This Row],[order_date]],"mmm")</f>
        <v>Oct</v>
      </c>
      <c r="P297">
        <f>YEAR(Table1[[#This Row],[order_date]])</f>
        <v>2022</v>
      </c>
    </row>
    <row r="298" spans="1:16" x14ac:dyDescent="0.3">
      <c r="A298">
        <v>10297</v>
      </c>
      <c r="B298" s="1">
        <v>44858</v>
      </c>
      <c r="C298">
        <v>1052</v>
      </c>
      <c r="D298" t="s">
        <v>15</v>
      </c>
      <c r="E298" t="s">
        <v>13</v>
      </c>
      <c r="F298">
        <v>4</v>
      </c>
      <c r="G298">
        <v>557</v>
      </c>
      <c r="H298">
        <v>0.2</v>
      </c>
      <c r="I298" t="s">
        <v>16</v>
      </c>
      <c r="J298">
        <v>3</v>
      </c>
      <c r="K298">
        <v>1</v>
      </c>
      <c r="L298">
        <v>1782.4</v>
      </c>
      <c r="M298">
        <f>(Table1[[#This Row],[unit_price]]*Table1[[#This Row],[quantity]])-(Table1[[#This Row],[unit_price]]*Table1[[#This Row],[discount]]*Table1[[#This Row],[quantity]])</f>
        <v>1782.4</v>
      </c>
      <c r="N298">
        <f>DAY(Table1[[#This Row],[order_date]])</f>
        <v>24</v>
      </c>
      <c r="O298" t="str">
        <f>TEXT(Table1[[#This Row],[order_date]],"mmm")</f>
        <v>Oct</v>
      </c>
      <c r="P298">
        <f>YEAR(Table1[[#This Row],[order_date]])</f>
        <v>2022</v>
      </c>
    </row>
    <row r="299" spans="1:16" x14ac:dyDescent="0.3">
      <c r="A299">
        <v>10298</v>
      </c>
      <c r="B299" s="1">
        <v>44859</v>
      </c>
      <c r="C299">
        <v>1683</v>
      </c>
      <c r="D299" t="s">
        <v>15</v>
      </c>
      <c r="E299" t="s">
        <v>13</v>
      </c>
      <c r="F299">
        <v>3</v>
      </c>
      <c r="G299">
        <v>33.85</v>
      </c>
      <c r="H299">
        <v>0.24</v>
      </c>
      <c r="I299" t="s">
        <v>18</v>
      </c>
      <c r="J299">
        <v>5</v>
      </c>
      <c r="K299">
        <v>2.1</v>
      </c>
      <c r="L299">
        <v>77.180000000000007</v>
      </c>
      <c r="M299">
        <f>(Table1[[#This Row],[unit_price]]*Table1[[#This Row],[quantity]])-(Table1[[#This Row],[unit_price]]*Table1[[#This Row],[discount]]*Table1[[#This Row],[quantity]])</f>
        <v>77.178000000000011</v>
      </c>
      <c r="N299">
        <f>DAY(Table1[[#This Row],[order_date]])</f>
        <v>25</v>
      </c>
      <c r="O299" t="str">
        <f>TEXT(Table1[[#This Row],[order_date]],"mmm")</f>
        <v>Oct</v>
      </c>
      <c r="P299">
        <f>YEAR(Table1[[#This Row],[order_date]])</f>
        <v>2022</v>
      </c>
    </row>
    <row r="300" spans="1:16" x14ac:dyDescent="0.3">
      <c r="A300">
        <v>10299</v>
      </c>
      <c r="B300" s="1">
        <v>44860</v>
      </c>
      <c r="C300">
        <v>1729</v>
      </c>
      <c r="D300" t="s">
        <v>22</v>
      </c>
      <c r="E300" t="s">
        <v>21</v>
      </c>
      <c r="F300">
        <v>4</v>
      </c>
      <c r="G300">
        <v>285.58</v>
      </c>
      <c r="H300">
        <v>0.11</v>
      </c>
      <c r="I300" t="s">
        <v>16</v>
      </c>
      <c r="J300">
        <v>4</v>
      </c>
      <c r="K300">
        <v>2.9</v>
      </c>
      <c r="L300">
        <v>1016.66</v>
      </c>
      <c r="M300">
        <f>(Table1[[#This Row],[unit_price]]*Table1[[#This Row],[quantity]])-(Table1[[#This Row],[unit_price]]*Table1[[#This Row],[discount]]*Table1[[#This Row],[quantity]])</f>
        <v>1016.6647999999999</v>
      </c>
      <c r="N300">
        <f>DAY(Table1[[#This Row],[order_date]])</f>
        <v>26</v>
      </c>
      <c r="O300" t="str">
        <f>TEXT(Table1[[#This Row],[order_date]],"mmm")</f>
        <v>Oct</v>
      </c>
      <c r="P300">
        <f>YEAR(Table1[[#This Row],[order_date]])</f>
        <v>2022</v>
      </c>
    </row>
    <row r="301" spans="1:16" x14ac:dyDescent="0.3">
      <c r="A301">
        <v>10300</v>
      </c>
      <c r="B301" s="1">
        <v>44861</v>
      </c>
      <c r="C301">
        <v>1671</v>
      </c>
      <c r="D301" t="s">
        <v>19</v>
      </c>
      <c r="E301" t="s">
        <v>21</v>
      </c>
      <c r="F301">
        <v>3</v>
      </c>
      <c r="G301">
        <v>198.38</v>
      </c>
      <c r="H301">
        <v>0.21</v>
      </c>
      <c r="I301" t="s">
        <v>18</v>
      </c>
      <c r="J301">
        <v>5</v>
      </c>
      <c r="K301">
        <v>1</v>
      </c>
      <c r="L301">
        <v>470.16</v>
      </c>
      <c r="M301">
        <f>(Table1[[#This Row],[unit_price]]*Table1[[#This Row],[quantity]])-(Table1[[#This Row],[unit_price]]*Table1[[#This Row],[discount]]*Table1[[#This Row],[quantity]])</f>
        <v>470.16059999999999</v>
      </c>
      <c r="N301">
        <f>DAY(Table1[[#This Row],[order_date]])</f>
        <v>27</v>
      </c>
      <c r="O301" t="str">
        <f>TEXT(Table1[[#This Row],[order_date]],"mmm")</f>
        <v>Oct</v>
      </c>
      <c r="P301">
        <f>YEAR(Table1[[#This Row],[order_date]])</f>
        <v>2022</v>
      </c>
    </row>
    <row r="302" spans="1:16" x14ac:dyDescent="0.3">
      <c r="A302">
        <v>10301</v>
      </c>
      <c r="B302" s="1">
        <v>44862</v>
      </c>
      <c r="C302">
        <v>1709</v>
      </c>
      <c r="D302" t="s">
        <v>15</v>
      </c>
      <c r="E302" t="s">
        <v>21</v>
      </c>
      <c r="F302">
        <v>6</v>
      </c>
      <c r="G302">
        <v>404.07</v>
      </c>
      <c r="H302">
        <v>0.02</v>
      </c>
      <c r="I302" t="s">
        <v>18</v>
      </c>
      <c r="J302">
        <v>9</v>
      </c>
      <c r="K302">
        <v>3.3</v>
      </c>
      <c r="L302">
        <v>2375.9299999999998</v>
      </c>
      <c r="M302">
        <f>(Table1[[#This Row],[unit_price]]*Table1[[#This Row],[quantity]])-(Table1[[#This Row],[unit_price]]*Table1[[#This Row],[discount]]*Table1[[#This Row],[quantity]])</f>
        <v>2375.9315999999999</v>
      </c>
      <c r="N302">
        <f>DAY(Table1[[#This Row],[order_date]])</f>
        <v>28</v>
      </c>
      <c r="O302" t="str">
        <f>TEXT(Table1[[#This Row],[order_date]],"mmm")</f>
        <v>Oct</v>
      </c>
      <c r="P302">
        <f>YEAR(Table1[[#This Row],[order_date]])</f>
        <v>2022</v>
      </c>
    </row>
    <row r="303" spans="1:16" x14ac:dyDescent="0.3">
      <c r="A303">
        <v>10302</v>
      </c>
      <c r="B303" s="1">
        <v>44863</v>
      </c>
      <c r="C303">
        <v>1415</v>
      </c>
      <c r="D303" t="s">
        <v>12</v>
      </c>
      <c r="E303" t="s">
        <v>17</v>
      </c>
      <c r="F303">
        <v>1</v>
      </c>
      <c r="G303">
        <v>506.18</v>
      </c>
      <c r="H303">
        <v>0.03</v>
      </c>
      <c r="I303" t="s">
        <v>16</v>
      </c>
      <c r="J303">
        <v>5</v>
      </c>
      <c r="K303">
        <v>2.2999999999999998</v>
      </c>
      <c r="L303">
        <v>490.99</v>
      </c>
      <c r="M303">
        <f>(Table1[[#This Row],[unit_price]]*Table1[[#This Row],[quantity]])-(Table1[[#This Row],[unit_price]]*Table1[[#This Row],[discount]]*Table1[[#This Row],[quantity]])</f>
        <v>490.99459999999999</v>
      </c>
      <c r="N303">
        <f>DAY(Table1[[#This Row],[order_date]])</f>
        <v>29</v>
      </c>
      <c r="O303" t="str">
        <f>TEXT(Table1[[#This Row],[order_date]],"mmm")</f>
        <v>Oct</v>
      </c>
      <c r="P303">
        <f>YEAR(Table1[[#This Row],[order_date]])</f>
        <v>2022</v>
      </c>
    </row>
    <row r="304" spans="1:16" x14ac:dyDescent="0.3">
      <c r="A304">
        <v>10303</v>
      </c>
      <c r="B304" s="1">
        <v>44864</v>
      </c>
      <c r="C304">
        <v>1246</v>
      </c>
      <c r="D304" t="s">
        <v>12</v>
      </c>
      <c r="E304" t="s">
        <v>13</v>
      </c>
      <c r="F304">
        <v>7</v>
      </c>
      <c r="G304">
        <v>225.82</v>
      </c>
      <c r="H304">
        <v>0.25</v>
      </c>
      <c r="I304" t="s">
        <v>18</v>
      </c>
      <c r="J304">
        <v>4</v>
      </c>
      <c r="K304">
        <v>2.6</v>
      </c>
      <c r="L304">
        <v>1185.56</v>
      </c>
      <c r="M304">
        <f>(Table1[[#This Row],[unit_price]]*Table1[[#This Row],[quantity]])-(Table1[[#This Row],[unit_price]]*Table1[[#This Row],[discount]]*Table1[[#This Row],[quantity]])</f>
        <v>1185.5550000000001</v>
      </c>
      <c r="N304">
        <f>DAY(Table1[[#This Row],[order_date]])</f>
        <v>30</v>
      </c>
      <c r="O304" t="str">
        <f>TEXT(Table1[[#This Row],[order_date]],"mmm")</f>
        <v>Oct</v>
      </c>
      <c r="P304">
        <f>YEAR(Table1[[#This Row],[order_date]])</f>
        <v>2022</v>
      </c>
    </row>
    <row r="305" spans="1:16" x14ac:dyDescent="0.3">
      <c r="A305">
        <v>10304</v>
      </c>
      <c r="B305" s="1">
        <v>44865</v>
      </c>
      <c r="C305">
        <v>1835</v>
      </c>
      <c r="D305" t="s">
        <v>12</v>
      </c>
      <c r="E305" t="s">
        <v>20</v>
      </c>
      <c r="F305">
        <v>1</v>
      </c>
      <c r="G305">
        <v>264.74</v>
      </c>
      <c r="H305">
        <v>0.13</v>
      </c>
      <c r="I305" t="s">
        <v>16</v>
      </c>
      <c r="J305">
        <v>4</v>
      </c>
      <c r="K305">
        <v>2</v>
      </c>
      <c r="L305">
        <v>230.32</v>
      </c>
      <c r="M305">
        <f>(Table1[[#This Row],[unit_price]]*Table1[[#This Row],[quantity]])-(Table1[[#This Row],[unit_price]]*Table1[[#This Row],[discount]]*Table1[[#This Row],[quantity]])</f>
        <v>230.32380000000001</v>
      </c>
      <c r="N305">
        <f>DAY(Table1[[#This Row],[order_date]])</f>
        <v>31</v>
      </c>
      <c r="O305" t="str">
        <f>TEXT(Table1[[#This Row],[order_date]],"mmm")</f>
        <v>Oct</v>
      </c>
      <c r="P305">
        <f>YEAR(Table1[[#This Row],[order_date]])</f>
        <v>2022</v>
      </c>
    </row>
    <row r="306" spans="1:16" x14ac:dyDescent="0.3">
      <c r="A306">
        <v>10305</v>
      </c>
      <c r="B306" s="1">
        <v>44866</v>
      </c>
      <c r="C306">
        <v>1438</v>
      </c>
      <c r="D306" t="s">
        <v>15</v>
      </c>
      <c r="E306" t="s">
        <v>17</v>
      </c>
      <c r="F306">
        <v>4</v>
      </c>
      <c r="G306">
        <v>589.41999999999996</v>
      </c>
      <c r="H306">
        <v>0.23</v>
      </c>
      <c r="I306" t="s">
        <v>16</v>
      </c>
      <c r="J306">
        <v>1</v>
      </c>
      <c r="K306">
        <v>3.1</v>
      </c>
      <c r="L306">
        <v>1815.41</v>
      </c>
      <c r="M306">
        <f>(Table1[[#This Row],[unit_price]]*Table1[[#This Row],[quantity]])-(Table1[[#This Row],[unit_price]]*Table1[[#This Row],[discount]]*Table1[[#This Row],[quantity]])</f>
        <v>1815.4135999999999</v>
      </c>
      <c r="N306">
        <f>DAY(Table1[[#This Row],[order_date]])</f>
        <v>1</v>
      </c>
      <c r="O306" t="str">
        <f>TEXT(Table1[[#This Row],[order_date]],"mmm")</f>
        <v>Nov</v>
      </c>
      <c r="P306">
        <f>YEAR(Table1[[#This Row],[order_date]])</f>
        <v>2022</v>
      </c>
    </row>
    <row r="307" spans="1:16" x14ac:dyDescent="0.3">
      <c r="A307">
        <v>10306</v>
      </c>
      <c r="B307" s="1">
        <v>44867</v>
      </c>
      <c r="C307">
        <v>1202</v>
      </c>
      <c r="D307" t="s">
        <v>22</v>
      </c>
      <c r="E307" t="s">
        <v>21</v>
      </c>
      <c r="F307">
        <v>2</v>
      </c>
      <c r="G307">
        <v>473.59</v>
      </c>
      <c r="H307">
        <v>0.28999999999999998</v>
      </c>
      <c r="I307" t="s">
        <v>16</v>
      </c>
      <c r="J307">
        <v>10</v>
      </c>
      <c r="K307">
        <v>1.9</v>
      </c>
      <c r="L307">
        <v>672.5</v>
      </c>
      <c r="M307">
        <f>(Table1[[#This Row],[unit_price]]*Table1[[#This Row],[quantity]])-(Table1[[#This Row],[unit_price]]*Table1[[#This Row],[discount]]*Table1[[#This Row],[quantity]])</f>
        <v>672.49779999999998</v>
      </c>
      <c r="N307">
        <f>DAY(Table1[[#This Row],[order_date]])</f>
        <v>2</v>
      </c>
      <c r="O307" t="str">
        <f>TEXT(Table1[[#This Row],[order_date]],"mmm")</f>
        <v>Nov</v>
      </c>
      <c r="P307">
        <f>YEAR(Table1[[#This Row],[order_date]])</f>
        <v>2022</v>
      </c>
    </row>
    <row r="308" spans="1:16" x14ac:dyDescent="0.3">
      <c r="A308">
        <v>10307</v>
      </c>
      <c r="B308" s="1">
        <v>44868</v>
      </c>
      <c r="C308">
        <v>1183</v>
      </c>
      <c r="D308" t="s">
        <v>15</v>
      </c>
      <c r="E308" t="s">
        <v>20</v>
      </c>
      <c r="F308">
        <v>5</v>
      </c>
      <c r="G308">
        <v>539.86</v>
      </c>
      <c r="H308">
        <v>0.3</v>
      </c>
      <c r="I308" t="s">
        <v>16</v>
      </c>
      <c r="J308">
        <v>4</v>
      </c>
      <c r="K308">
        <v>1.5</v>
      </c>
      <c r="L308">
        <v>1889.51</v>
      </c>
      <c r="M308">
        <f>(Table1[[#This Row],[unit_price]]*Table1[[#This Row],[quantity]])-(Table1[[#This Row],[unit_price]]*Table1[[#This Row],[discount]]*Table1[[#This Row],[quantity]])</f>
        <v>1889.5100000000002</v>
      </c>
      <c r="N308">
        <f>DAY(Table1[[#This Row],[order_date]])</f>
        <v>3</v>
      </c>
      <c r="O308" t="str">
        <f>TEXT(Table1[[#This Row],[order_date]],"mmm")</f>
        <v>Nov</v>
      </c>
      <c r="P308">
        <f>YEAR(Table1[[#This Row],[order_date]])</f>
        <v>2022</v>
      </c>
    </row>
    <row r="309" spans="1:16" x14ac:dyDescent="0.3">
      <c r="A309">
        <v>10308</v>
      </c>
      <c r="B309" s="1">
        <v>44869</v>
      </c>
      <c r="C309">
        <v>1122</v>
      </c>
      <c r="D309" t="s">
        <v>15</v>
      </c>
      <c r="E309" t="s">
        <v>20</v>
      </c>
      <c r="F309">
        <v>3</v>
      </c>
      <c r="G309">
        <v>271.68</v>
      </c>
      <c r="H309">
        <v>0.06</v>
      </c>
      <c r="I309" t="s">
        <v>16</v>
      </c>
      <c r="J309">
        <v>4</v>
      </c>
      <c r="K309">
        <v>4.5999999999999996</v>
      </c>
      <c r="L309">
        <v>766.14</v>
      </c>
      <c r="M309">
        <f>(Table1[[#This Row],[unit_price]]*Table1[[#This Row],[quantity]])-(Table1[[#This Row],[unit_price]]*Table1[[#This Row],[discount]]*Table1[[#This Row],[quantity]])</f>
        <v>766.13760000000002</v>
      </c>
      <c r="N309">
        <f>DAY(Table1[[#This Row],[order_date]])</f>
        <v>4</v>
      </c>
      <c r="O309" t="str">
        <f>TEXT(Table1[[#This Row],[order_date]],"mmm")</f>
        <v>Nov</v>
      </c>
      <c r="P309">
        <f>YEAR(Table1[[#This Row],[order_date]])</f>
        <v>2022</v>
      </c>
    </row>
    <row r="310" spans="1:16" x14ac:dyDescent="0.3">
      <c r="A310">
        <v>10309</v>
      </c>
      <c r="B310" s="1">
        <v>44870</v>
      </c>
      <c r="C310">
        <v>1400</v>
      </c>
      <c r="D310" t="s">
        <v>19</v>
      </c>
      <c r="E310" t="s">
        <v>13</v>
      </c>
      <c r="F310">
        <v>5</v>
      </c>
      <c r="G310">
        <v>151.93</v>
      </c>
      <c r="H310">
        <v>0.17</v>
      </c>
      <c r="I310" t="s">
        <v>14</v>
      </c>
      <c r="J310">
        <v>9</v>
      </c>
      <c r="K310">
        <v>2.6</v>
      </c>
      <c r="L310">
        <v>630.51</v>
      </c>
      <c r="M310">
        <f>(Table1[[#This Row],[unit_price]]*Table1[[#This Row],[quantity]])-(Table1[[#This Row],[unit_price]]*Table1[[#This Row],[discount]]*Table1[[#This Row],[quantity]])</f>
        <v>630.50950000000012</v>
      </c>
      <c r="N310">
        <f>DAY(Table1[[#This Row],[order_date]])</f>
        <v>5</v>
      </c>
      <c r="O310" t="str">
        <f>TEXT(Table1[[#This Row],[order_date]],"mmm")</f>
        <v>Nov</v>
      </c>
      <c r="P310">
        <f>YEAR(Table1[[#This Row],[order_date]])</f>
        <v>2022</v>
      </c>
    </row>
    <row r="311" spans="1:16" x14ac:dyDescent="0.3">
      <c r="A311">
        <v>10310</v>
      </c>
      <c r="B311" s="1">
        <v>44871</v>
      </c>
      <c r="C311">
        <v>1766</v>
      </c>
      <c r="D311" t="s">
        <v>15</v>
      </c>
      <c r="E311" t="s">
        <v>20</v>
      </c>
      <c r="F311">
        <v>1</v>
      </c>
      <c r="G311">
        <v>255.94</v>
      </c>
      <c r="H311">
        <v>0.26</v>
      </c>
      <c r="I311" t="s">
        <v>16</v>
      </c>
      <c r="J311">
        <v>11</v>
      </c>
      <c r="K311">
        <v>1.3</v>
      </c>
      <c r="L311">
        <v>189.4</v>
      </c>
      <c r="M311">
        <f>(Table1[[#This Row],[unit_price]]*Table1[[#This Row],[quantity]])-(Table1[[#This Row],[unit_price]]*Table1[[#This Row],[discount]]*Table1[[#This Row],[quantity]])</f>
        <v>189.3956</v>
      </c>
      <c r="N311">
        <f>DAY(Table1[[#This Row],[order_date]])</f>
        <v>6</v>
      </c>
      <c r="O311" t="str">
        <f>TEXT(Table1[[#This Row],[order_date]],"mmm")</f>
        <v>Nov</v>
      </c>
      <c r="P311">
        <f>YEAR(Table1[[#This Row],[order_date]])</f>
        <v>2022</v>
      </c>
    </row>
    <row r="312" spans="1:16" x14ac:dyDescent="0.3">
      <c r="A312">
        <v>10311</v>
      </c>
      <c r="B312" s="1">
        <v>44872</v>
      </c>
      <c r="C312">
        <v>1293</v>
      </c>
      <c r="D312" t="s">
        <v>19</v>
      </c>
      <c r="E312" t="s">
        <v>21</v>
      </c>
      <c r="F312">
        <v>2</v>
      </c>
      <c r="G312">
        <v>433.91</v>
      </c>
      <c r="H312">
        <v>0.27</v>
      </c>
      <c r="I312" t="s">
        <v>16</v>
      </c>
      <c r="J312">
        <v>4</v>
      </c>
      <c r="K312">
        <v>1.9</v>
      </c>
      <c r="L312">
        <v>633.51</v>
      </c>
      <c r="M312">
        <f>(Table1[[#This Row],[unit_price]]*Table1[[#This Row],[quantity]])-(Table1[[#This Row],[unit_price]]*Table1[[#This Row],[discount]]*Table1[[#This Row],[quantity]])</f>
        <v>633.5086</v>
      </c>
      <c r="N312">
        <f>DAY(Table1[[#This Row],[order_date]])</f>
        <v>7</v>
      </c>
      <c r="O312" t="str">
        <f>TEXT(Table1[[#This Row],[order_date]],"mmm")</f>
        <v>Nov</v>
      </c>
      <c r="P312">
        <f>YEAR(Table1[[#This Row],[order_date]])</f>
        <v>2022</v>
      </c>
    </row>
    <row r="313" spans="1:16" x14ac:dyDescent="0.3">
      <c r="A313">
        <v>10312</v>
      </c>
      <c r="B313" s="1">
        <v>44873</v>
      </c>
      <c r="C313">
        <v>1279</v>
      </c>
      <c r="D313" t="s">
        <v>19</v>
      </c>
      <c r="E313" t="s">
        <v>13</v>
      </c>
      <c r="F313">
        <v>2</v>
      </c>
      <c r="G313">
        <v>79.02</v>
      </c>
      <c r="H313">
        <v>0.27</v>
      </c>
      <c r="I313" t="s">
        <v>16</v>
      </c>
      <c r="J313">
        <v>7</v>
      </c>
      <c r="K313">
        <v>2.2000000000000002</v>
      </c>
      <c r="L313">
        <v>115.37</v>
      </c>
      <c r="M313">
        <f>(Table1[[#This Row],[unit_price]]*Table1[[#This Row],[quantity]])-(Table1[[#This Row],[unit_price]]*Table1[[#This Row],[discount]]*Table1[[#This Row],[quantity]])</f>
        <v>115.36919999999999</v>
      </c>
      <c r="N313">
        <f>DAY(Table1[[#This Row],[order_date]])</f>
        <v>8</v>
      </c>
      <c r="O313" t="str">
        <f>TEXT(Table1[[#This Row],[order_date]],"mmm")</f>
        <v>Nov</v>
      </c>
      <c r="P313">
        <f>YEAR(Table1[[#This Row],[order_date]])</f>
        <v>2022</v>
      </c>
    </row>
    <row r="314" spans="1:16" x14ac:dyDescent="0.3">
      <c r="A314">
        <v>10313</v>
      </c>
      <c r="B314" s="1">
        <v>44874</v>
      </c>
      <c r="C314">
        <v>1836</v>
      </c>
      <c r="D314" t="s">
        <v>12</v>
      </c>
      <c r="E314" t="s">
        <v>20</v>
      </c>
      <c r="F314">
        <v>5</v>
      </c>
      <c r="G314">
        <v>173.22</v>
      </c>
      <c r="H314">
        <v>0.08</v>
      </c>
      <c r="I314" t="s">
        <v>16</v>
      </c>
      <c r="J314">
        <v>1</v>
      </c>
      <c r="K314">
        <v>4.0999999999999996</v>
      </c>
      <c r="L314">
        <v>796.81</v>
      </c>
      <c r="M314">
        <f>(Table1[[#This Row],[unit_price]]*Table1[[#This Row],[quantity]])-(Table1[[#This Row],[unit_price]]*Table1[[#This Row],[discount]]*Table1[[#This Row],[quantity]])</f>
        <v>796.81200000000001</v>
      </c>
      <c r="N314">
        <f>DAY(Table1[[#This Row],[order_date]])</f>
        <v>9</v>
      </c>
      <c r="O314" t="str">
        <f>TEXT(Table1[[#This Row],[order_date]],"mmm")</f>
        <v>Nov</v>
      </c>
      <c r="P314">
        <f>YEAR(Table1[[#This Row],[order_date]])</f>
        <v>2022</v>
      </c>
    </row>
    <row r="315" spans="1:16" x14ac:dyDescent="0.3">
      <c r="A315">
        <v>10314</v>
      </c>
      <c r="B315" s="1">
        <v>44875</v>
      </c>
      <c r="C315">
        <v>1883</v>
      </c>
      <c r="D315" t="s">
        <v>19</v>
      </c>
      <c r="E315" t="s">
        <v>13</v>
      </c>
      <c r="F315">
        <v>1</v>
      </c>
      <c r="G315">
        <v>42.28</v>
      </c>
      <c r="H315">
        <v>7.0000000000000007E-2</v>
      </c>
      <c r="I315" t="s">
        <v>18</v>
      </c>
      <c r="J315">
        <v>7</v>
      </c>
      <c r="K315">
        <v>1.1000000000000001</v>
      </c>
      <c r="L315">
        <v>39.32</v>
      </c>
      <c r="M315">
        <f>(Table1[[#This Row],[unit_price]]*Table1[[#This Row],[quantity]])-(Table1[[#This Row],[unit_price]]*Table1[[#This Row],[discount]]*Table1[[#This Row],[quantity]])</f>
        <v>39.320399999999999</v>
      </c>
      <c r="N315">
        <f>DAY(Table1[[#This Row],[order_date]])</f>
        <v>10</v>
      </c>
      <c r="O315" t="str">
        <f>TEXT(Table1[[#This Row],[order_date]],"mmm")</f>
        <v>Nov</v>
      </c>
      <c r="P315">
        <f>YEAR(Table1[[#This Row],[order_date]])</f>
        <v>2022</v>
      </c>
    </row>
    <row r="316" spans="1:16" x14ac:dyDescent="0.3">
      <c r="A316">
        <v>10315</v>
      </c>
      <c r="B316" s="1">
        <v>44876</v>
      </c>
      <c r="C316">
        <v>1609</v>
      </c>
      <c r="D316" t="s">
        <v>19</v>
      </c>
      <c r="E316" t="s">
        <v>20</v>
      </c>
      <c r="F316">
        <v>5</v>
      </c>
      <c r="G316">
        <v>267.92</v>
      </c>
      <c r="H316">
        <v>0.21</v>
      </c>
      <c r="I316" t="s">
        <v>16</v>
      </c>
      <c r="J316">
        <v>2</v>
      </c>
      <c r="K316">
        <v>2.9</v>
      </c>
      <c r="L316">
        <v>1058.28</v>
      </c>
      <c r="M316">
        <f>(Table1[[#This Row],[unit_price]]*Table1[[#This Row],[quantity]])-(Table1[[#This Row],[unit_price]]*Table1[[#This Row],[discount]]*Table1[[#This Row],[quantity]])</f>
        <v>1058.2840000000001</v>
      </c>
      <c r="N316">
        <f>DAY(Table1[[#This Row],[order_date]])</f>
        <v>11</v>
      </c>
      <c r="O316" t="str">
        <f>TEXT(Table1[[#This Row],[order_date]],"mmm")</f>
        <v>Nov</v>
      </c>
      <c r="P316">
        <f>YEAR(Table1[[#This Row],[order_date]])</f>
        <v>2022</v>
      </c>
    </row>
    <row r="317" spans="1:16" x14ac:dyDescent="0.3">
      <c r="A317">
        <v>10316</v>
      </c>
      <c r="B317" s="1">
        <v>44877</v>
      </c>
      <c r="C317">
        <v>1197</v>
      </c>
      <c r="D317" t="s">
        <v>19</v>
      </c>
      <c r="E317" t="s">
        <v>17</v>
      </c>
      <c r="F317">
        <v>4</v>
      </c>
      <c r="G317">
        <v>499.06</v>
      </c>
      <c r="H317">
        <v>0.26</v>
      </c>
      <c r="I317" t="s">
        <v>18</v>
      </c>
      <c r="J317">
        <v>11</v>
      </c>
      <c r="K317">
        <v>2.6</v>
      </c>
      <c r="L317">
        <v>1477.22</v>
      </c>
      <c r="M317">
        <f>(Table1[[#This Row],[unit_price]]*Table1[[#This Row],[quantity]])-(Table1[[#This Row],[unit_price]]*Table1[[#This Row],[discount]]*Table1[[#This Row],[quantity]])</f>
        <v>1477.2175999999999</v>
      </c>
      <c r="N317">
        <f>DAY(Table1[[#This Row],[order_date]])</f>
        <v>12</v>
      </c>
      <c r="O317" t="str">
        <f>TEXT(Table1[[#This Row],[order_date]],"mmm")</f>
        <v>Nov</v>
      </c>
      <c r="P317">
        <f>YEAR(Table1[[#This Row],[order_date]])</f>
        <v>2022</v>
      </c>
    </row>
    <row r="318" spans="1:16" x14ac:dyDescent="0.3">
      <c r="A318">
        <v>10317</v>
      </c>
      <c r="B318" s="1">
        <v>44878</v>
      </c>
      <c r="C318">
        <v>1981</v>
      </c>
      <c r="D318" t="s">
        <v>12</v>
      </c>
      <c r="E318" t="s">
        <v>17</v>
      </c>
      <c r="F318">
        <v>2</v>
      </c>
      <c r="G318">
        <v>29.43</v>
      </c>
      <c r="H318">
        <v>0.11</v>
      </c>
      <c r="I318" t="s">
        <v>16</v>
      </c>
      <c r="J318">
        <v>8</v>
      </c>
      <c r="K318">
        <v>4.9000000000000004</v>
      </c>
      <c r="L318">
        <v>52.39</v>
      </c>
      <c r="M318">
        <f>(Table1[[#This Row],[unit_price]]*Table1[[#This Row],[quantity]])-(Table1[[#This Row],[unit_price]]*Table1[[#This Row],[discount]]*Table1[[#This Row],[quantity]])</f>
        <v>52.385399999999997</v>
      </c>
      <c r="N318">
        <f>DAY(Table1[[#This Row],[order_date]])</f>
        <v>13</v>
      </c>
      <c r="O318" t="str">
        <f>TEXT(Table1[[#This Row],[order_date]],"mmm")</f>
        <v>Nov</v>
      </c>
      <c r="P318">
        <f>YEAR(Table1[[#This Row],[order_date]])</f>
        <v>2022</v>
      </c>
    </row>
    <row r="319" spans="1:16" x14ac:dyDescent="0.3">
      <c r="A319">
        <v>10318</v>
      </c>
      <c r="B319" s="1">
        <v>44879</v>
      </c>
      <c r="C319">
        <v>1906</v>
      </c>
      <c r="D319" t="s">
        <v>15</v>
      </c>
      <c r="E319" t="s">
        <v>21</v>
      </c>
      <c r="F319">
        <v>2</v>
      </c>
      <c r="G319">
        <v>410.06</v>
      </c>
      <c r="H319">
        <v>0.04</v>
      </c>
      <c r="I319" t="s">
        <v>14</v>
      </c>
      <c r="J319">
        <v>1</v>
      </c>
      <c r="K319">
        <v>1.7</v>
      </c>
      <c r="L319">
        <v>787.32</v>
      </c>
      <c r="M319">
        <f>(Table1[[#This Row],[unit_price]]*Table1[[#This Row],[quantity]])-(Table1[[#This Row],[unit_price]]*Table1[[#This Row],[discount]]*Table1[[#This Row],[quantity]])</f>
        <v>787.3152</v>
      </c>
      <c r="N319">
        <f>DAY(Table1[[#This Row],[order_date]])</f>
        <v>14</v>
      </c>
      <c r="O319" t="str">
        <f>TEXT(Table1[[#This Row],[order_date]],"mmm")</f>
        <v>Nov</v>
      </c>
      <c r="P319">
        <f>YEAR(Table1[[#This Row],[order_date]])</f>
        <v>2022</v>
      </c>
    </row>
    <row r="320" spans="1:16" x14ac:dyDescent="0.3">
      <c r="A320">
        <v>10319</v>
      </c>
      <c r="B320" s="1">
        <v>44880</v>
      </c>
      <c r="C320">
        <v>1510</v>
      </c>
      <c r="D320" t="s">
        <v>15</v>
      </c>
      <c r="E320" t="s">
        <v>17</v>
      </c>
      <c r="F320">
        <v>4</v>
      </c>
      <c r="G320">
        <v>560.51</v>
      </c>
      <c r="H320">
        <v>0.25</v>
      </c>
      <c r="I320" t="s">
        <v>16</v>
      </c>
      <c r="J320">
        <v>10</v>
      </c>
      <c r="K320">
        <v>3.5</v>
      </c>
      <c r="L320">
        <v>1681.53</v>
      </c>
      <c r="M320">
        <f>(Table1[[#This Row],[unit_price]]*Table1[[#This Row],[quantity]])-(Table1[[#This Row],[unit_price]]*Table1[[#This Row],[discount]]*Table1[[#This Row],[quantity]])</f>
        <v>1681.53</v>
      </c>
      <c r="N320">
        <f>DAY(Table1[[#This Row],[order_date]])</f>
        <v>15</v>
      </c>
      <c r="O320" t="str">
        <f>TEXT(Table1[[#This Row],[order_date]],"mmm")</f>
        <v>Nov</v>
      </c>
      <c r="P320">
        <f>YEAR(Table1[[#This Row],[order_date]])</f>
        <v>2022</v>
      </c>
    </row>
    <row r="321" spans="1:16" x14ac:dyDescent="0.3">
      <c r="A321">
        <v>10320</v>
      </c>
      <c r="B321" s="1">
        <v>44881</v>
      </c>
      <c r="C321">
        <v>1751</v>
      </c>
      <c r="D321" t="s">
        <v>22</v>
      </c>
      <c r="E321" t="s">
        <v>17</v>
      </c>
      <c r="F321">
        <v>1</v>
      </c>
      <c r="G321">
        <v>153.6</v>
      </c>
      <c r="H321">
        <v>0.1</v>
      </c>
      <c r="I321" t="s">
        <v>18</v>
      </c>
      <c r="J321">
        <v>3</v>
      </c>
      <c r="K321">
        <v>1.8</v>
      </c>
      <c r="L321">
        <v>138.24</v>
      </c>
      <c r="M321">
        <f>(Table1[[#This Row],[unit_price]]*Table1[[#This Row],[quantity]])-(Table1[[#This Row],[unit_price]]*Table1[[#This Row],[discount]]*Table1[[#This Row],[quantity]])</f>
        <v>138.24</v>
      </c>
      <c r="N321">
        <f>DAY(Table1[[#This Row],[order_date]])</f>
        <v>16</v>
      </c>
      <c r="O321" t="str">
        <f>TEXT(Table1[[#This Row],[order_date]],"mmm")</f>
        <v>Nov</v>
      </c>
      <c r="P321">
        <f>YEAR(Table1[[#This Row],[order_date]])</f>
        <v>2022</v>
      </c>
    </row>
    <row r="322" spans="1:16" x14ac:dyDescent="0.3">
      <c r="A322">
        <v>10321</v>
      </c>
      <c r="B322" s="1">
        <v>44882</v>
      </c>
      <c r="C322">
        <v>1143</v>
      </c>
      <c r="D322" t="s">
        <v>22</v>
      </c>
      <c r="E322" t="s">
        <v>17</v>
      </c>
      <c r="F322">
        <v>2</v>
      </c>
      <c r="G322">
        <v>420.78</v>
      </c>
      <c r="H322">
        <v>0.06</v>
      </c>
      <c r="I322" t="s">
        <v>18</v>
      </c>
      <c r="J322">
        <v>8</v>
      </c>
      <c r="K322">
        <v>3.2</v>
      </c>
      <c r="L322">
        <v>791.07</v>
      </c>
      <c r="M322">
        <f>(Table1[[#This Row],[unit_price]]*Table1[[#This Row],[quantity]])-(Table1[[#This Row],[unit_price]]*Table1[[#This Row],[discount]]*Table1[[#This Row],[quantity]])</f>
        <v>791.06639999999993</v>
      </c>
      <c r="N322">
        <f>DAY(Table1[[#This Row],[order_date]])</f>
        <v>17</v>
      </c>
      <c r="O322" t="str">
        <f>TEXT(Table1[[#This Row],[order_date]],"mmm")</f>
        <v>Nov</v>
      </c>
      <c r="P322">
        <f>YEAR(Table1[[#This Row],[order_date]])</f>
        <v>2022</v>
      </c>
    </row>
    <row r="323" spans="1:16" x14ac:dyDescent="0.3">
      <c r="A323">
        <v>10322</v>
      </c>
      <c r="B323" s="1">
        <v>44883</v>
      </c>
      <c r="C323">
        <v>1608</v>
      </c>
      <c r="D323" t="s">
        <v>19</v>
      </c>
      <c r="E323" t="s">
        <v>20</v>
      </c>
      <c r="F323">
        <v>7</v>
      </c>
      <c r="G323">
        <v>585.42999999999995</v>
      </c>
      <c r="H323">
        <v>0.05</v>
      </c>
      <c r="I323" t="s">
        <v>16</v>
      </c>
      <c r="J323">
        <v>10</v>
      </c>
      <c r="K323">
        <v>3.2</v>
      </c>
      <c r="L323">
        <v>3893.11</v>
      </c>
      <c r="M323">
        <f>(Table1[[#This Row],[unit_price]]*Table1[[#This Row],[quantity]])-(Table1[[#This Row],[unit_price]]*Table1[[#This Row],[discount]]*Table1[[#This Row],[quantity]])</f>
        <v>3893.1094999999991</v>
      </c>
      <c r="N323">
        <f>DAY(Table1[[#This Row],[order_date]])</f>
        <v>18</v>
      </c>
      <c r="O323" t="str">
        <f>TEXT(Table1[[#This Row],[order_date]],"mmm")</f>
        <v>Nov</v>
      </c>
      <c r="P323">
        <f>YEAR(Table1[[#This Row],[order_date]])</f>
        <v>2022</v>
      </c>
    </row>
    <row r="324" spans="1:16" x14ac:dyDescent="0.3">
      <c r="A324">
        <v>10323</v>
      </c>
      <c r="B324" s="1">
        <v>44884</v>
      </c>
      <c r="C324">
        <v>1200</v>
      </c>
      <c r="D324" t="s">
        <v>22</v>
      </c>
      <c r="E324" t="s">
        <v>20</v>
      </c>
      <c r="F324">
        <v>6</v>
      </c>
      <c r="G324">
        <v>577.92999999999995</v>
      </c>
      <c r="H324">
        <v>0.11</v>
      </c>
      <c r="I324" t="s">
        <v>18</v>
      </c>
      <c r="J324">
        <v>8</v>
      </c>
      <c r="K324">
        <v>1.3</v>
      </c>
      <c r="L324">
        <v>3086.15</v>
      </c>
      <c r="M324">
        <f>(Table1[[#This Row],[unit_price]]*Table1[[#This Row],[quantity]])-(Table1[[#This Row],[unit_price]]*Table1[[#This Row],[discount]]*Table1[[#This Row],[quantity]])</f>
        <v>3086.1462000000001</v>
      </c>
      <c r="N324">
        <f>DAY(Table1[[#This Row],[order_date]])</f>
        <v>19</v>
      </c>
      <c r="O324" t="str">
        <f>TEXT(Table1[[#This Row],[order_date]],"mmm")</f>
        <v>Nov</v>
      </c>
      <c r="P324">
        <f>YEAR(Table1[[#This Row],[order_date]])</f>
        <v>2022</v>
      </c>
    </row>
    <row r="325" spans="1:16" x14ac:dyDescent="0.3">
      <c r="A325">
        <v>10324</v>
      </c>
      <c r="B325" s="1">
        <v>44885</v>
      </c>
      <c r="C325">
        <v>1123</v>
      </c>
      <c r="D325" t="s">
        <v>22</v>
      </c>
      <c r="E325" t="s">
        <v>13</v>
      </c>
      <c r="F325">
        <v>6</v>
      </c>
      <c r="G325">
        <v>152.43</v>
      </c>
      <c r="H325">
        <v>0.21</v>
      </c>
      <c r="I325" t="s">
        <v>18</v>
      </c>
      <c r="J325">
        <v>11</v>
      </c>
      <c r="K325">
        <v>2.8</v>
      </c>
      <c r="L325">
        <v>722.52</v>
      </c>
      <c r="M325">
        <f>(Table1[[#This Row],[unit_price]]*Table1[[#This Row],[quantity]])-(Table1[[#This Row],[unit_price]]*Table1[[#This Row],[discount]]*Table1[[#This Row],[quantity]])</f>
        <v>722.51819999999998</v>
      </c>
      <c r="N325">
        <f>DAY(Table1[[#This Row],[order_date]])</f>
        <v>20</v>
      </c>
      <c r="O325" t="str">
        <f>TEXT(Table1[[#This Row],[order_date]],"mmm")</f>
        <v>Nov</v>
      </c>
      <c r="P325">
        <f>YEAR(Table1[[#This Row],[order_date]])</f>
        <v>2022</v>
      </c>
    </row>
    <row r="326" spans="1:16" x14ac:dyDescent="0.3">
      <c r="A326">
        <v>10325</v>
      </c>
      <c r="B326" s="1">
        <v>44886</v>
      </c>
      <c r="C326">
        <v>1186</v>
      </c>
      <c r="D326" t="s">
        <v>22</v>
      </c>
      <c r="E326" t="s">
        <v>20</v>
      </c>
      <c r="F326">
        <v>6</v>
      </c>
      <c r="G326">
        <v>73.69</v>
      </c>
      <c r="H326">
        <v>0.13</v>
      </c>
      <c r="I326" t="s">
        <v>16</v>
      </c>
      <c r="J326">
        <v>5</v>
      </c>
      <c r="K326">
        <v>2.8</v>
      </c>
      <c r="L326">
        <v>384.66</v>
      </c>
      <c r="M326">
        <f>(Table1[[#This Row],[unit_price]]*Table1[[#This Row],[quantity]])-(Table1[[#This Row],[unit_price]]*Table1[[#This Row],[discount]]*Table1[[#This Row],[quantity]])</f>
        <v>384.66179999999997</v>
      </c>
      <c r="N326">
        <f>DAY(Table1[[#This Row],[order_date]])</f>
        <v>21</v>
      </c>
      <c r="O326" t="str">
        <f>TEXT(Table1[[#This Row],[order_date]],"mmm")</f>
        <v>Nov</v>
      </c>
      <c r="P326">
        <f>YEAR(Table1[[#This Row],[order_date]])</f>
        <v>2022</v>
      </c>
    </row>
    <row r="327" spans="1:16" x14ac:dyDescent="0.3">
      <c r="A327">
        <v>10326</v>
      </c>
      <c r="B327" s="1">
        <v>44887</v>
      </c>
      <c r="C327">
        <v>1325</v>
      </c>
      <c r="D327" t="s">
        <v>19</v>
      </c>
      <c r="E327" t="s">
        <v>17</v>
      </c>
      <c r="F327">
        <v>3</v>
      </c>
      <c r="G327">
        <v>101.75</v>
      </c>
      <c r="H327">
        <v>0.01</v>
      </c>
      <c r="I327" t="s">
        <v>18</v>
      </c>
      <c r="J327">
        <v>5</v>
      </c>
      <c r="K327">
        <v>2.2999999999999998</v>
      </c>
      <c r="L327">
        <v>302.2</v>
      </c>
      <c r="M327">
        <f>(Table1[[#This Row],[unit_price]]*Table1[[#This Row],[quantity]])-(Table1[[#This Row],[unit_price]]*Table1[[#This Row],[discount]]*Table1[[#This Row],[quantity]])</f>
        <v>302.19749999999999</v>
      </c>
      <c r="N327">
        <f>DAY(Table1[[#This Row],[order_date]])</f>
        <v>22</v>
      </c>
      <c r="O327" t="str">
        <f>TEXT(Table1[[#This Row],[order_date]],"mmm")</f>
        <v>Nov</v>
      </c>
      <c r="P327">
        <f>YEAR(Table1[[#This Row],[order_date]])</f>
        <v>2022</v>
      </c>
    </row>
    <row r="328" spans="1:16" x14ac:dyDescent="0.3">
      <c r="A328">
        <v>10327</v>
      </c>
      <c r="B328" s="1">
        <v>44888</v>
      </c>
      <c r="C328">
        <v>1463</v>
      </c>
      <c r="D328" t="s">
        <v>12</v>
      </c>
      <c r="E328" t="s">
        <v>20</v>
      </c>
      <c r="F328">
        <v>7</v>
      </c>
      <c r="G328">
        <v>425.69</v>
      </c>
      <c r="H328">
        <v>0.03</v>
      </c>
      <c r="I328" t="s">
        <v>14</v>
      </c>
      <c r="J328">
        <v>8</v>
      </c>
      <c r="K328">
        <v>2.1</v>
      </c>
      <c r="L328">
        <v>2890.44</v>
      </c>
      <c r="M328">
        <f>(Table1[[#This Row],[unit_price]]*Table1[[#This Row],[quantity]])-(Table1[[#This Row],[unit_price]]*Table1[[#This Row],[discount]]*Table1[[#This Row],[quantity]])</f>
        <v>2890.4351000000001</v>
      </c>
      <c r="N328">
        <f>DAY(Table1[[#This Row],[order_date]])</f>
        <v>23</v>
      </c>
      <c r="O328" t="str">
        <f>TEXT(Table1[[#This Row],[order_date]],"mmm")</f>
        <v>Nov</v>
      </c>
      <c r="P328">
        <f>YEAR(Table1[[#This Row],[order_date]])</f>
        <v>2022</v>
      </c>
    </row>
    <row r="329" spans="1:16" x14ac:dyDescent="0.3">
      <c r="A329">
        <v>10328</v>
      </c>
      <c r="B329" s="1">
        <v>44889</v>
      </c>
      <c r="C329">
        <v>1348</v>
      </c>
      <c r="D329" t="s">
        <v>15</v>
      </c>
      <c r="E329" t="s">
        <v>21</v>
      </c>
      <c r="F329">
        <v>3</v>
      </c>
      <c r="G329">
        <v>439.57</v>
      </c>
      <c r="H329">
        <v>0.1</v>
      </c>
      <c r="I329" t="s">
        <v>18</v>
      </c>
      <c r="J329">
        <v>10</v>
      </c>
      <c r="K329">
        <v>1.9</v>
      </c>
      <c r="L329">
        <v>1186.8399999999999</v>
      </c>
      <c r="M329">
        <f>(Table1[[#This Row],[unit_price]]*Table1[[#This Row],[quantity]])-(Table1[[#This Row],[unit_price]]*Table1[[#This Row],[discount]]*Table1[[#This Row],[quantity]])</f>
        <v>1186.8389999999999</v>
      </c>
      <c r="N329">
        <f>DAY(Table1[[#This Row],[order_date]])</f>
        <v>24</v>
      </c>
      <c r="O329" t="str">
        <f>TEXT(Table1[[#This Row],[order_date]],"mmm")</f>
        <v>Nov</v>
      </c>
      <c r="P329">
        <f>YEAR(Table1[[#This Row],[order_date]])</f>
        <v>2022</v>
      </c>
    </row>
    <row r="330" spans="1:16" x14ac:dyDescent="0.3">
      <c r="A330">
        <v>10329</v>
      </c>
      <c r="B330" s="1">
        <v>44890</v>
      </c>
      <c r="C330">
        <v>1770</v>
      </c>
      <c r="D330" t="s">
        <v>19</v>
      </c>
      <c r="E330" t="s">
        <v>13</v>
      </c>
      <c r="F330">
        <v>1</v>
      </c>
      <c r="G330">
        <v>409.43</v>
      </c>
      <c r="H330">
        <v>0.23</v>
      </c>
      <c r="I330" t="s">
        <v>14</v>
      </c>
      <c r="J330">
        <v>5</v>
      </c>
      <c r="K330">
        <v>1</v>
      </c>
      <c r="L330">
        <v>315.26</v>
      </c>
      <c r="M330">
        <f>(Table1[[#This Row],[unit_price]]*Table1[[#This Row],[quantity]])-(Table1[[#This Row],[unit_price]]*Table1[[#This Row],[discount]]*Table1[[#This Row],[quantity]])</f>
        <v>315.2611</v>
      </c>
      <c r="N330">
        <f>DAY(Table1[[#This Row],[order_date]])</f>
        <v>25</v>
      </c>
      <c r="O330" t="str">
        <f>TEXT(Table1[[#This Row],[order_date]],"mmm")</f>
        <v>Nov</v>
      </c>
      <c r="P330">
        <f>YEAR(Table1[[#This Row],[order_date]])</f>
        <v>2022</v>
      </c>
    </row>
    <row r="331" spans="1:16" x14ac:dyDescent="0.3">
      <c r="A331">
        <v>10330</v>
      </c>
      <c r="B331" s="1">
        <v>44891</v>
      </c>
      <c r="C331">
        <v>1659</v>
      </c>
      <c r="D331" t="s">
        <v>15</v>
      </c>
      <c r="E331" t="s">
        <v>13</v>
      </c>
      <c r="F331">
        <v>4</v>
      </c>
      <c r="G331">
        <v>211.61</v>
      </c>
      <c r="H331">
        <v>0.03</v>
      </c>
      <c r="I331" t="s">
        <v>16</v>
      </c>
      <c r="J331">
        <v>9</v>
      </c>
      <c r="K331">
        <v>1</v>
      </c>
      <c r="L331">
        <v>821.05</v>
      </c>
      <c r="M331">
        <f>(Table1[[#This Row],[unit_price]]*Table1[[#This Row],[quantity]])-(Table1[[#This Row],[unit_price]]*Table1[[#This Row],[discount]]*Table1[[#This Row],[quantity]])</f>
        <v>821.04680000000008</v>
      </c>
      <c r="N331">
        <f>DAY(Table1[[#This Row],[order_date]])</f>
        <v>26</v>
      </c>
      <c r="O331" t="str">
        <f>TEXT(Table1[[#This Row],[order_date]],"mmm")</f>
        <v>Nov</v>
      </c>
      <c r="P331">
        <f>YEAR(Table1[[#This Row],[order_date]])</f>
        <v>2022</v>
      </c>
    </row>
    <row r="332" spans="1:16" x14ac:dyDescent="0.3">
      <c r="A332">
        <v>10331</v>
      </c>
      <c r="B332" s="1">
        <v>44892</v>
      </c>
      <c r="C332">
        <v>1763</v>
      </c>
      <c r="D332" t="s">
        <v>19</v>
      </c>
      <c r="E332" t="s">
        <v>20</v>
      </c>
      <c r="F332">
        <v>5</v>
      </c>
      <c r="G332">
        <v>114.32</v>
      </c>
      <c r="H332">
        <v>0.2</v>
      </c>
      <c r="I332" t="s">
        <v>18</v>
      </c>
      <c r="J332">
        <v>1</v>
      </c>
      <c r="K332">
        <v>3.4</v>
      </c>
      <c r="L332">
        <v>457.28</v>
      </c>
      <c r="M332">
        <f>(Table1[[#This Row],[unit_price]]*Table1[[#This Row],[quantity]])-(Table1[[#This Row],[unit_price]]*Table1[[#This Row],[discount]]*Table1[[#This Row],[quantity]])</f>
        <v>457.27999999999992</v>
      </c>
      <c r="N332">
        <f>DAY(Table1[[#This Row],[order_date]])</f>
        <v>27</v>
      </c>
      <c r="O332" t="str">
        <f>TEXT(Table1[[#This Row],[order_date]],"mmm")</f>
        <v>Nov</v>
      </c>
      <c r="P332">
        <f>YEAR(Table1[[#This Row],[order_date]])</f>
        <v>2022</v>
      </c>
    </row>
    <row r="333" spans="1:16" x14ac:dyDescent="0.3">
      <c r="A333">
        <v>10332</v>
      </c>
      <c r="B333" s="1">
        <v>44893</v>
      </c>
      <c r="C333">
        <v>1954</v>
      </c>
      <c r="D333" t="s">
        <v>19</v>
      </c>
      <c r="E333" t="s">
        <v>17</v>
      </c>
      <c r="F333">
        <v>7</v>
      </c>
      <c r="G333">
        <v>354.75</v>
      </c>
      <c r="H333">
        <v>0.04</v>
      </c>
      <c r="I333" t="s">
        <v>14</v>
      </c>
      <c r="J333">
        <v>5</v>
      </c>
      <c r="K333">
        <v>2.2000000000000002</v>
      </c>
      <c r="L333">
        <v>2383.92</v>
      </c>
      <c r="M333">
        <f>(Table1[[#This Row],[unit_price]]*Table1[[#This Row],[quantity]])-(Table1[[#This Row],[unit_price]]*Table1[[#This Row],[discount]]*Table1[[#This Row],[quantity]])</f>
        <v>2383.92</v>
      </c>
      <c r="N333">
        <f>DAY(Table1[[#This Row],[order_date]])</f>
        <v>28</v>
      </c>
      <c r="O333" t="str">
        <f>TEXT(Table1[[#This Row],[order_date]],"mmm")</f>
        <v>Nov</v>
      </c>
      <c r="P333">
        <f>YEAR(Table1[[#This Row],[order_date]])</f>
        <v>2022</v>
      </c>
    </row>
    <row r="334" spans="1:16" x14ac:dyDescent="0.3">
      <c r="A334">
        <v>10333</v>
      </c>
      <c r="B334" s="1">
        <v>44894</v>
      </c>
      <c r="C334">
        <v>1931</v>
      </c>
      <c r="D334" t="s">
        <v>22</v>
      </c>
      <c r="E334" t="s">
        <v>13</v>
      </c>
      <c r="F334">
        <v>1</v>
      </c>
      <c r="G334">
        <v>297.95</v>
      </c>
      <c r="H334">
        <v>7.0000000000000007E-2</v>
      </c>
      <c r="I334" t="s">
        <v>16</v>
      </c>
      <c r="J334">
        <v>3</v>
      </c>
      <c r="K334">
        <v>1.7</v>
      </c>
      <c r="L334">
        <v>277.08999999999997</v>
      </c>
      <c r="M334">
        <f>(Table1[[#This Row],[unit_price]]*Table1[[#This Row],[quantity]])-(Table1[[#This Row],[unit_price]]*Table1[[#This Row],[discount]]*Table1[[#This Row],[quantity]])</f>
        <v>277.09350000000001</v>
      </c>
      <c r="N334">
        <f>DAY(Table1[[#This Row],[order_date]])</f>
        <v>29</v>
      </c>
      <c r="O334" t="str">
        <f>TEXT(Table1[[#This Row],[order_date]],"mmm")</f>
        <v>Nov</v>
      </c>
      <c r="P334">
        <f>YEAR(Table1[[#This Row],[order_date]])</f>
        <v>2022</v>
      </c>
    </row>
    <row r="335" spans="1:16" x14ac:dyDescent="0.3">
      <c r="A335">
        <v>10334</v>
      </c>
      <c r="B335" s="1">
        <v>44895</v>
      </c>
      <c r="C335">
        <v>1402</v>
      </c>
      <c r="D335" t="s">
        <v>19</v>
      </c>
      <c r="E335" t="s">
        <v>21</v>
      </c>
      <c r="F335">
        <v>5</v>
      </c>
      <c r="G335">
        <v>441.37</v>
      </c>
      <c r="H335">
        <v>0.06</v>
      </c>
      <c r="I335" t="s">
        <v>14</v>
      </c>
      <c r="J335">
        <v>3</v>
      </c>
      <c r="K335">
        <v>3.7</v>
      </c>
      <c r="L335">
        <v>2074.44</v>
      </c>
      <c r="M335">
        <f>(Table1[[#This Row],[unit_price]]*Table1[[#This Row],[quantity]])-(Table1[[#This Row],[unit_price]]*Table1[[#This Row],[discount]]*Table1[[#This Row],[quantity]])</f>
        <v>2074.4389999999999</v>
      </c>
      <c r="N335">
        <f>DAY(Table1[[#This Row],[order_date]])</f>
        <v>30</v>
      </c>
      <c r="O335" t="str">
        <f>TEXT(Table1[[#This Row],[order_date]],"mmm")</f>
        <v>Nov</v>
      </c>
      <c r="P335">
        <f>YEAR(Table1[[#This Row],[order_date]])</f>
        <v>2022</v>
      </c>
    </row>
    <row r="336" spans="1:16" x14ac:dyDescent="0.3">
      <c r="A336">
        <v>10335</v>
      </c>
      <c r="B336" s="1">
        <v>44896</v>
      </c>
      <c r="C336">
        <v>1345</v>
      </c>
      <c r="D336" t="s">
        <v>15</v>
      </c>
      <c r="E336" t="s">
        <v>21</v>
      </c>
      <c r="F336">
        <v>1</v>
      </c>
      <c r="G336">
        <v>273.2</v>
      </c>
      <c r="H336">
        <v>0.02</v>
      </c>
      <c r="I336" t="s">
        <v>16</v>
      </c>
      <c r="J336">
        <v>2</v>
      </c>
      <c r="K336">
        <v>3.1</v>
      </c>
      <c r="L336">
        <v>267.74</v>
      </c>
      <c r="M336">
        <f>(Table1[[#This Row],[unit_price]]*Table1[[#This Row],[quantity]])-(Table1[[#This Row],[unit_price]]*Table1[[#This Row],[discount]]*Table1[[#This Row],[quantity]])</f>
        <v>267.73599999999999</v>
      </c>
      <c r="N336">
        <f>DAY(Table1[[#This Row],[order_date]])</f>
        <v>1</v>
      </c>
      <c r="O336" t="str">
        <f>TEXT(Table1[[#This Row],[order_date]],"mmm")</f>
        <v>Dec</v>
      </c>
      <c r="P336">
        <f>YEAR(Table1[[#This Row],[order_date]])</f>
        <v>2022</v>
      </c>
    </row>
    <row r="337" spans="1:16" x14ac:dyDescent="0.3">
      <c r="A337">
        <v>10336</v>
      </c>
      <c r="B337" s="1">
        <v>44897</v>
      </c>
      <c r="C337">
        <v>1962</v>
      </c>
      <c r="D337" t="s">
        <v>15</v>
      </c>
      <c r="E337" t="s">
        <v>13</v>
      </c>
      <c r="F337">
        <v>3</v>
      </c>
      <c r="G337">
        <v>213.1</v>
      </c>
      <c r="H337">
        <v>0.23</v>
      </c>
      <c r="I337" t="s">
        <v>14</v>
      </c>
      <c r="J337">
        <v>3</v>
      </c>
      <c r="K337">
        <v>4.7</v>
      </c>
      <c r="L337">
        <v>492.26</v>
      </c>
      <c r="M337">
        <f>(Table1[[#This Row],[unit_price]]*Table1[[#This Row],[quantity]])-(Table1[[#This Row],[unit_price]]*Table1[[#This Row],[discount]]*Table1[[#This Row],[quantity]])</f>
        <v>492.26099999999997</v>
      </c>
      <c r="N337">
        <f>DAY(Table1[[#This Row],[order_date]])</f>
        <v>2</v>
      </c>
      <c r="O337" t="str">
        <f>TEXT(Table1[[#This Row],[order_date]],"mmm")</f>
        <v>Dec</v>
      </c>
      <c r="P337">
        <f>YEAR(Table1[[#This Row],[order_date]])</f>
        <v>2022</v>
      </c>
    </row>
    <row r="338" spans="1:16" x14ac:dyDescent="0.3">
      <c r="A338">
        <v>10337</v>
      </c>
      <c r="B338" s="1">
        <v>44898</v>
      </c>
      <c r="C338">
        <v>1510</v>
      </c>
      <c r="D338" t="s">
        <v>19</v>
      </c>
      <c r="E338" t="s">
        <v>17</v>
      </c>
      <c r="F338">
        <v>6</v>
      </c>
      <c r="G338">
        <v>186.68</v>
      </c>
      <c r="H338">
        <v>0.16</v>
      </c>
      <c r="I338" t="s">
        <v>16</v>
      </c>
      <c r="J338">
        <v>7</v>
      </c>
      <c r="K338">
        <v>4.3</v>
      </c>
      <c r="L338">
        <v>940.87</v>
      </c>
      <c r="M338">
        <f>(Table1[[#This Row],[unit_price]]*Table1[[#This Row],[quantity]])-(Table1[[#This Row],[unit_price]]*Table1[[#This Row],[discount]]*Table1[[#This Row],[quantity]])</f>
        <v>940.86719999999991</v>
      </c>
      <c r="N338">
        <f>DAY(Table1[[#This Row],[order_date]])</f>
        <v>3</v>
      </c>
      <c r="O338" t="str">
        <f>TEXT(Table1[[#This Row],[order_date]],"mmm")</f>
        <v>Dec</v>
      </c>
      <c r="P338">
        <f>YEAR(Table1[[#This Row],[order_date]])</f>
        <v>2022</v>
      </c>
    </row>
    <row r="339" spans="1:16" x14ac:dyDescent="0.3">
      <c r="A339">
        <v>10338</v>
      </c>
      <c r="B339" s="1">
        <v>44899</v>
      </c>
      <c r="C339">
        <v>1146</v>
      </c>
      <c r="D339" t="s">
        <v>12</v>
      </c>
      <c r="E339" t="s">
        <v>17</v>
      </c>
      <c r="F339">
        <v>4</v>
      </c>
      <c r="G339">
        <v>138.71</v>
      </c>
      <c r="H339">
        <v>0.28999999999999998</v>
      </c>
      <c r="I339" t="s">
        <v>16</v>
      </c>
      <c r="J339">
        <v>8</v>
      </c>
      <c r="K339">
        <v>3.9</v>
      </c>
      <c r="L339">
        <v>393.94</v>
      </c>
      <c r="M339">
        <f>(Table1[[#This Row],[unit_price]]*Table1[[#This Row],[quantity]])-(Table1[[#This Row],[unit_price]]*Table1[[#This Row],[discount]]*Table1[[#This Row],[quantity]])</f>
        <v>393.93640000000005</v>
      </c>
      <c r="N339">
        <f>DAY(Table1[[#This Row],[order_date]])</f>
        <v>4</v>
      </c>
      <c r="O339" t="str">
        <f>TEXT(Table1[[#This Row],[order_date]],"mmm")</f>
        <v>Dec</v>
      </c>
      <c r="P339">
        <f>YEAR(Table1[[#This Row],[order_date]])</f>
        <v>2022</v>
      </c>
    </row>
    <row r="340" spans="1:16" x14ac:dyDescent="0.3">
      <c r="A340">
        <v>10339</v>
      </c>
      <c r="B340" s="1">
        <v>44900</v>
      </c>
      <c r="C340">
        <v>1147</v>
      </c>
      <c r="D340" t="s">
        <v>19</v>
      </c>
      <c r="E340" t="s">
        <v>20</v>
      </c>
      <c r="F340">
        <v>3</v>
      </c>
      <c r="G340">
        <v>170.46</v>
      </c>
      <c r="H340">
        <v>0.03</v>
      </c>
      <c r="I340" t="s">
        <v>14</v>
      </c>
      <c r="J340">
        <v>8</v>
      </c>
      <c r="K340">
        <v>1.5</v>
      </c>
      <c r="L340">
        <v>496.04</v>
      </c>
      <c r="M340">
        <f>(Table1[[#This Row],[unit_price]]*Table1[[#This Row],[quantity]])-(Table1[[#This Row],[unit_price]]*Table1[[#This Row],[discount]]*Table1[[#This Row],[quantity]])</f>
        <v>496.03859999999997</v>
      </c>
      <c r="N340">
        <f>DAY(Table1[[#This Row],[order_date]])</f>
        <v>5</v>
      </c>
      <c r="O340" t="str">
        <f>TEXT(Table1[[#This Row],[order_date]],"mmm")</f>
        <v>Dec</v>
      </c>
      <c r="P340">
        <f>YEAR(Table1[[#This Row],[order_date]])</f>
        <v>2022</v>
      </c>
    </row>
    <row r="341" spans="1:16" x14ac:dyDescent="0.3">
      <c r="A341">
        <v>10340</v>
      </c>
      <c r="B341" s="1">
        <v>44901</v>
      </c>
      <c r="C341">
        <v>1863</v>
      </c>
      <c r="D341" t="s">
        <v>19</v>
      </c>
      <c r="E341" t="s">
        <v>20</v>
      </c>
      <c r="F341">
        <v>4</v>
      </c>
      <c r="G341">
        <v>70.48</v>
      </c>
      <c r="H341">
        <v>0.05</v>
      </c>
      <c r="I341" t="s">
        <v>16</v>
      </c>
      <c r="J341">
        <v>11</v>
      </c>
      <c r="K341">
        <v>3.7</v>
      </c>
      <c r="L341">
        <v>267.82</v>
      </c>
      <c r="M341">
        <f>(Table1[[#This Row],[unit_price]]*Table1[[#This Row],[quantity]])-(Table1[[#This Row],[unit_price]]*Table1[[#This Row],[discount]]*Table1[[#This Row],[quantity]])</f>
        <v>267.82400000000001</v>
      </c>
      <c r="N341">
        <f>DAY(Table1[[#This Row],[order_date]])</f>
        <v>6</v>
      </c>
      <c r="O341" t="str">
        <f>TEXT(Table1[[#This Row],[order_date]],"mmm")</f>
        <v>Dec</v>
      </c>
      <c r="P341">
        <f>YEAR(Table1[[#This Row],[order_date]])</f>
        <v>2022</v>
      </c>
    </row>
    <row r="342" spans="1:16" x14ac:dyDescent="0.3">
      <c r="A342">
        <v>10341</v>
      </c>
      <c r="B342" s="1">
        <v>44902</v>
      </c>
      <c r="C342">
        <v>1710</v>
      </c>
      <c r="D342" t="s">
        <v>19</v>
      </c>
      <c r="E342" t="s">
        <v>13</v>
      </c>
      <c r="F342">
        <v>7</v>
      </c>
      <c r="G342">
        <v>217.91</v>
      </c>
      <c r="H342">
        <v>0.11</v>
      </c>
      <c r="I342" t="s">
        <v>16</v>
      </c>
      <c r="J342">
        <v>8</v>
      </c>
      <c r="K342">
        <v>3.8</v>
      </c>
      <c r="L342">
        <v>1357.58</v>
      </c>
      <c r="M342">
        <f>(Table1[[#This Row],[unit_price]]*Table1[[#This Row],[quantity]])-(Table1[[#This Row],[unit_price]]*Table1[[#This Row],[discount]]*Table1[[#This Row],[quantity]])</f>
        <v>1357.5792999999999</v>
      </c>
      <c r="N342">
        <f>DAY(Table1[[#This Row],[order_date]])</f>
        <v>7</v>
      </c>
      <c r="O342" t="str">
        <f>TEXT(Table1[[#This Row],[order_date]],"mmm")</f>
        <v>Dec</v>
      </c>
      <c r="P342">
        <f>YEAR(Table1[[#This Row],[order_date]])</f>
        <v>2022</v>
      </c>
    </row>
    <row r="343" spans="1:16" x14ac:dyDescent="0.3">
      <c r="A343">
        <v>10342</v>
      </c>
      <c r="B343" s="1">
        <v>44903</v>
      </c>
      <c r="C343">
        <v>1819</v>
      </c>
      <c r="D343" t="s">
        <v>19</v>
      </c>
      <c r="E343" t="s">
        <v>20</v>
      </c>
      <c r="F343">
        <v>5</v>
      </c>
      <c r="G343">
        <v>36.39</v>
      </c>
      <c r="H343">
        <v>0.27</v>
      </c>
      <c r="I343" t="s">
        <v>16</v>
      </c>
      <c r="J343">
        <v>1</v>
      </c>
      <c r="K343">
        <v>4.0999999999999996</v>
      </c>
      <c r="L343">
        <v>132.82</v>
      </c>
      <c r="M343">
        <f>(Table1[[#This Row],[unit_price]]*Table1[[#This Row],[quantity]])-(Table1[[#This Row],[unit_price]]*Table1[[#This Row],[discount]]*Table1[[#This Row],[quantity]])</f>
        <v>132.8235</v>
      </c>
      <c r="N343">
        <f>DAY(Table1[[#This Row],[order_date]])</f>
        <v>8</v>
      </c>
      <c r="O343" t="str">
        <f>TEXT(Table1[[#This Row],[order_date]],"mmm")</f>
        <v>Dec</v>
      </c>
      <c r="P343">
        <f>YEAR(Table1[[#This Row],[order_date]])</f>
        <v>2022</v>
      </c>
    </row>
    <row r="344" spans="1:16" x14ac:dyDescent="0.3">
      <c r="A344">
        <v>10343</v>
      </c>
      <c r="B344" s="1">
        <v>44904</v>
      </c>
      <c r="C344">
        <v>1488</v>
      </c>
      <c r="D344" t="s">
        <v>19</v>
      </c>
      <c r="E344" t="s">
        <v>20</v>
      </c>
      <c r="F344">
        <v>1</v>
      </c>
      <c r="G344">
        <v>124.05</v>
      </c>
      <c r="H344">
        <v>0.11</v>
      </c>
      <c r="I344" t="s">
        <v>18</v>
      </c>
      <c r="J344">
        <v>11</v>
      </c>
      <c r="K344">
        <v>2.1</v>
      </c>
      <c r="L344">
        <v>110.4</v>
      </c>
      <c r="M344">
        <f>(Table1[[#This Row],[unit_price]]*Table1[[#This Row],[quantity]])-(Table1[[#This Row],[unit_price]]*Table1[[#This Row],[discount]]*Table1[[#This Row],[quantity]])</f>
        <v>110.4045</v>
      </c>
      <c r="N344">
        <f>DAY(Table1[[#This Row],[order_date]])</f>
        <v>9</v>
      </c>
      <c r="O344" t="str">
        <f>TEXT(Table1[[#This Row],[order_date]],"mmm")</f>
        <v>Dec</v>
      </c>
      <c r="P344">
        <f>YEAR(Table1[[#This Row],[order_date]])</f>
        <v>2022</v>
      </c>
    </row>
    <row r="345" spans="1:16" x14ac:dyDescent="0.3">
      <c r="A345">
        <v>10344</v>
      </c>
      <c r="B345" s="1">
        <v>44905</v>
      </c>
      <c r="C345">
        <v>1928</v>
      </c>
      <c r="D345" t="s">
        <v>22</v>
      </c>
      <c r="E345" t="s">
        <v>20</v>
      </c>
      <c r="F345">
        <v>2</v>
      </c>
      <c r="G345">
        <v>451.86</v>
      </c>
      <c r="H345">
        <v>0.14000000000000001</v>
      </c>
      <c r="I345" t="s">
        <v>14</v>
      </c>
      <c r="J345">
        <v>7</v>
      </c>
      <c r="K345">
        <v>3.6</v>
      </c>
      <c r="L345">
        <v>777.2</v>
      </c>
      <c r="M345">
        <f>(Table1[[#This Row],[unit_price]]*Table1[[#This Row],[quantity]])-(Table1[[#This Row],[unit_price]]*Table1[[#This Row],[discount]]*Table1[[#This Row],[quantity]])</f>
        <v>777.19920000000002</v>
      </c>
      <c r="N345">
        <f>DAY(Table1[[#This Row],[order_date]])</f>
        <v>10</v>
      </c>
      <c r="O345" t="str">
        <f>TEXT(Table1[[#This Row],[order_date]],"mmm")</f>
        <v>Dec</v>
      </c>
      <c r="P345">
        <f>YEAR(Table1[[#This Row],[order_date]])</f>
        <v>2022</v>
      </c>
    </row>
    <row r="346" spans="1:16" x14ac:dyDescent="0.3">
      <c r="A346">
        <v>10345</v>
      </c>
      <c r="B346" s="1">
        <v>44906</v>
      </c>
      <c r="C346">
        <v>1935</v>
      </c>
      <c r="D346" t="s">
        <v>12</v>
      </c>
      <c r="E346" t="s">
        <v>21</v>
      </c>
      <c r="F346">
        <v>2</v>
      </c>
      <c r="G346">
        <v>205.4</v>
      </c>
      <c r="H346">
        <v>0.11</v>
      </c>
      <c r="I346" t="s">
        <v>16</v>
      </c>
      <c r="J346">
        <v>2</v>
      </c>
      <c r="K346">
        <v>3.5</v>
      </c>
      <c r="L346">
        <v>365.61</v>
      </c>
      <c r="M346">
        <f>(Table1[[#This Row],[unit_price]]*Table1[[#This Row],[quantity]])-(Table1[[#This Row],[unit_price]]*Table1[[#This Row],[discount]]*Table1[[#This Row],[quantity]])</f>
        <v>365.61200000000002</v>
      </c>
      <c r="N346">
        <f>DAY(Table1[[#This Row],[order_date]])</f>
        <v>11</v>
      </c>
      <c r="O346" t="str">
        <f>TEXT(Table1[[#This Row],[order_date]],"mmm")</f>
        <v>Dec</v>
      </c>
      <c r="P346">
        <f>YEAR(Table1[[#This Row],[order_date]])</f>
        <v>2022</v>
      </c>
    </row>
    <row r="347" spans="1:16" x14ac:dyDescent="0.3">
      <c r="A347">
        <v>10346</v>
      </c>
      <c r="B347" s="1">
        <v>44907</v>
      </c>
      <c r="C347">
        <v>1639</v>
      </c>
      <c r="D347" t="s">
        <v>19</v>
      </c>
      <c r="E347" t="s">
        <v>20</v>
      </c>
      <c r="F347">
        <v>4</v>
      </c>
      <c r="G347">
        <v>405.92</v>
      </c>
      <c r="H347">
        <v>0.03</v>
      </c>
      <c r="I347" t="s">
        <v>18</v>
      </c>
      <c r="J347">
        <v>11</v>
      </c>
      <c r="K347">
        <v>2.5</v>
      </c>
      <c r="L347">
        <v>1574.97</v>
      </c>
      <c r="M347">
        <f>(Table1[[#This Row],[unit_price]]*Table1[[#This Row],[quantity]])-(Table1[[#This Row],[unit_price]]*Table1[[#This Row],[discount]]*Table1[[#This Row],[quantity]])</f>
        <v>1574.9696000000001</v>
      </c>
      <c r="N347">
        <f>DAY(Table1[[#This Row],[order_date]])</f>
        <v>12</v>
      </c>
      <c r="O347" t="str">
        <f>TEXT(Table1[[#This Row],[order_date]],"mmm")</f>
        <v>Dec</v>
      </c>
      <c r="P347">
        <f>YEAR(Table1[[#This Row],[order_date]])</f>
        <v>2022</v>
      </c>
    </row>
    <row r="348" spans="1:16" x14ac:dyDescent="0.3">
      <c r="A348">
        <v>10347</v>
      </c>
      <c r="B348" s="1">
        <v>44908</v>
      </c>
      <c r="C348">
        <v>1550</v>
      </c>
      <c r="D348" t="s">
        <v>22</v>
      </c>
      <c r="E348" t="s">
        <v>13</v>
      </c>
      <c r="F348">
        <v>6</v>
      </c>
      <c r="G348">
        <v>434.38</v>
      </c>
      <c r="H348">
        <v>0.33</v>
      </c>
      <c r="I348" t="s">
        <v>16</v>
      </c>
      <c r="J348">
        <v>10</v>
      </c>
      <c r="K348">
        <v>3.7</v>
      </c>
      <c r="L348">
        <v>1746.21</v>
      </c>
      <c r="M348">
        <f>(Table1[[#This Row],[unit_price]]*Table1[[#This Row],[quantity]])-(Table1[[#This Row],[unit_price]]*Table1[[#This Row],[discount]]*Table1[[#This Row],[quantity]])</f>
        <v>1746.2075999999997</v>
      </c>
      <c r="N348">
        <f>DAY(Table1[[#This Row],[order_date]])</f>
        <v>13</v>
      </c>
      <c r="O348" t="str">
        <f>TEXT(Table1[[#This Row],[order_date]],"mmm")</f>
        <v>Dec</v>
      </c>
      <c r="P348">
        <f>YEAR(Table1[[#This Row],[order_date]])</f>
        <v>2022</v>
      </c>
    </row>
    <row r="349" spans="1:16" x14ac:dyDescent="0.3">
      <c r="A349">
        <v>10348</v>
      </c>
      <c r="B349" s="1">
        <v>44909</v>
      </c>
      <c r="C349">
        <v>1337</v>
      </c>
      <c r="D349" t="s">
        <v>22</v>
      </c>
      <c r="E349" t="s">
        <v>17</v>
      </c>
      <c r="F349">
        <v>6</v>
      </c>
      <c r="G349">
        <v>354.99</v>
      </c>
      <c r="H349">
        <v>0.19</v>
      </c>
      <c r="I349" t="s">
        <v>18</v>
      </c>
      <c r="J349">
        <v>4</v>
      </c>
      <c r="K349">
        <v>1.3</v>
      </c>
      <c r="L349">
        <v>1725.25</v>
      </c>
      <c r="M349">
        <f>(Table1[[#This Row],[unit_price]]*Table1[[#This Row],[quantity]])-(Table1[[#This Row],[unit_price]]*Table1[[#This Row],[discount]]*Table1[[#This Row],[quantity]])</f>
        <v>1725.2514000000001</v>
      </c>
      <c r="N349">
        <f>DAY(Table1[[#This Row],[order_date]])</f>
        <v>14</v>
      </c>
      <c r="O349" t="str">
        <f>TEXT(Table1[[#This Row],[order_date]],"mmm")</f>
        <v>Dec</v>
      </c>
      <c r="P349">
        <f>YEAR(Table1[[#This Row],[order_date]])</f>
        <v>2022</v>
      </c>
    </row>
    <row r="350" spans="1:16" x14ac:dyDescent="0.3">
      <c r="A350">
        <v>10349</v>
      </c>
      <c r="B350" s="1">
        <v>44910</v>
      </c>
      <c r="C350">
        <v>1871</v>
      </c>
      <c r="D350" t="s">
        <v>22</v>
      </c>
      <c r="E350" t="s">
        <v>20</v>
      </c>
      <c r="F350">
        <v>4</v>
      </c>
      <c r="G350">
        <v>575.84</v>
      </c>
      <c r="H350">
        <v>0.28000000000000003</v>
      </c>
      <c r="I350" t="s">
        <v>16</v>
      </c>
      <c r="J350">
        <v>5</v>
      </c>
      <c r="K350">
        <v>3.6</v>
      </c>
      <c r="L350">
        <v>1658.42</v>
      </c>
      <c r="M350">
        <f>(Table1[[#This Row],[unit_price]]*Table1[[#This Row],[quantity]])-(Table1[[#This Row],[unit_price]]*Table1[[#This Row],[discount]]*Table1[[#This Row],[quantity]])</f>
        <v>1658.4192</v>
      </c>
      <c r="N350">
        <f>DAY(Table1[[#This Row],[order_date]])</f>
        <v>15</v>
      </c>
      <c r="O350" t="str">
        <f>TEXT(Table1[[#This Row],[order_date]],"mmm")</f>
        <v>Dec</v>
      </c>
      <c r="P350">
        <f>YEAR(Table1[[#This Row],[order_date]])</f>
        <v>2022</v>
      </c>
    </row>
    <row r="351" spans="1:16" x14ac:dyDescent="0.3">
      <c r="A351">
        <v>10350</v>
      </c>
      <c r="B351" s="1">
        <v>44911</v>
      </c>
      <c r="C351">
        <v>1640</v>
      </c>
      <c r="D351" t="s">
        <v>15</v>
      </c>
      <c r="E351" t="s">
        <v>17</v>
      </c>
      <c r="F351">
        <v>3</v>
      </c>
      <c r="G351">
        <v>27.54</v>
      </c>
      <c r="H351">
        <v>0.23</v>
      </c>
      <c r="I351" t="s">
        <v>16</v>
      </c>
      <c r="J351">
        <v>1</v>
      </c>
      <c r="K351">
        <v>3.4</v>
      </c>
      <c r="L351">
        <v>63.62</v>
      </c>
      <c r="M351">
        <f>(Table1[[#This Row],[unit_price]]*Table1[[#This Row],[quantity]])-(Table1[[#This Row],[unit_price]]*Table1[[#This Row],[discount]]*Table1[[#This Row],[quantity]])</f>
        <v>63.617400000000004</v>
      </c>
      <c r="N351">
        <f>DAY(Table1[[#This Row],[order_date]])</f>
        <v>16</v>
      </c>
      <c r="O351" t="str">
        <f>TEXT(Table1[[#This Row],[order_date]],"mmm")</f>
        <v>Dec</v>
      </c>
      <c r="P351">
        <f>YEAR(Table1[[#This Row],[order_date]])</f>
        <v>2022</v>
      </c>
    </row>
    <row r="352" spans="1:16" x14ac:dyDescent="0.3">
      <c r="A352">
        <v>10351</v>
      </c>
      <c r="B352" s="1">
        <v>44912</v>
      </c>
      <c r="C352">
        <v>1778</v>
      </c>
      <c r="D352" t="s">
        <v>19</v>
      </c>
      <c r="E352" t="s">
        <v>20</v>
      </c>
      <c r="F352">
        <v>2</v>
      </c>
      <c r="G352">
        <v>447.11</v>
      </c>
      <c r="H352">
        <v>0.18</v>
      </c>
      <c r="I352" t="s">
        <v>16</v>
      </c>
      <c r="J352">
        <v>4</v>
      </c>
      <c r="K352">
        <v>1.8</v>
      </c>
      <c r="L352">
        <v>733.26</v>
      </c>
      <c r="M352">
        <f>(Table1[[#This Row],[unit_price]]*Table1[[#This Row],[quantity]])-(Table1[[#This Row],[unit_price]]*Table1[[#This Row],[discount]]*Table1[[#This Row],[quantity]])</f>
        <v>733.2604</v>
      </c>
      <c r="N352">
        <f>DAY(Table1[[#This Row],[order_date]])</f>
        <v>17</v>
      </c>
      <c r="O352" t="str">
        <f>TEXT(Table1[[#This Row],[order_date]],"mmm")</f>
        <v>Dec</v>
      </c>
      <c r="P352">
        <f>YEAR(Table1[[#This Row],[order_date]])</f>
        <v>2022</v>
      </c>
    </row>
    <row r="353" spans="1:16" x14ac:dyDescent="0.3">
      <c r="A353">
        <v>10352</v>
      </c>
      <c r="B353" s="1">
        <v>44913</v>
      </c>
      <c r="C353">
        <v>1987</v>
      </c>
      <c r="D353" t="s">
        <v>19</v>
      </c>
      <c r="E353" t="s">
        <v>13</v>
      </c>
      <c r="F353">
        <v>3</v>
      </c>
      <c r="G353">
        <v>575.89</v>
      </c>
      <c r="H353">
        <v>0.03</v>
      </c>
      <c r="I353" t="s">
        <v>18</v>
      </c>
      <c r="J353">
        <v>4</v>
      </c>
      <c r="K353">
        <v>4.3</v>
      </c>
      <c r="L353">
        <v>1675.84</v>
      </c>
      <c r="M353">
        <f>(Table1[[#This Row],[unit_price]]*Table1[[#This Row],[quantity]])-(Table1[[#This Row],[unit_price]]*Table1[[#This Row],[discount]]*Table1[[#This Row],[quantity]])</f>
        <v>1675.8399000000002</v>
      </c>
      <c r="N353">
        <f>DAY(Table1[[#This Row],[order_date]])</f>
        <v>18</v>
      </c>
      <c r="O353" t="str">
        <f>TEXT(Table1[[#This Row],[order_date]],"mmm")</f>
        <v>Dec</v>
      </c>
      <c r="P353">
        <f>YEAR(Table1[[#This Row],[order_date]])</f>
        <v>2022</v>
      </c>
    </row>
    <row r="354" spans="1:16" x14ac:dyDescent="0.3">
      <c r="A354">
        <v>10353</v>
      </c>
      <c r="B354" s="1">
        <v>44914</v>
      </c>
      <c r="C354">
        <v>1952</v>
      </c>
      <c r="D354" t="s">
        <v>22</v>
      </c>
      <c r="E354" t="s">
        <v>21</v>
      </c>
      <c r="F354">
        <v>5</v>
      </c>
      <c r="G354">
        <v>519.42999999999995</v>
      </c>
      <c r="H354">
        <v>0.22</v>
      </c>
      <c r="I354" t="s">
        <v>14</v>
      </c>
      <c r="J354">
        <v>9</v>
      </c>
      <c r="K354">
        <v>4.5</v>
      </c>
      <c r="L354">
        <v>2025.78</v>
      </c>
      <c r="M354">
        <f>(Table1[[#This Row],[unit_price]]*Table1[[#This Row],[quantity]])-(Table1[[#This Row],[unit_price]]*Table1[[#This Row],[discount]]*Table1[[#This Row],[quantity]])</f>
        <v>2025.7769999999996</v>
      </c>
      <c r="N354">
        <f>DAY(Table1[[#This Row],[order_date]])</f>
        <v>19</v>
      </c>
      <c r="O354" t="str">
        <f>TEXT(Table1[[#This Row],[order_date]],"mmm")</f>
        <v>Dec</v>
      </c>
      <c r="P354">
        <f>YEAR(Table1[[#This Row],[order_date]])</f>
        <v>2022</v>
      </c>
    </row>
    <row r="355" spans="1:16" x14ac:dyDescent="0.3">
      <c r="A355">
        <v>10354</v>
      </c>
      <c r="B355" s="1">
        <v>44915</v>
      </c>
      <c r="C355">
        <v>1472</v>
      </c>
      <c r="D355" t="s">
        <v>22</v>
      </c>
      <c r="E355" t="s">
        <v>13</v>
      </c>
      <c r="F355">
        <v>2</v>
      </c>
      <c r="G355">
        <v>113.22</v>
      </c>
      <c r="H355">
        <v>0.05</v>
      </c>
      <c r="I355" t="s">
        <v>18</v>
      </c>
      <c r="J355">
        <v>9</v>
      </c>
      <c r="K355">
        <v>1.8</v>
      </c>
      <c r="L355">
        <v>215.12</v>
      </c>
      <c r="M355">
        <f>(Table1[[#This Row],[unit_price]]*Table1[[#This Row],[quantity]])-(Table1[[#This Row],[unit_price]]*Table1[[#This Row],[discount]]*Table1[[#This Row],[quantity]])</f>
        <v>215.11799999999999</v>
      </c>
      <c r="N355">
        <f>DAY(Table1[[#This Row],[order_date]])</f>
        <v>20</v>
      </c>
      <c r="O355" t="str">
        <f>TEXT(Table1[[#This Row],[order_date]],"mmm")</f>
        <v>Dec</v>
      </c>
      <c r="P355">
        <f>YEAR(Table1[[#This Row],[order_date]])</f>
        <v>2022</v>
      </c>
    </row>
    <row r="356" spans="1:16" x14ac:dyDescent="0.3">
      <c r="A356">
        <v>10355</v>
      </c>
      <c r="B356" s="1">
        <v>44916</v>
      </c>
      <c r="C356">
        <v>1945</v>
      </c>
      <c r="D356" t="s">
        <v>19</v>
      </c>
      <c r="E356" t="s">
        <v>21</v>
      </c>
      <c r="F356">
        <v>5</v>
      </c>
      <c r="G356">
        <v>206.19</v>
      </c>
      <c r="H356">
        <v>0.15</v>
      </c>
      <c r="I356" t="s">
        <v>16</v>
      </c>
      <c r="J356">
        <v>11</v>
      </c>
      <c r="K356">
        <v>1.3</v>
      </c>
      <c r="L356">
        <v>876.31</v>
      </c>
      <c r="M356">
        <f>(Table1[[#This Row],[unit_price]]*Table1[[#This Row],[quantity]])-(Table1[[#This Row],[unit_price]]*Table1[[#This Row],[discount]]*Table1[[#This Row],[quantity]])</f>
        <v>876.30750000000012</v>
      </c>
      <c r="N356">
        <f>DAY(Table1[[#This Row],[order_date]])</f>
        <v>21</v>
      </c>
      <c r="O356" t="str">
        <f>TEXT(Table1[[#This Row],[order_date]],"mmm")</f>
        <v>Dec</v>
      </c>
      <c r="P356">
        <f>YEAR(Table1[[#This Row],[order_date]])</f>
        <v>2022</v>
      </c>
    </row>
    <row r="357" spans="1:16" x14ac:dyDescent="0.3">
      <c r="A357">
        <v>10356</v>
      </c>
      <c r="B357" s="1">
        <v>44917</v>
      </c>
      <c r="C357">
        <v>1150</v>
      </c>
      <c r="D357" t="s">
        <v>15</v>
      </c>
      <c r="E357" t="s">
        <v>20</v>
      </c>
      <c r="F357">
        <v>1</v>
      </c>
      <c r="G357">
        <v>115.88</v>
      </c>
      <c r="H357">
        <v>0.22</v>
      </c>
      <c r="I357" t="s">
        <v>18</v>
      </c>
      <c r="J357">
        <v>10</v>
      </c>
      <c r="K357">
        <v>3.4</v>
      </c>
      <c r="L357">
        <v>90.39</v>
      </c>
      <c r="M357">
        <f>(Table1[[#This Row],[unit_price]]*Table1[[#This Row],[quantity]])-(Table1[[#This Row],[unit_price]]*Table1[[#This Row],[discount]]*Table1[[#This Row],[quantity]])</f>
        <v>90.386399999999995</v>
      </c>
      <c r="N357">
        <f>DAY(Table1[[#This Row],[order_date]])</f>
        <v>22</v>
      </c>
      <c r="O357" t="str">
        <f>TEXT(Table1[[#This Row],[order_date]],"mmm")</f>
        <v>Dec</v>
      </c>
      <c r="P357">
        <f>YEAR(Table1[[#This Row],[order_date]])</f>
        <v>2022</v>
      </c>
    </row>
    <row r="358" spans="1:16" x14ac:dyDescent="0.3">
      <c r="A358">
        <v>10357</v>
      </c>
      <c r="B358" s="1">
        <v>44918</v>
      </c>
      <c r="C358">
        <v>1414</v>
      </c>
      <c r="D358" t="s">
        <v>12</v>
      </c>
      <c r="E358" t="s">
        <v>20</v>
      </c>
      <c r="F358">
        <v>3</v>
      </c>
      <c r="G358">
        <v>366.77</v>
      </c>
      <c r="H358">
        <v>0.27</v>
      </c>
      <c r="I358" t="s">
        <v>18</v>
      </c>
      <c r="J358">
        <v>1</v>
      </c>
      <c r="K358">
        <v>2.9</v>
      </c>
      <c r="L358">
        <v>803.23</v>
      </c>
      <c r="M358">
        <f>(Table1[[#This Row],[unit_price]]*Table1[[#This Row],[quantity]])-(Table1[[#This Row],[unit_price]]*Table1[[#This Row],[discount]]*Table1[[#This Row],[quantity]])</f>
        <v>803.22629999999992</v>
      </c>
      <c r="N358">
        <f>DAY(Table1[[#This Row],[order_date]])</f>
        <v>23</v>
      </c>
      <c r="O358" t="str">
        <f>TEXT(Table1[[#This Row],[order_date]],"mmm")</f>
        <v>Dec</v>
      </c>
      <c r="P358">
        <f>YEAR(Table1[[#This Row],[order_date]])</f>
        <v>2022</v>
      </c>
    </row>
    <row r="359" spans="1:16" x14ac:dyDescent="0.3">
      <c r="A359">
        <v>10358</v>
      </c>
      <c r="B359" s="1">
        <v>44919</v>
      </c>
      <c r="C359">
        <v>1989</v>
      </c>
      <c r="D359" t="s">
        <v>22</v>
      </c>
      <c r="E359" t="s">
        <v>21</v>
      </c>
      <c r="F359">
        <v>4</v>
      </c>
      <c r="G359">
        <v>431.63</v>
      </c>
      <c r="H359">
        <v>0.24</v>
      </c>
      <c r="I359" t="s">
        <v>16</v>
      </c>
      <c r="J359">
        <v>8</v>
      </c>
      <c r="K359">
        <v>2.7</v>
      </c>
      <c r="L359">
        <v>1312.16</v>
      </c>
      <c r="M359">
        <f>(Table1[[#This Row],[unit_price]]*Table1[[#This Row],[quantity]])-(Table1[[#This Row],[unit_price]]*Table1[[#This Row],[discount]]*Table1[[#This Row],[quantity]])</f>
        <v>1312.1551999999999</v>
      </c>
      <c r="N359">
        <f>DAY(Table1[[#This Row],[order_date]])</f>
        <v>24</v>
      </c>
      <c r="O359" t="str">
        <f>TEXT(Table1[[#This Row],[order_date]],"mmm")</f>
        <v>Dec</v>
      </c>
      <c r="P359">
        <f>YEAR(Table1[[#This Row],[order_date]])</f>
        <v>2022</v>
      </c>
    </row>
    <row r="360" spans="1:16" x14ac:dyDescent="0.3">
      <c r="A360">
        <v>10359</v>
      </c>
      <c r="B360" s="1">
        <v>44920</v>
      </c>
      <c r="C360">
        <v>1297</v>
      </c>
      <c r="D360" t="s">
        <v>12</v>
      </c>
      <c r="E360" t="s">
        <v>13</v>
      </c>
      <c r="F360">
        <v>2</v>
      </c>
      <c r="G360">
        <v>200.49</v>
      </c>
      <c r="H360">
        <v>0.24</v>
      </c>
      <c r="I360" t="s">
        <v>16</v>
      </c>
      <c r="J360">
        <v>4</v>
      </c>
      <c r="K360">
        <v>4</v>
      </c>
      <c r="L360">
        <v>304.74</v>
      </c>
      <c r="M360">
        <f>(Table1[[#This Row],[unit_price]]*Table1[[#This Row],[quantity]])-(Table1[[#This Row],[unit_price]]*Table1[[#This Row],[discount]]*Table1[[#This Row],[quantity]])</f>
        <v>304.7448</v>
      </c>
      <c r="N360">
        <f>DAY(Table1[[#This Row],[order_date]])</f>
        <v>25</v>
      </c>
      <c r="O360" t="str">
        <f>TEXT(Table1[[#This Row],[order_date]],"mmm")</f>
        <v>Dec</v>
      </c>
      <c r="P360">
        <f>YEAR(Table1[[#This Row],[order_date]])</f>
        <v>2022</v>
      </c>
    </row>
    <row r="361" spans="1:16" x14ac:dyDescent="0.3">
      <c r="A361">
        <v>10360</v>
      </c>
      <c r="B361" s="1">
        <v>44921</v>
      </c>
      <c r="C361">
        <v>1610</v>
      </c>
      <c r="D361" t="s">
        <v>22</v>
      </c>
      <c r="E361" t="s">
        <v>13</v>
      </c>
      <c r="F361">
        <v>3</v>
      </c>
      <c r="G361">
        <v>330.61</v>
      </c>
      <c r="H361">
        <v>0.05</v>
      </c>
      <c r="I361" t="s">
        <v>16</v>
      </c>
      <c r="J361">
        <v>4</v>
      </c>
      <c r="K361">
        <v>4.9000000000000004</v>
      </c>
      <c r="L361">
        <v>942.24</v>
      </c>
      <c r="M361">
        <f>(Table1[[#This Row],[unit_price]]*Table1[[#This Row],[quantity]])-(Table1[[#This Row],[unit_price]]*Table1[[#This Row],[discount]]*Table1[[#This Row],[quantity]])</f>
        <v>942.23850000000004</v>
      </c>
      <c r="N361">
        <f>DAY(Table1[[#This Row],[order_date]])</f>
        <v>26</v>
      </c>
      <c r="O361" t="str">
        <f>TEXT(Table1[[#This Row],[order_date]],"mmm")</f>
        <v>Dec</v>
      </c>
      <c r="P361">
        <f>YEAR(Table1[[#This Row],[order_date]])</f>
        <v>2022</v>
      </c>
    </row>
    <row r="362" spans="1:16" x14ac:dyDescent="0.3">
      <c r="A362">
        <v>10361</v>
      </c>
      <c r="B362" s="1">
        <v>44922</v>
      </c>
      <c r="C362">
        <v>1262</v>
      </c>
      <c r="D362" t="s">
        <v>15</v>
      </c>
      <c r="E362" t="s">
        <v>21</v>
      </c>
      <c r="F362">
        <v>4</v>
      </c>
      <c r="G362">
        <v>419.19</v>
      </c>
      <c r="H362">
        <v>0.12</v>
      </c>
      <c r="I362" t="s">
        <v>18</v>
      </c>
      <c r="J362">
        <v>5</v>
      </c>
      <c r="K362">
        <v>2.9</v>
      </c>
      <c r="L362">
        <v>1475.55</v>
      </c>
      <c r="M362">
        <f>(Table1[[#This Row],[unit_price]]*Table1[[#This Row],[quantity]])-(Table1[[#This Row],[unit_price]]*Table1[[#This Row],[discount]]*Table1[[#This Row],[quantity]])</f>
        <v>1475.5488</v>
      </c>
      <c r="N362">
        <f>DAY(Table1[[#This Row],[order_date]])</f>
        <v>27</v>
      </c>
      <c r="O362" t="str">
        <f>TEXT(Table1[[#This Row],[order_date]],"mmm")</f>
        <v>Dec</v>
      </c>
      <c r="P362">
        <f>YEAR(Table1[[#This Row],[order_date]])</f>
        <v>2022</v>
      </c>
    </row>
    <row r="363" spans="1:16" x14ac:dyDescent="0.3">
      <c r="A363">
        <v>10362</v>
      </c>
      <c r="B363" s="1">
        <v>44923</v>
      </c>
      <c r="C363">
        <v>1763</v>
      </c>
      <c r="D363" t="s">
        <v>15</v>
      </c>
      <c r="E363" t="s">
        <v>20</v>
      </c>
      <c r="F363">
        <v>1</v>
      </c>
      <c r="G363">
        <v>261.48</v>
      </c>
      <c r="H363">
        <v>0.02</v>
      </c>
      <c r="I363" t="s">
        <v>18</v>
      </c>
      <c r="J363">
        <v>2</v>
      </c>
      <c r="K363">
        <v>1</v>
      </c>
      <c r="L363">
        <v>256.25</v>
      </c>
      <c r="M363">
        <f>(Table1[[#This Row],[unit_price]]*Table1[[#This Row],[quantity]])-(Table1[[#This Row],[unit_price]]*Table1[[#This Row],[discount]]*Table1[[#This Row],[quantity]])</f>
        <v>256.25040000000001</v>
      </c>
      <c r="N363">
        <f>DAY(Table1[[#This Row],[order_date]])</f>
        <v>28</v>
      </c>
      <c r="O363" t="str">
        <f>TEXT(Table1[[#This Row],[order_date]],"mmm")</f>
        <v>Dec</v>
      </c>
      <c r="P363">
        <f>YEAR(Table1[[#This Row],[order_date]])</f>
        <v>2022</v>
      </c>
    </row>
    <row r="364" spans="1:16" x14ac:dyDescent="0.3">
      <c r="A364">
        <v>10363</v>
      </c>
      <c r="B364" s="1">
        <v>44924</v>
      </c>
      <c r="C364">
        <v>1143</v>
      </c>
      <c r="D364" t="s">
        <v>22</v>
      </c>
      <c r="E364" t="s">
        <v>21</v>
      </c>
      <c r="F364">
        <v>2</v>
      </c>
      <c r="G364">
        <v>514.6</v>
      </c>
      <c r="H364">
        <v>0.25</v>
      </c>
      <c r="I364" t="s">
        <v>18</v>
      </c>
      <c r="J364">
        <v>1</v>
      </c>
      <c r="K364">
        <v>3.4</v>
      </c>
      <c r="L364">
        <v>771.9</v>
      </c>
      <c r="M364">
        <f>(Table1[[#This Row],[unit_price]]*Table1[[#This Row],[quantity]])-(Table1[[#This Row],[unit_price]]*Table1[[#This Row],[discount]]*Table1[[#This Row],[quantity]])</f>
        <v>771.90000000000009</v>
      </c>
      <c r="N364">
        <f>DAY(Table1[[#This Row],[order_date]])</f>
        <v>29</v>
      </c>
      <c r="O364" t="str">
        <f>TEXT(Table1[[#This Row],[order_date]],"mmm")</f>
        <v>Dec</v>
      </c>
      <c r="P364">
        <f>YEAR(Table1[[#This Row],[order_date]])</f>
        <v>2022</v>
      </c>
    </row>
    <row r="365" spans="1:16" x14ac:dyDescent="0.3">
      <c r="A365">
        <v>10364</v>
      </c>
      <c r="B365" s="1">
        <v>44925</v>
      </c>
      <c r="C365">
        <v>1345</v>
      </c>
      <c r="D365" t="s">
        <v>19</v>
      </c>
      <c r="E365" t="s">
        <v>20</v>
      </c>
      <c r="F365">
        <v>5</v>
      </c>
      <c r="G365">
        <v>466.36</v>
      </c>
      <c r="H365">
        <v>0.33</v>
      </c>
      <c r="I365" t="s">
        <v>16</v>
      </c>
      <c r="J365">
        <v>5</v>
      </c>
      <c r="K365">
        <v>3.6</v>
      </c>
      <c r="L365">
        <v>1562.31</v>
      </c>
      <c r="M365">
        <f>(Table1[[#This Row],[unit_price]]*Table1[[#This Row],[quantity]])-(Table1[[#This Row],[unit_price]]*Table1[[#This Row],[discount]]*Table1[[#This Row],[quantity]])</f>
        <v>1562.306</v>
      </c>
      <c r="N365">
        <f>DAY(Table1[[#This Row],[order_date]])</f>
        <v>30</v>
      </c>
      <c r="O365" t="str">
        <f>TEXT(Table1[[#This Row],[order_date]],"mmm")</f>
        <v>Dec</v>
      </c>
      <c r="P365">
        <f>YEAR(Table1[[#This Row],[order_date]])</f>
        <v>2022</v>
      </c>
    </row>
    <row r="366" spans="1:16" x14ac:dyDescent="0.3">
      <c r="A366">
        <v>10365</v>
      </c>
      <c r="B366" s="1">
        <v>44926</v>
      </c>
      <c r="C366">
        <v>1623</v>
      </c>
      <c r="D366" t="s">
        <v>15</v>
      </c>
      <c r="E366" t="s">
        <v>21</v>
      </c>
      <c r="F366">
        <v>1</v>
      </c>
      <c r="G366">
        <v>52.83</v>
      </c>
      <c r="H366">
        <v>0.09</v>
      </c>
      <c r="I366" t="s">
        <v>16</v>
      </c>
      <c r="J366">
        <v>7</v>
      </c>
      <c r="K366">
        <v>4.3</v>
      </c>
      <c r="L366">
        <v>48.08</v>
      </c>
      <c r="M366">
        <f>(Table1[[#This Row],[unit_price]]*Table1[[#This Row],[quantity]])-(Table1[[#This Row],[unit_price]]*Table1[[#This Row],[discount]]*Table1[[#This Row],[quantity]])</f>
        <v>48.075299999999999</v>
      </c>
      <c r="N366">
        <f>DAY(Table1[[#This Row],[order_date]])</f>
        <v>31</v>
      </c>
      <c r="O366" t="str">
        <f>TEXT(Table1[[#This Row],[order_date]],"mmm")</f>
        <v>Dec</v>
      </c>
      <c r="P366">
        <f>YEAR(Table1[[#This Row],[order_date]])</f>
        <v>2022</v>
      </c>
    </row>
    <row r="367" spans="1:16" x14ac:dyDescent="0.3">
      <c r="A367">
        <v>10366</v>
      </c>
      <c r="B367" s="1">
        <v>44927</v>
      </c>
      <c r="C367">
        <v>1571</v>
      </c>
      <c r="D367" t="s">
        <v>22</v>
      </c>
      <c r="E367" t="s">
        <v>20</v>
      </c>
      <c r="F367">
        <v>6</v>
      </c>
      <c r="G367">
        <v>378.36</v>
      </c>
      <c r="H367">
        <v>0.03</v>
      </c>
      <c r="I367" t="s">
        <v>14</v>
      </c>
      <c r="J367">
        <v>10</v>
      </c>
      <c r="K367">
        <v>1.8</v>
      </c>
      <c r="L367">
        <v>2202.06</v>
      </c>
      <c r="M367">
        <f>(Table1[[#This Row],[unit_price]]*Table1[[#This Row],[quantity]])-(Table1[[#This Row],[unit_price]]*Table1[[#This Row],[discount]]*Table1[[#This Row],[quantity]])</f>
        <v>2202.0551999999998</v>
      </c>
      <c r="N367">
        <f>DAY(Table1[[#This Row],[order_date]])</f>
        <v>1</v>
      </c>
      <c r="O367" t="str">
        <f>TEXT(Table1[[#This Row],[order_date]],"mmm")</f>
        <v>Jan</v>
      </c>
      <c r="P367">
        <f>YEAR(Table1[[#This Row],[order_date]])</f>
        <v>2023</v>
      </c>
    </row>
    <row r="368" spans="1:16" x14ac:dyDescent="0.3">
      <c r="A368">
        <v>10367</v>
      </c>
      <c r="B368" s="1">
        <v>44928</v>
      </c>
      <c r="C368">
        <v>1880</v>
      </c>
      <c r="D368" t="s">
        <v>19</v>
      </c>
      <c r="E368" t="s">
        <v>21</v>
      </c>
      <c r="F368">
        <v>4</v>
      </c>
      <c r="G368">
        <v>152.66999999999999</v>
      </c>
      <c r="H368">
        <v>0.17</v>
      </c>
      <c r="I368" t="s">
        <v>16</v>
      </c>
      <c r="J368">
        <v>9</v>
      </c>
      <c r="K368">
        <v>3.1</v>
      </c>
      <c r="L368">
        <v>506.86</v>
      </c>
      <c r="M368">
        <f>(Table1[[#This Row],[unit_price]]*Table1[[#This Row],[quantity]])-(Table1[[#This Row],[unit_price]]*Table1[[#This Row],[discount]]*Table1[[#This Row],[quantity]])</f>
        <v>506.86439999999993</v>
      </c>
      <c r="N368">
        <f>DAY(Table1[[#This Row],[order_date]])</f>
        <v>2</v>
      </c>
      <c r="O368" t="str">
        <f>TEXT(Table1[[#This Row],[order_date]],"mmm")</f>
        <v>Jan</v>
      </c>
      <c r="P368">
        <f>YEAR(Table1[[#This Row],[order_date]])</f>
        <v>2023</v>
      </c>
    </row>
    <row r="369" spans="1:16" x14ac:dyDescent="0.3">
      <c r="A369">
        <v>10368</v>
      </c>
      <c r="B369" s="1">
        <v>44929</v>
      </c>
      <c r="C369">
        <v>1001</v>
      </c>
      <c r="D369" t="s">
        <v>22</v>
      </c>
      <c r="E369" t="s">
        <v>17</v>
      </c>
      <c r="F369">
        <v>2</v>
      </c>
      <c r="G369">
        <v>341.15</v>
      </c>
      <c r="H369">
        <v>0.3</v>
      </c>
      <c r="I369" t="s">
        <v>14</v>
      </c>
      <c r="J369">
        <v>2</v>
      </c>
      <c r="K369">
        <v>2.8</v>
      </c>
      <c r="L369">
        <v>477.61</v>
      </c>
      <c r="M369">
        <f>(Table1[[#This Row],[unit_price]]*Table1[[#This Row],[quantity]])-(Table1[[#This Row],[unit_price]]*Table1[[#This Row],[discount]]*Table1[[#This Row],[quantity]])</f>
        <v>477.61</v>
      </c>
      <c r="N369">
        <f>DAY(Table1[[#This Row],[order_date]])</f>
        <v>3</v>
      </c>
      <c r="O369" t="str">
        <f>TEXT(Table1[[#This Row],[order_date]],"mmm")</f>
        <v>Jan</v>
      </c>
      <c r="P369">
        <f>YEAR(Table1[[#This Row],[order_date]])</f>
        <v>2023</v>
      </c>
    </row>
    <row r="370" spans="1:16" x14ac:dyDescent="0.3">
      <c r="A370">
        <v>10369</v>
      </c>
      <c r="B370" s="1">
        <v>44930</v>
      </c>
      <c r="C370">
        <v>1896</v>
      </c>
      <c r="D370" t="s">
        <v>15</v>
      </c>
      <c r="E370" t="s">
        <v>20</v>
      </c>
      <c r="F370">
        <v>2</v>
      </c>
      <c r="G370">
        <v>574.78</v>
      </c>
      <c r="H370">
        <v>0.19</v>
      </c>
      <c r="I370" t="s">
        <v>18</v>
      </c>
      <c r="J370">
        <v>8</v>
      </c>
      <c r="K370">
        <v>3.7</v>
      </c>
      <c r="L370">
        <v>931.14</v>
      </c>
      <c r="M370">
        <f>(Table1[[#This Row],[unit_price]]*Table1[[#This Row],[quantity]])-(Table1[[#This Row],[unit_price]]*Table1[[#This Row],[discount]]*Table1[[#This Row],[quantity]])</f>
        <v>931.14359999999999</v>
      </c>
      <c r="N370">
        <f>DAY(Table1[[#This Row],[order_date]])</f>
        <v>4</v>
      </c>
      <c r="O370" t="str">
        <f>TEXT(Table1[[#This Row],[order_date]],"mmm")</f>
        <v>Jan</v>
      </c>
      <c r="P370">
        <f>YEAR(Table1[[#This Row],[order_date]])</f>
        <v>2023</v>
      </c>
    </row>
    <row r="371" spans="1:16" x14ac:dyDescent="0.3">
      <c r="A371">
        <v>10370</v>
      </c>
      <c r="B371" s="1">
        <v>44931</v>
      </c>
      <c r="C371">
        <v>1303</v>
      </c>
      <c r="D371" t="s">
        <v>12</v>
      </c>
      <c r="E371" t="s">
        <v>13</v>
      </c>
      <c r="F371">
        <v>7</v>
      </c>
      <c r="G371">
        <v>529.25</v>
      </c>
      <c r="H371">
        <v>0.02</v>
      </c>
      <c r="I371" t="s">
        <v>16</v>
      </c>
      <c r="J371">
        <v>7</v>
      </c>
      <c r="K371">
        <v>1.3</v>
      </c>
      <c r="L371">
        <v>3630.66</v>
      </c>
      <c r="M371">
        <f>(Table1[[#This Row],[unit_price]]*Table1[[#This Row],[quantity]])-(Table1[[#This Row],[unit_price]]*Table1[[#This Row],[discount]]*Table1[[#This Row],[quantity]])</f>
        <v>3630.6550000000002</v>
      </c>
      <c r="N371">
        <f>DAY(Table1[[#This Row],[order_date]])</f>
        <v>5</v>
      </c>
      <c r="O371" t="str">
        <f>TEXT(Table1[[#This Row],[order_date]],"mmm")</f>
        <v>Jan</v>
      </c>
      <c r="P371">
        <f>YEAR(Table1[[#This Row],[order_date]])</f>
        <v>2023</v>
      </c>
    </row>
    <row r="372" spans="1:16" x14ac:dyDescent="0.3">
      <c r="A372">
        <v>10371</v>
      </c>
      <c r="B372" s="1">
        <v>44932</v>
      </c>
      <c r="C372">
        <v>1253</v>
      </c>
      <c r="D372" t="s">
        <v>19</v>
      </c>
      <c r="E372" t="s">
        <v>21</v>
      </c>
      <c r="F372">
        <v>7</v>
      </c>
      <c r="G372">
        <v>251.64</v>
      </c>
      <c r="H372">
        <v>0.34</v>
      </c>
      <c r="I372" t="s">
        <v>18</v>
      </c>
      <c r="J372">
        <v>2</v>
      </c>
      <c r="K372">
        <v>4.5</v>
      </c>
      <c r="L372">
        <v>1162.58</v>
      </c>
      <c r="M372">
        <f>(Table1[[#This Row],[unit_price]]*Table1[[#This Row],[quantity]])-(Table1[[#This Row],[unit_price]]*Table1[[#This Row],[discount]]*Table1[[#This Row],[quantity]])</f>
        <v>1162.5767999999998</v>
      </c>
      <c r="N372">
        <f>DAY(Table1[[#This Row],[order_date]])</f>
        <v>6</v>
      </c>
      <c r="O372" t="str">
        <f>TEXT(Table1[[#This Row],[order_date]],"mmm")</f>
        <v>Jan</v>
      </c>
      <c r="P372">
        <f>YEAR(Table1[[#This Row],[order_date]])</f>
        <v>2023</v>
      </c>
    </row>
    <row r="373" spans="1:16" x14ac:dyDescent="0.3">
      <c r="A373">
        <v>10372</v>
      </c>
      <c r="B373" s="1">
        <v>44933</v>
      </c>
      <c r="C373">
        <v>1651</v>
      </c>
      <c r="D373" t="s">
        <v>19</v>
      </c>
      <c r="E373" t="s">
        <v>13</v>
      </c>
      <c r="F373">
        <v>1</v>
      </c>
      <c r="G373">
        <v>185.54</v>
      </c>
      <c r="H373">
        <v>0.28999999999999998</v>
      </c>
      <c r="I373" t="s">
        <v>14</v>
      </c>
      <c r="J373">
        <v>5</v>
      </c>
      <c r="K373">
        <v>3</v>
      </c>
      <c r="L373">
        <v>131.72999999999999</v>
      </c>
      <c r="M373">
        <f>(Table1[[#This Row],[unit_price]]*Table1[[#This Row],[quantity]])-(Table1[[#This Row],[unit_price]]*Table1[[#This Row],[discount]]*Table1[[#This Row],[quantity]])</f>
        <v>131.73339999999999</v>
      </c>
      <c r="N373">
        <f>DAY(Table1[[#This Row],[order_date]])</f>
        <v>7</v>
      </c>
      <c r="O373" t="str">
        <f>TEXT(Table1[[#This Row],[order_date]],"mmm")</f>
        <v>Jan</v>
      </c>
      <c r="P373">
        <f>YEAR(Table1[[#This Row],[order_date]])</f>
        <v>2023</v>
      </c>
    </row>
    <row r="374" spans="1:16" x14ac:dyDescent="0.3">
      <c r="A374">
        <v>10373</v>
      </c>
      <c r="B374" s="1">
        <v>44934</v>
      </c>
      <c r="C374">
        <v>1452</v>
      </c>
      <c r="D374" t="s">
        <v>15</v>
      </c>
      <c r="E374" t="s">
        <v>21</v>
      </c>
      <c r="F374">
        <v>2</v>
      </c>
      <c r="G374">
        <v>152.13</v>
      </c>
      <c r="H374">
        <v>0.05</v>
      </c>
      <c r="I374" t="s">
        <v>16</v>
      </c>
      <c r="J374">
        <v>7</v>
      </c>
      <c r="K374">
        <v>4.5</v>
      </c>
      <c r="L374">
        <v>289.05</v>
      </c>
      <c r="M374">
        <f>(Table1[[#This Row],[unit_price]]*Table1[[#This Row],[quantity]])-(Table1[[#This Row],[unit_price]]*Table1[[#This Row],[discount]]*Table1[[#This Row],[quantity]])</f>
        <v>289.04699999999997</v>
      </c>
      <c r="N374">
        <f>DAY(Table1[[#This Row],[order_date]])</f>
        <v>8</v>
      </c>
      <c r="O374" t="str">
        <f>TEXT(Table1[[#This Row],[order_date]],"mmm")</f>
        <v>Jan</v>
      </c>
      <c r="P374">
        <f>YEAR(Table1[[#This Row],[order_date]])</f>
        <v>2023</v>
      </c>
    </row>
    <row r="375" spans="1:16" x14ac:dyDescent="0.3">
      <c r="A375">
        <v>10374</v>
      </c>
      <c r="B375" s="1">
        <v>44935</v>
      </c>
      <c r="C375">
        <v>1036</v>
      </c>
      <c r="D375" t="s">
        <v>19</v>
      </c>
      <c r="E375" t="s">
        <v>13</v>
      </c>
      <c r="F375">
        <v>4</v>
      </c>
      <c r="G375">
        <v>326.52</v>
      </c>
      <c r="H375">
        <v>0.32</v>
      </c>
      <c r="I375" t="s">
        <v>14</v>
      </c>
      <c r="J375">
        <v>3</v>
      </c>
      <c r="K375">
        <v>2.4</v>
      </c>
      <c r="L375">
        <v>888.13</v>
      </c>
      <c r="M375">
        <f>(Table1[[#This Row],[unit_price]]*Table1[[#This Row],[quantity]])-(Table1[[#This Row],[unit_price]]*Table1[[#This Row],[discount]]*Table1[[#This Row],[quantity]])</f>
        <v>888.13439999999991</v>
      </c>
      <c r="N375">
        <f>DAY(Table1[[#This Row],[order_date]])</f>
        <v>9</v>
      </c>
      <c r="O375" t="str">
        <f>TEXT(Table1[[#This Row],[order_date]],"mmm")</f>
        <v>Jan</v>
      </c>
      <c r="P375">
        <f>YEAR(Table1[[#This Row],[order_date]])</f>
        <v>2023</v>
      </c>
    </row>
    <row r="376" spans="1:16" x14ac:dyDescent="0.3">
      <c r="A376">
        <v>10375</v>
      </c>
      <c r="B376" s="1">
        <v>44936</v>
      </c>
      <c r="C376">
        <v>1159</v>
      </c>
      <c r="D376" t="s">
        <v>22</v>
      </c>
      <c r="E376" t="s">
        <v>13</v>
      </c>
      <c r="F376">
        <v>1</v>
      </c>
      <c r="G376">
        <v>81.84</v>
      </c>
      <c r="H376">
        <v>0.16</v>
      </c>
      <c r="I376" t="s">
        <v>16</v>
      </c>
      <c r="J376">
        <v>2</v>
      </c>
      <c r="K376">
        <v>3.6</v>
      </c>
      <c r="L376">
        <v>68.75</v>
      </c>
      <c r="M376">
        <f>(Table1[[#This Row],[unit_price]]*Table1[[#This Row],[quantity]])-(Table1[[#This Row],[unit_price]]*Table1[[#This Row],[discount]]*Table1[[#This Row],[quantity]])</f>
        <v>68.745599999999996</v>
      </c>
      <c r="N376">
        <f>DAY(Table1[[#This Row],[order_date]])</f>
        <v>10</v>
      </c>
      <c r="O376" t="str">
        <f>TEXT(Table1[[#This Row],[order_date]],"mmm")</f>
        <v>Jan</v>
      </c>
      <c r="P376">
        <f>YEAR(Table1[[#This Row],[order_date]])</f>
        <v>2023</v>
      </c>
    </row>
    <row r="377" spans="1:16" x14ac:dyDescent="0.3">
      <c r="A377">
        <v>10376</v>
      </c>
      <c r="B377" s="1">
        <v>44937</v>
      </c>
      <c r="C377">
        <v>1008</v>
      </c>
      <c r="D377" t="s">
        <v>22</v>
      </c>
      <c r="E377" t="s">
        <v>21</v>
      </c>
      <c r="F377">
        <v>5</v>
      </c>
      <c r="G377">
        <v>336.33</v>
      </c>
      <c r="H377">
        <v>0.13</v>
      </c>
      <c r="I377" t="s">
        <v>18</v>
      </c>
      <c r="J377">
        <v>6</v>
      </c>
      <c r="K377">
        <v>4.8</v>
      </c>
      <c r="L377">
        <v>1463.04</v>
      </c>
      <c r="M377">
        <f>(Table1[[#This Row],[unit_price]]*Table1[[#This Row],[quantity]])-(Table1[[#This Row],[unit_price]]*Table1[[#This Row],[discount]]*Table1[[#This Row],[quantity]])</f>
        <v>1463.0355</v>
      </c>
      <c r="N377">
        <f>DAY(Table1[[#This Row],[order_date]])</f>
        <v>11</v>
      </c>
      <c r="O377" t="str">
        <f>TEXT(Table1[[#This Row],[order_date]],"mmm")</f>
        <v>Jan</v>
      </c>
      <c r="P377">
        <f>YEAR(Table1[[#This Row],[order_date]])</f>
        <v>2023</v>
      </c>
    </row>
    <row r="378" spans="1:16" x14ac:dyDescent="0.3">
      <c r="A378">
        <v>10377</v>
      </c>
      <c r="B378" s="1">
        <v>44938</v>
      </c>
      <c r="C378">
        <v>1232</v>
      </c>
      <c r="D378" t="s">
        <v>19</v>
      </c>
      <c r="E378" t="s">
        <v>21</v>
      </c>
      <c r="F378">
        <v>1</v>
      </c>
      <c r="G378">
        <v>15.78</v>
      </c>
      <c r="H378">
        <v>0.16</v>
      </c>
      <c r="I378" t="s">
        <v>14</v>
      </c>
      <c r="J378">
        <v>10</v>
      </c>
      <c r="K378">
        <v>4.8</v>
      </c>
      <c r="L378">
        <v>13.26</v>
      </c>
      <c r="M378">
        <f>(Table1[[#This Row],[unit_price]]*Table1[[#This Row],[quantity]])-(Table1[[#This Row],[unit_price]]*Table1[[#This Row],[discount]]*Table1[[#This Row],[quantity]])</f>
        <v>13.255199999999999</v>
      </c>
      <c r="N378">
        <f>DAY(Table1[[#This Row],[order_date]])</f>
        <v>12</v>
      </c>
      <c r="O378" t="str">
        <f>TEXT(Table1[[#This Row],[order_date]],"mmm")</f>
        <v>Jan</v>
      </c>
      <c r="P378">
        <f>YEAR(Table1[[#This Row],[order_date]])</f>
        <v>2023</v>
      </c>
    </row>
    <row r="379" spans="1:16" x14ac:dyDescent="0.3">
      <c r="A379">
        <v>10378</v>
      </c>
      <c r="B379" s="1">
        <v>44939</v>
      </c>
      <c r="C379">
        <v>1098</v>
      </c>
      <c r="D379" t="s">
        <v>15</v>
      </c>
      <c r="E379" t="s">
        <v>13</v>
      </c>
      <c r="F379">
        <v>1</v>
      </c>
      <c r="G379">
        <v>204.45</v>
      </c>
      <c r="H379">
        <v>0.28999999999999998</v>
      </c>
      <c r="I379" t="s">
        <v>14</v>
      </c>
      <c r="J379">
        <v>6</v>
      </c>
      <c r="K379">
        <v>4.8</v>
      </c>
      <c r="L379">
        <v>145.16</v>
      </c>
      <c r="M379">
        <f>(Table1[[#This Row],[unit_price]]*Table1[[#This Row],[quantity]])-(Table1[[#This Row],[unit_price]]*Table1[[#This Row],[discount]]*Table1[[#This Row],[quantity]])</f>
        <v>145.15949999999998</v>
      </c>
      <c r="N379">
        <f>DAY(Table1[[#This Row],[order_date]])</f>
        <v>13</v>
      </c>
      <c r="O379" t="str">
        <f>TEXT(Table1[[#This Row],[order_date]],"mmm")</f>
        <v>Jan</v>
      </c>
      <c r="P379">
        <f>YEAR(Table1[[#This Row],[order_date]])</f>
        <v>2023</v>
      </c>
    </row>
    <row r="380" spans="1:16" x14ac:dyDescent="0.3">
      <c r="A380">
        <v>10379</v>
      </c>
      <c r="B380" s="1">
        <v>44940</v>
      </c>
      <c r="C380">
        <v>1658</v>
      </c>
      <c r="D380" t="s">
        <v>15</v>
      </c>
      <c r="E380" t="s">
        <v>13</v>
      </c>
      <c r="F380">
        <v>5</v>
      </c>
      <c r="G380">
        <v>143.66</v>
      </c>
      <c r="H380">
        <v>0.23</v>
      </c>
      <c r="I380" t="s">
        <v>18</v>
      </c>
      <c r="J380">
        <v>11</v>
      </c>
      <c r="K380">
        <v>1.2</v>
      </c>
      <c r="L380">
        <v>553.09</v>
      </c>
      <c r="M380">
        <f>(Table1[[#This Row],[unit_price]]*Table1[[#This Row],[quantity]])-(Table1[[#This Row],[unit_price]]*Table1[[#This Row],[discount]]*Table1[[#This Row],[quantity]])</f>
        <v>553.09099999999989</v>
      </c>
      <c r="N380">
        <f>DAY(Table1[[#This Row],[order_date]])</f>
        <v>14</v>
      </c>
      <c r="O380" t="str">
        <f>TEXT(Table1[[#This Row],[order_date]],"mmm")</f>
        <v>Jan</v>
      </c>
      <c r="P380">
        <f>YEAR(Table1[[#This Row],[order_date]])</f>
        <v>2023</v>
      </c>
    </row>
    <row r="381" spans="1:16" x14ac:dyDescent="0.3">
      <c r="A381">
        <v>10380</v>
      </c>
      <c r="B381" s="1">
        <v>44941</v>
      </c>
      <c r="C381">
        <v>1815</v>
      </c>
      <c r="D381" t="s">
        <v>15</v>
      </c>
      <c r="E381" t="s">
        <v>13</v>
      </c>
      <c r="F381">
        <v>6</v>
      </c>
      <c r="G381">
        <v>583.16</v>
      </c>
      <c r="H381">
        <v>0.02</v>
      </c>
      <c r="I381" t="s">
        <v>18</v>
      </c>
      <c r="J381">
        <v>4</v>
      </c>
      <c r="K381">
        <v>2.6</v>
      </c>
      <c r="L381">
        <v>3428.98</v>
      </c>
      <c r="M381">
        <f>(Table1[[#This Row],[unit_price]]*Table1[[#This Row],[quantity]])-(Table1[[#This Row],[unit_price]]*Table1[[#This Row],[discount]]*Table1[[#This Row],[quantity]])</f>
        <v>3428.9808000000003</v>
      </c>
      <c r="N381">
        <f>DAY(Table1[[#This Row],[order_date]])</f>
        <v>15</v>
      </c>
      <c r="O381" t="str">
        <f>TEXT(Table1[[#This Row],[order_date]],"mmm")</f>
        <v>Jan</v>
      </c>
      <c r="P381">
        <f>YEAR(Table1[[#This Row],[order_date]])</f>
        <v>2023</v>
      </c>
    </row>
    <row r="382" spans="1:16" x14ac:dyDescent="0.3">
      <c r="A382">
        <v>10381</v>
      </c>
      <c r="B382" s="1">
        <v>44942</v>
      </c>
      <c r="C382">
        <v>1207</v>
      </c>
      <c r="D382" t="s">
        <v>12</v>
      </c>
      <c r="E382" t="s">
        <v>20</v>
      </c>
      <c r="F382">
        <v>7</v>
      </c>
      <c r="G382">
        <v>440.44</v>
      </c>
      <c r="H382">
        <v>0.34</v>
      </c>
      <c r="I382" t="s">
        <v>16</v>
      </c>
      <c r="J382">
        <v>1</v>
      </c>
      <c r="K382">
        <v>1.2</v>
      </c>
      <c r="L382">
        <v>2034.83</v>
      </c>
      <c r="M382">
        <f>(Table1[[#This Row],[unit_price]]*Table1[[#This Row],[quantity]])-(Table1[[#This Row],[unit_price]]*Table1[[#This Row],[discount]]*Table1[[#This Row],[quantity]])</f>
        <v>2034.8327999999999</v>
      </c>
      <c r="N382">
        <f>DAY(Table1[[#This Row],[order_date]])</f>
        <v>16</v>
      </c>
      <c r="O382" t="str">
        <f>TEXT(Table1[[#This Row],[order_date]],"mmm")</f>
        <v>Jan</v>
      </c>
      <c r="P382">
        <f>YEAR(Table1[[#This Row],[order_date]])</f>
        <v>2023</v>
      </c>
    </row>
    <row r="383" spans="1:16" x14ac:dyDescent="0.3">
      <c r="A383">
        <v>10382</v>
      </c>
      <c r="B383" s="1">
        <v>44943</v>
      </c>
      <c r="C383">
        <v>1130</v>
      </c>
      <c r="D383" t="s">
        <v>22</v>
      </c>
      <c r="E383" t="s">
        <v>20</v>
      </c>
      <c r="F383">
        <v>4</v>
      </c>
      <c r="G383">
        <v>219.55</v>
      </c>
      <c r="H383">
        <v>0.05</v>
      </c>
      <c r="I383" t="s">
        <v>16</v>
      </c>
      <c r="J383">
        <v>5</v>
      </c>
      <c r="K383">
        <v>2.2000000000000002</v>
      </c>
      <c r="L383">
        <v>834.29</v>
      </c>
      <c r="M383">
        <f>(Table1[[#This Row],[unit_price]]*Table1[[#This Row],[quantity]])-(Table1[[#This Row],[unit_price]]*Table1[[#This Row],[discount]]*Table1[[#This Row],[quantity]])</f>
        <v>834.29000000000008</v>
      </c>
      <c r="N383">
        <f>DAY(Table1[[#This Row],[order_date]])</f>
        <v>17</v>
      </c>
      <c r="O383" t="str">
        <f>TEXT(Table1[[#This Row],[order_date]],"mmm")</f>
        <v>Jan</v>
      </c>
      <c r="P383">
        <f>YEAR(Table1[[#This Row],[order_date]])</f>
        <v>2023</v>
      </c>
    </row>
    <row r="384" spans="1:16" x14ac:dyDescent="0.3">
      <c r="A384">
        <v>10383</v>
      </c>
      <c r="B384" s="1">
        <v>44944</v>
      </c>
      <c r="C384">
        <v>1403</v>
      </c>
      <c r="D384" t="s">
        <v>22</v>
      </c>
      <c r="E384" t="s">
        <v>17</v>
      </c>
      <c r="F384">
        <v>6</v>
      </c>
      <c r="G384">
        <v>69.31</v>
      </c>
      <c r="H384">
        <v>0.26</v>
      </c>
      <c r="I384" t="s">
        <v>16</v>
      </c>
      <c r="J384">
        <v>1</v>
      </c>
      <c r="K384">
        <v>1.7</v>
      </c>
      <c r="L384">
        <v>307.74</v>
      </c>
      <c r="M384">
        <f>(Table1[[#This Row],[unit_price]]*Table1[[#This Row],[quantity]])-(Table1[[#This Row],[unit_price]]*Table1[[#This Row],[discount]]*Table1[[#This Row],[quantity]])</f>
        <v>307.7364</v>
      </c>
      <c r="N384">
        <f>DAY(Table1[[#This Row],[order_date]])</f>
        <v>18</v>
      </c>
      <c r="O384" t="str">
        <f>TEXT(Table1[[#This Row],[order_date]],"mmm")</f>
        <v>Jan</v>
      </c>
      <c r="P384">
        <f>YEAR(Table1[[#This Row],[order_date]])</f>
        <v>2023</v>
      </c>
    </row>
    <row r="385" spans="1:16" x14ac:dyDescent="0.3">
      <c r="A385">
        <v>10384</v>
      </c>
      <c r="B385" s="1">
        <v>44945</v>
      </c>
      <c r="C385">
        <v>1151</v>
      </c>
      <c r="D385" t="s">
        <v>22</v>
      </c>
      <c r="E385" t="s">
        <v>20</v>
      </c>
      <c r="F385">
        <v>6</v>
      </c>
      <c r="G385">
        <v>317.33</v>
      </c>
      <c r="H385">
        <v>0.22</v>
      </c>
      <c r="I385" t="s">
        <v>16</v>
      </c>
      <c r="J385">
        <v>11</v>
      </c>
      <c r="K385">
        <v>3.5</v>
      </c>
      <c r="L385">
        <v>1485.1</v>
      </c>
      <c r="M385">
        <f>(Table1[[#This Row],[unit_price]]*Table1[[#This Row],[quantity]])-(Table1[[#This Row],[unit_price]]*Table1[[#This Row],[discount]]*Table1[[#This Row],[quantity]])</f>
        <v>1485.1043999999999</v>
      </c>
      <c r="N385">
        <f>DAY(Table1[[#This Row],[order_date]])</f>
        <v>19</v>
      </c>
      <c r="O385" t="str">
        <f>TEXT(Table1[[#This Row],[order_date]],"mmm")</f>
        <v>Jan</v>
      </c>
      <c r="P385">
        <f>YEAR(Table1[[#This Row],[order_date]])</f>
        <v>2023</v>
      </c>
    </row>
    <row r="386" spans="1:16" x14ac:dyDescent="0.3">
      <c r="A386">
        <v>10385</v>
      </c>
      <c r="B386" s="1">
        <v>44946</v>
      </c>
      <c r="C386">
        <v>1053</v>
      </c>
      <c r="D386" t="s">
        <v>15</v>
      </c>
      <c r="E386" t="s">
        <v>20</v>
      </c>
      <c r="F386">
        <v>6</v>
      </c>
      <c r="G386">
        <v>139.87</v>
      </c>
      <c r="H386">
        <v>7.0000000000000007E-2</v>
      </c>
      <c r="I386" t="s">
        <v>16</v>
      </c>
      <c r="J386">
        <v>11</v>
      </c>
      <c r="K386">
        <v>4.0999999999999996</v>
      </c>
      <c r="L386">
        <v>780.47</v>
      </c>
      <c r="M386">
        <f>(Table1[[#This Row],[unit_price]]*Table1[[#This Row],[quantity]])-(Table1[[#This Row],[unit_price]]*Table1[[#This Row],[discount]]*Table1[[#This Row],[quantity]])</f>
        <v>780.47460000000001</v>
      </c>
      <c r="N386">
        <f>DAY(Table1[[#This Row],[order_date]])</f>
        <v>20</v>
      </c>
      <c r="O386" t="str">
        <f>TEXT(Table1[[#This Row],[order_date]],"mmm")</f>
        <v>Jan</v>
      </c>
      <c r="P386">
        <f>YEAR(Table1[[#This Row],[order_date]])</f>
        <v>2023</v>
      </c>
    </row>
    <row r="387" spans="1:16" x14ac:dyDescent="0.3">
      <c r="A387">
        <v>10386</v>
      </c>
      <c r="B387" s="1">
        <v>44947</v>
      </c>
      <c r="C387">
        <v>1119</v>
      </c>
      <c r="D387" t="s">
        <v>12</v>
      </c>
      <c r="E387" t="s">
        <v>21</v>
      </c>
      <c r="F387">
        <v>7</v>
      </c>
      <c r="G387">
        <v>328.81</v>
      </c>
      <c r="H387">
        <v>0.06</v>
      </c>
      <c r="I387" t="s">
        <v>16</v>
      </c>
      <c r="J387">
        <v>8</v>
      </c>
      <c r="K387">
        <v>3.1</v>
      </c>
      <c r="L387">
        <v>2163.5700000000002</v>
      </c>
      <c r="M387">
        <f>(Table1[[#This Row],[unit_price]]*Table1[[#This Row],[quantity]])-(Table1[[#This Row],[unit_price]]*Table1[[#This Row],[discount]]*Table1[[#This Row],[quantity]])</f>
        <v>2163.5698000000002</v>
      </c>
      <c r="N387">
        <f>DAY(Table1[[#This Row],[order_date]])</f>
        <v>21</v>
      </c>
      <c r="O387" t="str">
        <f>TEXT(Table1[[#This Row],[order_date]],"mmm")</f>
        <v>Jan</v>
      </c>
      <c r="P387">
        <f>YEAR(Table1[[#This Row],[order_date]])</f>
        <v>2023</v>
      </c>
    </row>
    <row r="388" spans="1:16" x14ac:dyDescent="0.3">
      <c r="A388">
        <v>10387</v>
      </c>
      <c r="B388" s="1">
        <v>44948</v>
      </c>
      <c r="C388">
        <v>1672</v>
      </c>
      <c r="D388" t="s">
        <v>22</v>
      </c>
      <c r="E388" t="s">
        <v>17</v>
      </c>
      <c r="F388">
        <v>3</v>
      </c>
      <c r="G388">
        <v>503.69</v>
      </c>
      <c r="H388">
        <v>0.3</v>
      </c>
      <c r="I388" t="s">
        <v>14</v>
      </c>
      <c r="J388">
        <v>2</v>
      </c>
      <c r="K388">
        <v>4.2</v>
      </c>
      <c r="L388">
        <v>1057.75</v>
      </c>
      <c r="M388">
        <f>(Table1[[#This Row],[unit_price]]*Table1[[#This Row],[quantity]])-(Table1[[#This Row],[unit_price]]*Table1[[#This Row],[discount]]*Table1[[#This Row],[quantity]])</f>
        <v>1057.7489999999998</v>
      </c>
      <c r="N388">
        <f>DAY(Table1[[#This Row],[order_date]])</f>
        <v>22</v>
      </c>
      <c r="O388" t="str">
        <f>TEXT(Table1[[#This Row],[order_date]],"mmm")</f>
        <v>Jan</v>
      </c>
      <c r="P388">
        <f>YEAR(Table1[[#This Row],[order_date]])</f>
        <v>2023</v>
      </c>
    </row>
    <row r="389" spans="1:16" x14ac:dyDescent="0.3">
      <c r="A389">
        <v>10388</v>
      </c>
      <c r="B389" s="1">
        <v>44949</v>
      </c>
      <c r="C389">
        <v>1919</v>
      </c>
      <c r="D389" t="s">
        <v>22</v>
      </c>
      <c r="E389" t="s">
        <v>17</v>
      </c>
      <c r="F389">
        <v>7</v>
      </c>
      <c r="G389">
        <v>375.24</v>
      </c>
      <c r="H389">
        <v>0.15</v>
      </c>
      <c r="I389" t="s">
        <v>18</v>
      </c>
      <c r="J389">
        <v>9</v>
      </c>
      <c r="K389">
        <v>1.1000000000000001</v>
      </c>
      <c r="L389">
        <v>2232.6799999999998</v>
      </c>
      <c r="M389">
        <f>(Table1[[#This Row],[unit_price]]*Table1[[#This Row],[quantity]])-(Table1[[#This Row],[unit_price]]*Table1[[#This Row],[discount]]*Table1[[#This Row],[quantity]])</f>
        <v>2232.6780000000003</v>
      </c>
      <c r="N389">
        <f>DAY(Table1[[#This Row],[order_date]])</f>
        <v>23</v>
      </c>
      <c r="O389" t="str">
        <f>TEXT(Table1[[#This Row],[order_date]],"mmm")</f>
        <v>Jan</v>
      </c>
      <c r="P389">
        <f>YEAR(Table1[[#This Row],[order_date]])</f>
        <v>2023</v>
      </c>
    </row>
    <row r="390" spans="1:16" x14ac:dyDescent="0.3">
      <c r="A390">
        <v>10389</v>
      </c>
      <c r="B390" s="1">
        <v>44950</v>
      </c>
      <c r="C390">
        <v>1627</v>
      </c>
      <c r="D390" t="s">
        <v>12</v>
      </c>
      <c r="E390" t="s">
        <v>20</v>
      </c>
      <c r="F390">
        <v>6</v>
      </c>
      <c r="G390">
        <v>385.77</v>
      </c>
      <c r="H390">
        <v>0.23</v>
      </c>
      <c r="I390" t="s">
        <v>16</v>
      </c>
      <c r="J390">
        <v>9</v>
      </c>
      <c r="K390">
        <v>4.3</v>
      </c>
      <c r="L390">
        <v>1782.26</v>
      </c>
      <c r="M390">
        <f>(Table1[[#This Row],[unit_price]]*Table1[[#This Row],[quantity]])-(Table1[[#This Row],[unit_price]]*Table1[[#This Row],[discount]]*Table1[[#This Row],[quantity]])</f>
        <v>1782.2574</v>
      </c>
      <c r="N390">
        <f>DAY(Table1[[#This Row],[order_date]])</f>
        <v>24</v>
      </c>
      <c r="O390" t="str">
        <f>TEXT(Table1[[#This Row],[order_date]],"mmm")</f>
        <v>Jan</v>
      </c>
      <c r="P390">
        <f>YEAR(Table1[[#This Row],[order_date]])</f>
        <v>2023</v>
      </c>
    </row>
    <row r="391" spans="1:16" x14ac:dyDescent="0.3">
      <c r="A391">
        <v>10390</v>
      </c>
      <c r="B391" s="1">
        <v>44951</v>
      </c>
      <c r="C391">
        <v>1586</v>
      </c>
      <c r="D391" t="s">
        <v>19</v>
      </c>
      <c r="E391" t="s">
        <v>21</v>
      </c>
      <c r="F391">
        <v>3</v>
      </c>
      <c r="G391">
        <v>331.5</v>
      </c>
      <c r="H391">
        <v>0.18</v>
      </c>
      <c r="I391" t="s">
        <v>14</v>
      </c>
      <c r="J391">
        <v>3</v>
      </c>
      <c r="K391">
        <v>1.7</v>
      </c>
      <c r="L391">
        <v>815.49</v>
      </c>
      <c r="M391">
        <f>(Table1[[#This Row],[unit_price]]*Table1[[#This Row],[quantity]])-(Table1[[#This Row],[unit_price]]*Table1[[#This Row],[discount]]*Table1[[#This Row],[quantity]])</f>
        <v>815.49</v>
      </c>
      <c r="N391">
        <f>DAY(Table1[[#This Row],[order_date]])</f>
        <v>25</v>
      </c>
      <c r="O391" t="str">
        <f>TEXT(Table1[[#This Row],[order_date]],"mmm")</f>
        <v>Jan</v>
      </c>
      <c r="P391">
        <f>YEAR(Table1[[#This Row],[order_date]])</f>
        <v>2023</v>
      </c>
    </row>
    <row r="392" spans="1:16" x14ac:dyDescent="0.3">
      <c r="A392">
        <v>10391</v>
      </c>
      <c r="B392" s="1">
        <v>44952</v>
      </c>
      <c r="C392">
        <v>1624</v>
      </c>
      <c r="D392" t="s">
        <v>22</v>
      </c>
      <c r="E392" t="s">
        <v>21</v>
      </c>
      <c r="F392">
        <v>5</v>
      </c>
      <c r="G392">
        <v>557.45000000000005</v>
      </c>
      <c r="H392">
        <v>0.25</v>
      </c>
      <c r="I392" t="s">
        <v>16</v>
      </c>
      <c r="J392">
        <v>6</v>
      </c>
      <c r="K392">
        <v>2.8</v>
      </c>
      <c r="L392">
        <v>2090.44</v>
      </c>
      <c r="M392">
        <f>(Table1[[#This Row],[unit_price]]*Table1[[#This Row],[quantity]])-(Table1[[#This Row],[unit_price]]*Table1[[#This Row],[discount]]*Table1[[#This Row],[quantity]])</f>
        <v>2090.4375</v>
      </c>
      <c r="N392">
        <f>DAY(Table1[[#This Row],[order_date]])</f>
        <v>26</v>
      </c>
      <c r="O392" t="str">
        <f>TEXT(Table1[[#This Row],[order_date]],"mmm")</f>
        <v>Jan</v>
      </c>
      <c r="P392">
        <f>YEAR(Table1[[#This Row],[order_date]])</f>
        <v>2023</v>
      </c>
    </row>
    <row r="393" spans="1:16" x14ac:dyDescent="0.3">
      <c r="A393">
        <v>10392</v>
      </c>
      <c r="B393" s="1">
        <v>44953</v>
      </c>
      <c r="C393">
        <v>1967</v>
      </c>
      <c r="D393" t="s">
        <v>19</v>
      </c>
      <c r="E393" t="s">
        <v>17</v>
      </c>
      <c r="F393">
        <v>7</v>
      </c>
      <c r="G393">
        <v>560.16</v>
      </c>
      <c r="H393">
        <v>0.17</v>
      </c>
      <c r="I393" t="s">
        <v>18</v>
      </c>
      <c r="J393">
        <v>9</v>
      </c>
      <c r="K393">
        <v>2.8</v>
      </c>
      <c r="L393">
        <v>3254.53</v>
      </c>
      <c r="M393">
        <f>(Table1[[#This Row],[unit_price]]*Table1[[#This Row],[quantity]])-(Table1[[#This Row],[unit_price]]*Table1[[#This Row],[discount]]*Table1[[#This Row],[quantity]])</f>
        <v>3254.5295999999998</v>
      </c>
      <c r="N393">
        <f>DAY(Table1[[#This Row],[order_date]])</f>
        <v>27</v>
      </c>
      <c r="O393" t="str">
        <f>TEXT(Table1[[#This Row],[order_date]],"mmm")</f>
        <v>Jan</v>
      </c>
      <c r="P393">
        <f>YEAR(Table1[[#This Row],[order_date]])</f>
        <v>2023</v>
      </c>
    </row>
    <row r="394" spans="1:16" x14ac:dyDescent="0.3">
      <c r="A394">
        <v>10393</v>
      </c>
      <c r="B394" s="1">
        <v>44954</v>
      </c>
      <c r="C394">
        <v>1419</v>
      </c>
      <c r="D394" t="s">
        <v>19</v>
      </c>
      <c r="E394" t="s">
        <v>21</v>
      </c>
      <c r="F394">
        <v>4</v>
      </c>
      <c r="G394">
        <v>314.94</v>
      </c>
      <c r="H394">
        <v>0.1</v>
      </c>
      <c r="I394" t="s">
        <v>18</v>
      </c>
      <c r="J394">
        <v>7</v>
      </c>
      <c r="K394">
        <v>4.5</v>
      </c>
      <c r="L394">
        <v>1133.78</v>
      </c>
      <c r="M394">
        <f>(Table1[[#This Row],[unit_price]]*Table1[[#This Row],[quantity]])-(Table1[[#This Row],[unit_price]]*Table1[[#This Row],[discount]]*Table1[[#This Row],[quantity]])</f>
        <v>1133.7840000000001</v>
      </c>
      <c r="N394">
        <f>DAY(Table1[[#This Row],[order_date]])</f>
        <v>28</v>
      </c>
      <c r="O394" t="str">
        <f>TEXT(Table1[[#This Row],[order_date]],"mmm")</f>
        <v>Jan</v>
      </c>
      <c r="P394">
        <f>YEAR(Table1[[#This Row],[order_date]])</f>
        <v>2023</v>
      </c>
    </row>
    <row r="395" spans="1:16" x14ac:dyDescent="0.3">
      <c r="A395">
        <v>10394</v>
      </c>
      <c r="B395" s="1">
        <v>44955</v>
      </c>
      <c r="C395">
        <v>1421</v>
      </c>
      <c r="D395" t="s">
        <v>19</v>
      </c>
      <c r="E395" t="s">
        <v>13</v>
      </c>
      <c r="F395">
        <v>6</v>
      </c>
      <c r="G395">
        <v>193.87</v>
      </c>
      <c r="H395">
        <v>0.13</v>
      </c>
      <c r="I395" t="s">
        <v>16</v>
      </c>
      <c r="J395">
        <v>4</v>
      </c>
      <c r="K395">
        <v>4.9000000000000004</v>
      </c>
      <c r="L395">
        <v>1012</v>
      </c>
      <c r="M395">
        <f>(Table1[[#This Row],[unit_price]]*Table1[[#This Row],[quantity]])-(Table1[[#This Row],[unit_price]]*Table1[[#This Row],[discount]]*Table1[[#This Row],[quantity]])</f>
        <v>1012.0014</v>
      </c>
      <c r="N395">
        <f>DAY(Table1[[#This Row],[order_date]])</f>
        <v>29</v>
      </c>
      <c r="O395" t="str">
        <f>TEXT(Table1[[#This Row],[order_date]],"mmm")</f>
        <v>Jan</v>
      </c>
      <c r="P395">
        <f>YEAR(Table1[[#This Row],[order_date]])</f>
        <v>2023</v>
      </c>
    </row>
    <row r="396" spans="1:16" x14ac:dyDescent="0.3">
      <c r="A396">
        <v>10395</v>
      </c>
      <c r="B396" s="1">
        <v>44956</v>
      </c>
      <c r="C396">
        <v>1103</v>
      </c>
      <c r="D396" t="s">
        <v>12</v>
      </c>
      <c r="E396" t="s">
        <v>20</v>
      </c>
      <c r="F396">
        <v>2</v>
      </c>
      <c r="G396">
        <v>283.86</v>
      </c>
      <c r="H396">
        <v>0.3</v>
      </c>
      <c r="I396" t="s">
        <v>18</v>
      </c>
      <c r="J396">
        <v>3</v>
      </c>
      <c r="K396">
        <v>2</v>
      </c>
      <c r="L396">
        <v>397.4</v>
      </c>
      <c r="M396">
        <f>(Table1[[#This Row],[unit_price]]*Table1[[#This Row],[quantity]])-(Table1[[#This Row],[unit_price]]*Table1[[#This Row],[discount]]*Table1[[#This Row],[quantity]])</f>
        <v>397.404</v>
      </c>
      <c r="N396">
        <f>DAY(Table1[[#This Row],[order_date]])</f>
        <v>30</v>
      </c>
      <c r="O396" t="str">
        <f>TEXT(Table1[[#This Row],[order_date]],"mmm")</f>
        <v>Jan</v>
      </c>
      <c r="P396">
        <f>YEAR(Table1[[#This Row],[order_date]])</f>
        <v>2023</v>
      </c>
    </row>
    <row r="397" spans="1:16" x14ac:dyDescent="0.3">
      <c r="A397">
        <v>10396</v>
      </c>
      <c r="B397" s="1">
        <v>44957</v>
      </c>
      <c r="C397">
        <v>1851</v>
      </c>
      <c r="D397" t="s">
        <v>12</v>
      </c>
      <c r="E397" t="s">
        <v>13</v>
      </c>
      <c r="F397">
        <v>5</v>
      </c>
      <c r="G397">
        <v>124.14</v>
      </c>
      <c r="H397">
        <v>0.16</v>
      </c>
      <c r="I397" t="s">
        <v>16</v>
      </c>
      <c r="J397">
        <v>2</v>
      </c>
      <c r="K397">
        <v>1.3</v>
      </c>
      <c r="L397">
        <v>521.39</v>
      </c>
      <c r="M397">
        <f>(Table1[[#This Row],[unit_price]]*Table1[[#This Row],[quantity]])-(Table1[[#This Row],[unit_price]]*Table1[[#This Row],[discount]]*Table1[[#This Row],[quantity]])</f>
        <v>521.38800000000003</v>
      </c>
      <c r="N397">
        <f>DAY(Table1[[#This Row],[order_date]])</f>
        <v>31</v>
      </c>
      <c r="O397" t="str">
        <f>TEXT(Table1[[#This Row],[order_date]],"mmm")</f>
        <v>Jan</v>
      </c>
      <c r="P397">
        <f>YEAR(Table1[[#This Row],[order_date]])</f>
        <v>2023</v>
      </c>
    </row>
    <row r="398" spans="1:16" x14ac:dyDescent="0.3">
      <c r="A398">
        <v>10397</v>
      </c>
      <c r="B398" s="1">
        <v>44958</v>
      </c>
      <c r="C398">
        <v>1253</v>
      </c>
      <c r="D398" t="s">
        <v>22</v>
      </c>
      <c r="E398" t="s">
        <v>17</v>
      </c>
      <c r="F398">
        <v>3</v>
      </c>
      <c r="G398">
        <v>387.26</v>
      </c>
      <c r="H398">
        <v>7.0000000000000007E-2</v>
      </c>
      <c r="I398" t="s">
        <v>16</v>
      </c>
      <c r="J398">
        <v>10</v>
      </c>
      <c r="K398">
        <v>3.6</v>
      </c>
      <c r="L398">
        <v>1080.46</v>
      </c>
      <c r="M398">
        <f>(Table1[[#This Row],[unit_price]]*Table1[[#This Row],[quantity]])-(Table1[[#This Row],[unit_price]]*Table1[[#This Row],[discount]]*Table1[[#This Row],[quantity]])</f>
        <v>1080.4554000000001</v>
      </c>
      <c r="N398">
        <f>DAY(Table1[[#This Row],[order_date]])</f>
        <v>1</v>
      </c>
      <c r="O398" t="str">
        <f>TEXT(Table1[[#This Row],[order_date]],"mmm")</f>
        <v>Feb</v>
      </c>
      <c r="P398">
        <f>YEAR(Table1[[#This Row],[order_date]])</f>
        <v>2023</v>
      </c>
    </row>
    <row r="399" spans="1:16" x14ac:dyDescent="0.3">
      <c r="A399">
        <v>10398</v>
      </c>
      <c r="B399" s="1">
        <v>44959</v>
      </c>
      <c r="C399">
        <v>1226</v>
      </c>
      <c r="D399" t="s">
        <v>22</v>
      </c>
      <c r="E399" t="s">
        <v>17</v>
      </c>
      <c r="F399">
        <v>7</v>
      </c>
      <c r="G399">
        <v>307.55</v>
      </c>
      <c r="H399">
        <v>0.33</v>
      </c>
      <c r="I399" t="s">
        <v>16</v>
      </c>
      <c r="J399">
        <v>10</v>
      </c>
      <c r="K399">
        <v>3</v>
      </c>
      <c r="L399">
        <v>1442.41</v>
      </c>
      <c r="M399">
        <f>(Table1[[#This Row],[unit_price]]*Table1[[#This Row],[quantity]])-(Table1[[#This Row],[unit_price]]*Table1[[#This Row],[discount]]*Table1[[#This Row],[quantity]])</f>
        <v>1442.4094999999998</v>
      </c>
      <c r="N399">
        <f>DAY(Table1[[#This Row],[order_date]])</f>
        <v>2</v>
      </c>
      <c r="O399" t="str">
        <f>TEXT(Table1[[#This Row],[order_date]],"mmm")</f>
        <v>Feb</v>
      </c>
      <c r="P399">
        <f>YEAR(Table1[[#This Row],[order_date]])</f>
        <v>2023</v>
      </c>
    </row>
    <row r="400" spans="1:16" x14ac:dyDescent="0.3">
      <c r="A400">
        <v>10399</v>
      </c>
      <c r="B400" s="1">
        <v>44960</v>
      </c>
      <c r="C400">
        <v>1111</v>
      </c>
      <c r="D400" t="s">
        <v>15</v>
      </c>
      <c r="E400" t="s">
        <v>21</v>
      </c>
      <c r="F400">
        <v>4</v>
      </c>
      <c r="G400">
        <v>75.430000000000007</v>
      </c>
      <c r="H400">
        <v>0.28000000000000003</v>
      </c>
      <c r="I400" t="s">
        <v>14</v>
      </c>
      <c r="J400">
        <v>1</v>
      </c>
      <c r="K400">
        <v>3.3</v>
      </c>
      <c r="L400">
        <v>217.24</v>
      </c>
      <c r="M400">
        <f>(Table1[[#This Row],[unit_price]]*Table1[[#This Row],[quantity]])-(Table1[[#This Row],[unit_price]]*Table1[[#This Row],[discount]]*Table1[[#This Row],[quantity]])</f>
        <v>217.23840000000001</v>
      </c>
      <c r="N400">
        <f>DAY(Table1[[#This Row],[order_date]])</f>
        <v>3</v>
      </c>
      <c r="O400" t="str">
        <f>TEXT(Table1[[#This Row],[order_date]],"mmm")</f>
        <v>Feb</v>
      </c>
      <c r="P400">
        <f>YEAR(Table1[[#This Row],[order_date]])</f>
        <v>2023</v>
      </c>
    </row>
    <row r="401" spans="1:16" x14ac:dyDescent="0.3">
      <c r="A401">
        <v>10400</v>
      </c>
      <c r="B401" s="1">
        <v>44961</v>
      </c>
      <c r="C401">
        <v>1509</v>
      </c>
      <c r="D401" t="s">
        <v>12</v>
      </c>
      <c r="E401" t="s">
        <v>21</v>
      </c>
      <c r="F401">
        <v>1</v>
      </c>
      <c r="G401">
        <v>130.62</v>
      </c>
      <c r="H401">
        <v>0.02</v>
      </c>
      <c r="I401" t="s">
        <v>18</v>
      </c>
      <c r="J401">
        <v>11</v>
      </c>
      <c r="K401">
        <v>1.2</v>
      </c>
      <c r="L401">
        <v>128.01</v>
      </c>
      <c r="M401">
        <f>(Table1[[#This Row],[unit_price]]*Table1[[#This Row],[quantity]])-(Table1[[#This Row],[unit_price]]*Table1[[#This Row],[discount]]*Table1[[#This Row],[quantity]])</f>
        <v>128.0076</v>
      </c>
      <c r="N401">
        <f>DAY(Table1[[#This Row],[order_date]])</f>
        <v>4</v>
      </c>
      <c r="O401" t="str">
        <f>TEXT(Table1[[#This Row],[order_date]],"mmm")</f>
        <v>Feb</v>
      </c>
      <c r="P401">
        <f>YEAR(Table1[[#This Row],[order_date]])</f>
        <v>2023</v>
      </c>
    </row>
    <row r="402" spans="1:16" x14ac:dyDescent="0.3">
      <c r="A402">
        <v>10401</v>
      </c>
      <c r="B402" s="1">
        <v>44962</v>
      </c>
      <c r="C402">
        <v>1472</v>
      </c>
      <c r="D402" t="s">
        <v>15</v>
      </c>
      <c r="E402" t="s">
        <v>17</v>
      </c>
      <c r="F402">
        <v>4</v>
      </c>
      <c r="G402">
        <v>295.58</v>
      </c>
      <c r="H402">
        <v>0.35</v>
      </c>
      <c r="I402" t="s">
        <v>18</v>
      </c>
      <c r="J402">
        <v>10</v>
      </c>
      <c r="K402">
        <v>4.0999999999999996</v>
      </c>
      <c r="L402">
        <v>768.51</v>
      </c>
      <c r="M402">
        <f>(Table1[[#This Row],[unit_price]]*Table1[[#This Row],[quantity]])-(Table1[[#This Row],[unit_price]]*Table1[[#This Row],[discount]]*Table1[[#This Row],[quantity]])</f>
        <v>768.50800000000004</v>
      </c>
      <c r="N402">
        <f>DAY(Table1[[#This Row],[order_date]])</f>
        <v>5</v>
      </c>
      <c r="O402" t="str">
        <f>TEXT(Table1[[#This Row],[order_date]],"mmm")</f>
        <v>Feb</v>
      </c>
      <c r="P402">
        <f>YEAR(Table1[[#This Row],[order_date]])</f>
        <v>2023</v>
      </c>
    </row>
    <row r="403" spans="1:16" x14ac:dyDescent="0.3">
      <c r="A403">
        <v>10402</v>
      </c>
      <c r="B403" s="1">
        <v>44963</v>
      </c>
      <c r="C403">
        <v>1098</v>
      </c>
      <c r="D403" t="s">
        <v>15</v>
      </c>
      <c r="E403" t="s">
        <v>17</v>
      </c>
      <c r="F403">
        <v>4</v>
      </c>
      <c r="G403">
        <v>534.24</v>
      </c>
      <c r="H403">
        <v>0.24</v>
      </c>
      <c r="I403" t="s">
        <v>18</v>
      </c>
      <c r="J403">
        <v>11</v>
      </c>
      <c r="K403">
        <v>1.9</v>
      </c>
      <c r="L403">
        <v>1624.09</v>
      </c>
      <c r="M403">
        <f>(Table1[[#This Row],[unit_price]]*Table1[[#This Row],[quantity]])-(Table1[[#This Row],[unit_price]]*Table1[[#This Row],[discount]]*Table1[[#This Row],[quantity]])</f>
        <v>1624.0896</v>
      </c>
      <c r="N403">
        <f>DAY(Table1[[#This Row],[order_date]])</f>
        <v>6</v>
      </c>
      <c r="O403" t="str">
        <f>TEXT(Table1[[#This Row],[order_date]],"mmm")</f>
        <v>Feb</v>
      </c>
      <c r="P403">
        <f>YEAR(Table1[[#This Row],[order_date]])</f>
        <v>2023</v>
      </c>
    </row>
    <row r="404" spans="1:16" x14ac:dyDescent="0.3">
      <c r="A404">
        <v>10403</v>
      </c>
      <c r="B404" s="1">
        <v>44964</v>
      </c>
      <c r="C404">
        <v>1152</v>
      </c>
      <c r="D404" t="s">
        <v>19</v>
      </c>
      <c r="E404" t="s">
        <v>13</v>
      </c>
      <c r="F404">
        <v>6</v>
      </c>
      <c r="G404">
        <v>346.34</v>
      </c>
      <c r="H404">
        <v>0.06</v>
      </c>
      <c r="I404" t="s">
        <v>16</v>
      </c>
      <c r="J404">
        <v>1</v>
      </c>
      <c r="K404">
        <v>2.2999999999999998</v>
      </c>
      <c r="L404">
        <v>1953.36</v>
      </c>
      <c r="M404">
        <f>(Table1[[#This Row],[unit_price]]*Table1[[#This Row],[quantity]])-(Table1[[#This Row],[unit_price]]*Table1[[#This Row],[discount]]*Table1[[#This Row],[quantity]])</f>
        <v>1953.3576</v>
      </c>
      <c r="N404">
        <f>DAY(Table1[[#This Row],[order_date]])</f>
        <v>7</v>
      </c>
      <c r="O404" t="str">
        <f>TEXT(Table1[[#This Row],[order_date]],"mmm")</f>
        <v>Feb</v>
      </c>
      <c r="P404">
        <f>YEAR(Table1[[#This Row],[order_date]])</f>
        <v>2023</v>
      </c>
    </row>
    <row r="405" spans="1:16" x14ac:dyDescent="0.3">
      <c r="A405">
        <v>10404</v>
      </c>
      <c r="B405" s="1">
        <v>44965</v>
      </c>
      <c r="C405">
        <v>1860</v>
      </c>
      <c r="D405" t="s">
        <v>22</v>
      </c>
      <c r="E405" t="s">
        <v>13</v>
      </c>
      <c r="F405">
        <v>6</v>
      </c>
      <c r="G405">
        <v>413.7</v>
      </c>
      <c r="H405">
        <v>0.08</v>
      </c>
      <c r="I405" t="s">
        <v>18</v>
      </c>
      <c r="J405">
        <v>4</v>
      </c>
      <c r="K405">
        <v>1.9</v>
      </c>
      <c r="L405">
        <v>2283.62</v>
      </c>
      <c r="M405">
        <f>(Table1[[#This Row],[unit_price]]*Table1[[#This Row],[quantity]])-(Table1[[#This Row],[unit_price]]*Table1[[#This Row],[discount]]*Table1[[#This Row],[quantity]])</f>
        <v>2283.6239999999998</v>
      </c>
      <c r="N405">
        <f>DAY(Table1[[#This Row],[order_date]])</f>
        <v>8</v>
      </c>
      <c r="O405" t="str">
        <f>TEXT(Table1[[#This Row],[order_date]],"mmm")</f>
        <v>Feb</v>
      </c>
      <c r="P405">
        <f>YEAR(Table1[[#This Row],[order_date]])</f>
        <v>2023</v>
      </c>
    </row>
    <row r="406" spans="1:16" x14ac:dyDescent="0.3">
      <c r="A406">
        <v>10405</v>
      </c>
      <c r="B406" s="1">
        <v>44966</v>
      </c>
      <c r="C406">
        <v>1913</v>
      </c>
      <c r="D406" t="s">
        <v>22</v>
      </c>
      <c r="E406" t="s">
        <v>21</v>
      </c>
      <c r="F406">
        <v>7</v>
      </c>
      <c r="G406">
        <v>213.33</v>
      </c>
      <c r="H406">
        <v>0.24</v>
      </c>
      <c r="I406" t="s">
        <v>16</v>
      </c>
      <c r="J406">
        <v>4</v>
      </c>
      <c r="K406">
        <v>4.8</v>
      </c>
      <c r="L406">
        <v>1134.92</v>
      </c>
      <c r="M406">
        <f>(Table1[[#This Row],[unit_price]]*Table1[[#This Row],[quantity]])-(Table1[[#This Row],[unit_price]]*Table1[[#This Row],[discount]]*Table1[[#This Row],[quantity]])</f>
        <v>1134.9156000000003</v>
      </c>
      <c r="N406">
        <f>DAY(Table1[[#This Row],[order_date]])</f>
        <v>9</v>
      </c>
      <c r="O406" t="str">
        <f>TEXT(Table1[[#This Row],[order_date]],"mmm")</f>
        <v>Feb</v>
      </c>
      <c r="P406">
        <f>YEAR(Table1[[#This Row],[order_date]])</f>
        <v>2023</v>
      </c>
    </row>
    <row r="407" spans="1:16" x14ac:dyDescent="0.3">
      <c r="A407">
        <v>10406</v>
      </c>
      <c r="B407" s="1">
        <v>44967</v>
      </c>
      <c r="C407">
        <v>1895</v>
      </c>
      <c r="D407" t="s">
        <v>15</v>
      </c>
      <c r="E407" t="s">
        <v>13</v>
      </c>
      <c r="F407">
        <v>7</v>
      </c>
      <c r="G407">
        <v>349.28</v>
      </c>
      <c r="H407">
        <v>0.27</v>
      </c>
      <c r="I407" t="s">
        <v>16</v>
      </c>
      <c r="J407">
        <v>9</v>
      </c>
      <c r="K407">
        <v>1.7</v>
      </c>
      <c r="L407">
        <v>1784.82</v>
      </c>
      <c r="M407">
        <f>(Table1[[#This Row],[unit_price]]*Table1[[#This Row],[quantity]])-(Table1[[#This Row],[unit_price]]*Table1[[#This Row],[discount]]*Table1[[#This Row],[quantity]])</f>
        <v>1784.8208</v>
      </c>
      <c r="N407">
        <f>DAY(Table1[[#This Row],[order_date]])</f>
        <v>10</v>
      </c>
      <c r="O407" t="str">
        <f>TEXT(Table1[[#This Row],[order_date]],"mmm")</f>
        <v>Feb</v>
      </c>
      <c r="P407">
        <f>YEAR(Table1[[#This Row],[order_date]])</f>
        <v>2023</v>
      </c>
    </row>
    <row r="408" spans="1:16" x14ac:dyDescent="0.3">
      <c r="A408">
        <v>10407</v>
      </c>
      <c r="B408" s="1">
        <v>44968</v>
      </c>
      <c r="C408">
        <v>1877</v>
      </c>
      <c r="D408" t="s">
        <v>19</v>
      </c>
      <c r="E408" t="s">
        <v>21</v>
      </c>
      <c r="F408">
        <v>3</v>
      </c>
      <c r="G408">
        <v>276.72000000000003</v>
      </c>
      <c r="H408">
        <v>0.08</v>
      </c>
      <c r="I408" t="s">
        <v>18</v>
      </c>
      <c r="J408">
        <v>10</v>
      </c>
      <c r="K408">
        <v>3.9</v>
      </c>
      <c r="L408">
        <v>763.75</v>
      </c>
      <c r="M408">
        <f>(Table1[[#This Row],[unit_price]]*Table1[[#This Row],[quantity]])-(Table1[[#This Row],[unit_price]]*Table1[[#This Row],[discount]]*Table1[[#This Row],[quantity]])</f>
        <v>763.74720000000002</v>
      </c>
      <c r="N408">
        <f>DAY(Table1[[#This Row],[order_date]])</f>
        <v>11</v>
      </c>
      <c r="O408" t="str">
        <f>TEXT(Table1[[#This Row],[order_date]],"mmm")</f>
        <v>Feb</v>
      </c>
      <c r="P408">
        <f>YEAR(Table1[[#This Row],[order_date]])</f>
        <v>2023</v>
      </c>
    </row>
    <row r="409" spans="1:16" x14ac:dyDescent="0.3">
      <c r="A409">
        <v>10408</v>
      </c>
      <c r="B409" s="1">
        <v>44969</v>
      </c>
      <c r="C409">
        <v>1337</v>
      </c>
      <c r="D409" t="s">
        <v>22</v>
      </c>
      <c r="E409" t="s">
        <v>21</v>
      </c>
      <c r="F409">
        <v>7</v>
      </c>
      <c r="G409">
        <v>400.59</v>
      </c>
      <c r="H409">
        <v>0.09</v>
      </c>
      <c r="I409" t="s">
        <v>16</v>
      </c>
      <c r="J409">
        <v>1</v>
      </c>
      <c r="K409">
        <v>2</v>
      </c>
      <c r="L409">
        <v>2551.7600000000002</v>
      </c>
      <c r="M409">
        <f>(Table1[[#This Row],[unit_price]]*Table1[[#This Row],[quantity]])-(Table1[[#This Row],[unit_price]]*Table1[[#This Row],[discount]]*Table1[[#This Row],[quantity]])</f>
        <v>2551.7582999999995</v>
      </c>
      <c r="N409">
        <f>DAY(Table1[[#This Row],[order_date]])</f>
        <v>12</v>
      </c>
      <c r="O409" t="str">
        <f>TEXT(Table1[[#This Row],[order_date]],"mmm")</f>
        <v>Feb</v>
      </c>
      <c r="P409">
        <f>YEAR(Table1[[#This Row],[order_date]])</f>
        <v>2023</v>
      </c>
    </row>
    <row r="410" spans="1:16" x14ac:dyDescent="0.3">
      <c r="A410">
        <v>10409</v>
      </c>
      <c r="B410" s="1">
        <v>44970</v>
      </c>
      <c r="C410">
        <v>1705</v>
      </c>
      <c r="D410" t="s">
        <v>19</v>
      </c>
      <c r="E410" t="s">
        <v>20</v>
      </c>
      <c r="F410">
        <v>3</v>
      </c>
      <c r="G410">
        <v>44.59</v>
      </c>
      <c r="H410">
        <v>0.11</v>
      </c>
      <c r="I410" t="s">
        <v>16</v>
      </c>
      <c r="J410">
        <v>11</v>
      </c>
      <c r="K410">
        <v>2.7</v>
      </c>
      <c r="L410">
        <v>119.06</v>
      </c>
      <c r="M410">
        <f>(Table1[[#This Row],[unit_price]]*Table1[[#This Row],[quantity]])-(Table1[[#This Row],[unit_price]]*Table1[[#This Row],[discount]]*Table1[[#This Row],[quantity]])</f>
        <v>119.05530000000002</v>
      </c>
      <c r="N410">
        <f>DAY(Table1[[#This Row],[order_date]])</f>
        <v>13</v>
      </c>
      <c r="O410" t="str">
        <f>TEXT(Table1[[#This Row],[order_date]],"mmm")</f>
        <v>Feb</v>
      </c>
      <c r="P410">
        <f>YEAR(Table1[[#This Row],[order_date]])</f>
        <v>2023</v>
      </c>
    </row>
    <row r="411" spans="1:16" x14ac:dyDescent="0.3">
      <c r="A411">
        <v>10410</v>
      </c>
      <c r="B411" s="1">
        <v>44971</v>
      </c>
      <c r="C411">
        <v>1821</v>
      </c>
      <c r="D411" t="s">
        <v>22</v>
      </c>
      <c r="E411" t="s">
        <v>21</v>
      </c>
      <c r="F411">
        <v>6</v>
      </c>
      <c r="G411">
        <v>303.58</v>
      </c>
      <c r="H411">
        <v>0.21</v>
      </c>
      <c r="I411" t="s">
        <v>14</v>
      </c>
      <c r="J411">
        <v>4</v>
      </c>
      <c r="K411">
        <v>5</v>
      </c>
      <c r="L411">
        <v>1438.97</v>
      </c>
      <c r="M411">
        <f>(Table1[[#This Row],[unit_price]]*Table1[[#This Row],[quantity]])-(Table1[[#This Row],[unit_price]]*Table1[[#This Row],[discount]]*Table1[[#This Row],[quantity]])</f>
        <v>1438.9692</v>
      </c>
      <c r="N411">
        <f>DAY(Table1[[#This Row],[order_date]])</f>
        <v>14</v>
      </c>
      <c r="O411" t="str">
        <f>TEXT(Table1[[#This Row],[order_date]],"mmm")</f>
        <v>Feb</v>
      </c>
      <c r="P411">
        <f>YEAR(Table1[[#This Row],[order_date]])</f>
        <v>2023</v>
      </c>
    </row>
    <row r="412" spans="1:16" x14ac:dyDescent="0.3">
      <c r="A412">
        <v>10411</v>
      </c>
      <c r="B412" s="1">
        <v>44972</v>
      </c>
      <c r="C412">
        <v>1162</v>
      </c>
      <c r="D412" t="s">
        <v>12</v>
      </c>
      <c r="E412" t="s">
        <v>13</v>
      </c>
      <c r="F412">
        <v>6</v>
      </c>
      <c r="G412">
        <v>188.16</v>
      </c>
      <c r="H412">
        <v>0.06</v>
      </c>
      <c r="I412" t="s">
        <v>18</v>
      </c>
      <c r="J412">
        <v>3</v>
      </c>
      <c r="K412">
        <v>1.4</v>
      </c>
      <c r="L412">
        <v>1061.22</v>
      </c>
      <c r="M412">
        <f>(Table1[[#This Row],[unit_price]]*Table1[[#This Row],[quantity]])-(Table1[[#This Row],[unit_price]]*Table1[[#This Row],[discount]]*Table1[[#This Row],[quantity]])</f>
        <v>1061.2224000000001</v>
      </c>
      <c r="N412">
        <f>DAY(Table1[[#This Row],[order_date]])</f>
        <v>15</v>
      </c>
      <c r="O412" t="str">
        <f>TEXT(Table1[[#This Row],[order_date]],"mmm")</f>
        <v>Feb</v>
      </c>
      <c r="P412">
        <f>YEAR(Table1[[#This Row],[order_date]])</f>
        <v>2023</v>
      </c>
    </row>
    <row r="413" spans="1:16" x14ac:dyDescent="0.3">
      <c r="A413">
        <v>10412</v>
      </c>
      <c r="B413" s="1">
        <v>44973</v>
      </c>
      <c r="C413">
        <v>1719</v>
      </c>
      <c r="D413" t="s">
        <v>15</v>
      </c>
      <c r="E413" t="s">
        <v>17</v>
      </c>
      <c r="F413">
        <v>2</v>
      </c>
      <c r="G413">
        <v>205.82</v>
      </c>
      <c r="H413">
        <v>0.04</v>
      </c>
      <c r="I413" t="s">
        <v>18</v>
      </c>
      <c r="J413">
        <v>9</v>
      </c>
      <c r="K413">
        <v>4.5</v>
      </c>
      <c r="L413">
        <v>395.17</v>
      </c>
      <c r="M413">
        <f>(Table1[[#This Row],[unit_price]]*Table1[[#This Row],[quantity]])-(Table1[[#This Row],[unit_price]]*Table1[[#This Row],[discount]]*Table1[[#This Row],[quantity]])</f>
        <v>395.17439999999999</v>
      </c>
      <c r="N413">
        <f>DAY(Table1[[#This Row],[order_date]])</f>
        <v>16</v>
      </c>
      <c r="O413" t="str">
        <f>TEXT(Table1[[#This Row],[order_date]],"mmm")</f>
        <v>Feb</v>
      </c>
      <c r="P413">
        <f>YEAR(Table1[[#This Row],[order_date]])</f>
        <v>2023</v>
      </c>
    </row>
    <row r="414" spans="1:16" x14ac:dyDescent="0.3">
      <c r="A414">
        <v>10413</v>
      </c>
      <c r="B414" s="1">
        <v>44974</v>
      </c>
      <c r="C414">
        <v>1956</v>
      </c>
      <c r="D414" t="s">
        <v>19</v>
      </c>
      <c r="E414" t="s">
        <v>17</v>
      </c>
      <c r="F414">
        <v>2</v>
      </c>
      <c r="G414">
        <v>577.14</v>
      </c>
      <c r="H414">
        <v>0.24</v>
      </c>
      <c r="I414" t="s">
        <v>16</v>
      </c>
      <c r="J414">
        <v>5</v>
      </c>
      <c r="K414">
        <v>4.8</v>
      </c>
      <c r="L414">
        <v>877.25</v>
      </c>
      <c r="M414">
        <f>(Table1[[#This Row],[unit_price]]*Table1[[#This Row],[quantity]])-(Table1[[#This Row],[unit_price]]*Table1[[#This Row],[discount]]*Table1[[#This Row],[quantity]])</f>
        <v>877.25279999999998</v>
      </c>
      <c r="N414">
        <f>DAY(Table1[[#This Row],[order_date]])</f>
        <v>17</v>
      </c>
      <c r="O414" t="str">
        <f>TEXT(Table1[[#This Row],[order_date]],"mmm")</f>
        <v>Feb</v>
      </c>
      <c r="P414">
        <f>YEAR(Table1[[#This Row],[order_date]])</f>
        <v>2023</v>
      </c>
    </row>
    <row r="415" spans="1:16" x14ac:dyDescent="0.3">
      <c r="A415">
        <v>10414</v>
      </c>
      <c r="B415" s="1">
        <v>44975</v>
      </c>
      <c r="C415">
        <v>1680</v>
      </c>
      <c r="D415" t="s">
        <v>22</v>
      </c>
      <c r="E415" t="s">
        <v>13</v>
      </c>
      <c r="F415">
        <v>5</v>
      </c>
      <c r="G415">
        <v>121.88</v>
      </c>
      <c r="H415">
        <v>0.27</v>
      </c>
      <c r="I415" t="s">
        <v>16</v>
      </c>
      <c r="J415">
        <v>9</v>
      </c>
      <c r="K415">
        <v>3.8</v>
      </c>
      <c r="L415">
        <v>444.86</v>
      </c>
      <c r="M415">
        <f>(Table1[[#This Row],[unit_price]]*Table1[[#This Row],[quantity]])-(Table1[[#This Row],[unit_price]]*Table1[[#This Row],[discount]]*Table1[[#This Row],[quantity]])</f>
        <v>444.86199999999997</v>
      </c>
      <c r="N415">
        <f>DAY(Table1[[#This Row],[order_date]])</f>
        <v>18</v>
      </c>
      <c r="O415" t="str">
        <f>TEXT(Table1[[#This Row],[order_date]],"mmm")</f>
        <v>Feb</v>
      </c>
      <c r="P415">
        <f>YEAR(Table1[[#This Row],[order_date]])</f>
        <v>2023</v>
      </c>
    </row>
    <row r="416" spans="1:16" x14ac:dyDescent="0.3">
      <c r="A416">
        <v>10415</v>
      </c>
      <c r="B416" s="1">
        <v>44976</v>
      </c>
      <c r="C416">
        <v>1995</v>
      </c>
      <c r="D416" t="s">
        <v>22</v>
      </c>
      <c r="E416" t="s">
        <v>17</v>
      </c>
      <c r="F416">
        <v>6</v>
      </c>
      <c r="G416">
        <v>197.08</v>
      </c>
      <c r="H416">
        <v>0.18</v>
      </c>
      <c r="I416" t="s">
        <v>18</v>
      </c>
      <c r="J416">
        <v>10</v>
      </c>
      <c r="K416">
        <v>1</v>
      </c>
      <c r="L416">
        <v>969.63</v>
      </c>
      <c r="M416">
        <f>(Table1[[#This Row],[unit_price]]*Table1[[#This Row],[quantity]])-(Table1[[#This Row],[unit_price]]*Table1[[#This Row],[discount]]*Table1[[#This Row],[quantity]])</f>
        <v>969.6336</v>
      </c>
      <c r="N416">
        <f>DAY(Table1[[#This Row],[order_date]])</f>
        <v>19</v>
      </c>
      <c r="O416" t="str">
        <f>TEXT(Table1[[#This Row],[order_date]],"mmm")</f>
        <v>Feb</v>
      </c>
      <c r="P416">
        <f>YEAR(Table1[[#This Row],[order_date]])</f>
        <v>2023</v>
      </c>
    </row>
    <row r="417" spans="1:16" x14ac:dyDescent="0.3">
      <c r="A417">
        <v>10416</v>
      </c>
      <c r="B417" s="1">
        <v>44977</v>
      </c>
      <c r="C417">
        <v>1160</v>
      </c>
      <c r="D417" t="s">
        <v>15</v>
      </c>
      <c r="E417" t="s">
        <v>21</v>
      </c>
      <c r="F417">
        <v>1</v>
      </c>
      <c r="G417">
        <v>313.29000000000002</v>
      </c>
      <c r="H417">
        <v>0.13</v>
      </c>
      <c r="I417" t="s">
        <v>18</v>
      </c>
      <c r="J417">
        <v>6</v>
      </c>
      <c r="K417">
        <v>4.3</v>
      </c>
      <c r="L417">
        <v>272.56</v>
      </c>
      <c r="M417">
        <f>(Table1[[#This Row],[unit_price]]*Table1[[#This Row],[quantity]])-(Table1[[#This Row],[unit_price]]*Table1[[#This Row],[discount]]*Table1[[#This Row],[quantity]])</f>
        <v>272.56229999999999</v>
      </c>
      <c r="N417">
        <f>DAY(Table1[[#This Row],[order_date]])</f>
        <v>20</v>
      </c>
      <c r="O417" t="str">
        <f>TEXT(Table1[[#This Row],[order_date]],"mmm")</f>
        <v>Feb</v>
      </c>
      <c r="P417">
        <f>YEAR(Table1[[#This Row],[order_date]])</f>
        <v>2023</v>
      </c>
    </row>
    <row r="418" spans="1:16" x14ac:dyDescent="0.3">
      <c r="A418">
        <v>10417</v>
      </c>
      <c r="B418" s="1">
        <v>44978</v>
      </c>
      <c r="C418">
        <v>1579</v>
      </c>
      <c r="D418" t="s">
        <v>12</v>
      </c>
      <c r="E418" t="s">
        <v>17</v>
      </c>
      <c r="F418">
        <v>2</v>
      </c>
      <c r="G418">
        <v>519.87</v>
      </c>
      <c r="H418">
        <v>0.15</v>
      </c>
      <c r="I418" t="s">
        <v>18</v>
      </c>
      <c r="J418">
        <v>11</v>
      </c>
      <c r="K418">
        <v>4.5</v>
      </c>
      <c r="L418">
        <v>883.78</v>
      </c>
      <c r="M418">
        <f>(Table1[[#This Row],[unit_price]]*Table1[[#This Row],[quantity]])-(Table1[[#This Row],[unit_price]]*Table1[[#This Row],[discount]]*Table1[[#This Row],[quantity]])</f>
        <v>883.779</v>
      </c>
      <c r="N418">
        <f>DAY(Table1[[#This Row],[order_date]])</f>
        <v>21</v>
      </c>
      <c r="O418" t="str">
        <f>TEXT(Table1[[#This Row],[order_date]],"mmm")</f>
        <v>Feb</v>
      </c>
      <c r="P418">
        <f>YEAR(Table1[[#This Row],[order_date]])</f>
        <v>2023</v>
      </c>
    </row>
    <row r="419" spans="1:16" x14ac:dyDescent="0.3">
      <c r="A419">
        <v>10418</v>
      </c>
      <c r="B419" s="1">
        <v>44979</v>
      </c>
      <c r="C419">
        <v>1800</v>
      </c>
      <c r="D419" t="s">
        <v>19</v>
      </c>
      <c r="E419" t="s">
        <v>13</v>
      </c>
      <c r="F419">
        <v>3</v>
      </c>
      <c r="G419">
        <v>258.75</v>
      </c>
      <c r="H419">
        <v>0.14000000000000001</v>
      </c>
      <c r="I419" t="s">
        <v>14</v>
      </c>
      <c r="J419">
        <v>9</v>
      </c>
      <c r="K419">
        <v>4.9000000000000004</v>
      </c>
      <c r="L419">
        <v>667.58</v>
      </c>
      <c r="M419">
        <f>(Table1[[#This Row],[unit_price]]*Table1[[#This Row],[quantity]])-(Table1[[#This Row],[unit_price]]*Table1[[#This Row],[discount]]*Table1[[#This Row],[quantity]])</f>
        <v>667.57500000000005</v>
      </c>
      <c r="N419">
        <f>DAY(Table1[[#This Row],[order_date]])</f>
        <v>22</v>
      </c>
      <c r="O419" t="str">
        <f>TEXT(Table1[[#This Row],[order_date]],"mmm")</f>
        <v>Feb</v>
      </c>
      <c r="P419">
        <f>YEAR(Table1[[#This Row],[order_date]])</f>
        <v>2023</v>
      </c>
    </row>
    <row r="420" spans="1:16" x14ac:dyDescent="0.3">
      <c r="A420">
        <v>10419</v>
      </c>
      <c r="B420" s="1">
        <v>44980</v>
      </c>
      <c r="C420">
        <v>1397</v>
      </c>
      <c r="D420" t="s">
        <v>15</v>
      </c>
      <c r="E420" t="s">
        <v>17</v>
      </c>
      <c r="F420">
        <v>4</v>
      </c>
      <c r="G420">
        <v>450.16</v>
      </c>
      <c r="H420">
        <v>0.34</v>
      </c>
      <c r="I420" t="s">
        <v>14</v>
      </c>
      <c r="J420">
        <v>1</v>
      </c>
      <c r="K420">
        <v>4.4000000000000004</v>
      </c>
      <c r="L420">
        <v>1188.42</v>
      </c>
      <c r="M420">
        <f>(Table1[[#This Row],[unit_price]]*Table1[[#This Row],[quantity]])-(Table1[[#This Row],[unit_price]]*Table1[[#This Row],[discount]]*Table1[[#This Row],[quantity]])</f>
        <v>1188.4223999999999</v>
      </c>
      <c r="N420">
        <f>DAY(Table1[[#This Row],[order_date]])</f>
        <v>23</v>
      </c>
      <c r="O420" t="str">
        <f>TEXT(Table1[[#This Row],[order_date]],"mmm")</f>
        <v>Feb</v>
      </c>
      <c r="P420">
        <f>YEAR(Table1[[#This Row],[order_date]])</f>
        <v>2023</v>
      </c>
    </row>
    <row r="421" spans="1:16" x14ac:dyDescent="0.3">
      <c r="A421">
        <v>10420</v>
      </c>
      <c r="B421" s="1">
        <v>44981</v>
      </c>
      <c r="C421">
        <v>1276</v>
      </c>
      <c r="D421" t="s">
        <v>22</v>
      </c>
      <c r="E421" t="s">
        <v>21</v>
      </c>
      <c r="F421">
        <v>7</v>
      </c>
      <c r="G421">
        <v>515.98</v>
      </c>
      <c r="H421">
        <v>0.27</v>
      </c>
      <c r="I421" t="s">
        <v>16</v>
      </c>
      <c r="J421">
        <v>4</v>
      </c>
      <c r="K421">
        <v>2.8</v>
      </c>
      <c r="L421">
        <v>2636.66</v>
      </c>
      <c r="M421">
        <f>(Table1[[#This Row],[unit_price]]*Table1[[#This Row],[quantity]])-(Table1[[#This Row],[unit_price]]*Table1[[#This Row],[discount]]*Table1[[#This Row],[quantity]])</f>
        <v>2636.6578</v>
      </c>
      <c r="N421">
        <f>DAY(Table1[[#This Row],[order_date]])</f>
        <v>24</v>
      </c>
      <c r="O421" t="str">
        <f>TEXT(Table1[[#This Row],[order_date]],"mmm")</f>
        <v>Feb</v>
      </c>
      <c r="P421">
        <f>YEAR(Table1[[#This Row],[order_date]])</f>
        <v>2023</v>
      </c>
    </row>
    <row r="422" spans="1:16" x14ac:dyDescent="0.3">
      <c r="A422">
        <v>10421</v>
      </c>
      <c r="B422" s="1">
        <v>44982</v>
      </c>
      <c r="C422">
        <v>1815</v>
      </c>
      <c r="D422" t="s">
        <v>12</v>
      </c>
      <c r="E422" t="s">
        <v>21</v>
      </c>
      <c r="F422">
        <v>7</v>
      </c>
      <c r="G422">
        <v>196.36</v>
      </c>
      <c r="H422">
        <v>7.0000000000000007E-2</v>
      </c>
      <c r="I422" t="s">
        <v>14</v>
      </c>
      <c r="J422">
        <v>4</v>
      </c>
      <c r="K422">
        <v>3.8</v>
      </c>
      <c r="L422">
        <v>1278.3</v>
      </c>
      <c r="M422">
        <f>(Table1[[#This Row],[unit_price]]*Table1[[#This Row],[quantity]])-(Table1[[#This Row],[unit_price]]*Table1[[#This Row],[discount]]*Table1[[#This Row],[quantity]])</f>
        <v>1278.3036</v>
      </c>
      <c r="N422">
        <f>DAY(Table1[[#This Row],[order_date]])</f>
        <v>25</v>
      </c>
      <c r="O422" t="str">
        <f>TEXT(Table1[[#This Row],[order_date]],"mmm")</f>
        <v>Feb</v>
      </c>
      <c r="P422">
        <f>YEAR(Table1[[#This Row],[order_date]])</f>
        <v>2023</v>
      </c>
    </row>
    <row r="423" spans="1:16" x14ac:dyDescent="0.3">
      <c r="A423">
        <v>10422</v>
      </c>
      <c r="B423" s="1">
        <v>44983</v>
      </c>
      <c r="C423">
        <v>1915</v>
      </c>
      <c r="D423" t="s">
        <v>19</v>
      </c>
      <c r="E423" t="s">
        <v>13</v>
      </c>
      <c r="F423">
        <v>5</v>
      </c>
      <c r="G423">
        <v>244.76</v>
      </c>
      <c r="H423">
        <v>0.13</v>
      </c>
      <c r="I423" t="s">
        <v>18</v>
      </c>
      <c r="J423">
        <v>10</v>
      </c>
      <c r="K423">
        <v>2.9</v>
      </c>
      <c r="L423">
        <v>1064.71</v>
      </c>
      <c r="M423">
        <f>(Table1[[#This Row],[unit_price]]*Table1[[#This Row],[quantity]])-(Table1[[#This Row],[unit_price]]*Table1[[#This Row],[discount]]*Table1[[#This Row],[quantity]])</f>
        <v>1064.7059999999999</v>
      </c>
      <c r="N423">
        <f>DAY(Table1[[#This Row],[order_date]])</f>
        <v>26</v>
      </c>
      <c r="O423" t="str">
        <f>TEXT(Table1[[#This Row],[order_date]],"mmm")</f>
        <v>Feb</v>
      </c>
      <c r="P423">
        <f>YEAR(Table1[[#This Row],[order_date]])</f>
        <v>2023</v>
      </c>
    </row>
    <row r="424" spans="1:16" x14ac:dyDescent="0.3">
      <c r="A424">
        <v>10423</v>
      </c>
      <c r="B424" s="1">
        <v>44984</v>
      </c>
      <c r="C424">
        <v>1503</v>
      </c>
      <c r="D424" t="s">
        <v>22</v>
      </c>
      <c r="E424" t="s">
        <v>13</v>
      </c>
      <c r="F424">
        <v>2</v>
      </c>
      <c r="G424">
        <v>223.59</v>
      </c>
      <c r="H424">
        <v>0.19</v>
      </c>
      <c r="I424" t="s">
        <v>18</v>
      </c>
      <c r="J424">
        <v>10</v>
      </c>
      <c r="K424">
        <v>2.4</v>
      </c>
      <c r="L424">
        <v>362.22</v>
      </c>
      <c r="M424">
        <f>(Table1[[#This Row],[unit_price]]*Table1[[#This Row],[quantity]])-(Table1[[#This Row],[unit_price]]*Table1[[#This Row],[discount]]*Table1[[#This Row],[quantity]])</f>
        <v>362.2158</v>
      </c>
      <c r="N424">
        <f>DAY(Table1[[#This Row],[order_date]])</f>
        <v>27</v>
      </c>
      <c r="O424" t="str">
        <f>TEXT(Table1[[#This Row],[order_date]],"mmm")</f>
        <v>Feb</v>
      </c>
      <c r="P424">
        <f>YEAR(Table1[[#This Row],[order_date]])</f>
        <v>2023</v>
      </c>
    </row>
    <row r="425" spans="1:16" x14ac:dyDescent="0.3">
      <c r="A425">
        <v>10424</v>
      </c>
      <c r="B425" s="1">
        <v>44985</v>
      </c>
      <c r="C425">
        <v>1895</v>
      </c>
      <c r="D425" t="s">
        <v>15</v>
      </c>
      <c r="E425" t="s">
        <v>13</v>
      </c>
      <c r="F425">
        <v>4</v>
      </c>
      <c r="G425">
        <v>502.22</v>
      </c>
      <c r="H425">
        <v>0.21</v>
      </c>
      <c r="I425" t="s">
        <v>16</v>
      </c>
      <c r="J425">
        <v>6</v>
      </c>
      <c r="K425">
        <v>3.5</v>
      </c>
      <c r="L425">
        <v>1587.02</v>
      </c>
      <c r="M425">
        <f>(Table1[[#This Row],[unit_price]]*Table1[[#This Row],[quantity]])-(Table1[[#This Row],[unit_price]]*Table1[[#This Row],[discount]]*Table1[[#This Row],[quantity]])</f>
        <v>1587.0152</v>
      </c>
      <c r="N425">
        <f>DAY(Table1[[#This Row],[order_date]])</f>
        <v>28</v>
      </c>
      <c r="O425" t="str">
        <f>TEXT(Table1[[#This Row],[order_date]],"mmm")</f>
        <v>Feb</v>
      </c>
      <c r="P425">
        <f>YEAR(Table1[[#This Row],[order_date]])</f>
        <v>2023</v>
      </c>
    </row>
    <row r="426" spans="1:16" x14ac:dyDescent="0.3">
      <c r="A426">
        <v>10425</v>
      </c>
      <c r="B426" s="1">
        <v>44986</v>
      </c>
      <c r="C426">
        <v>1391</v>
      </c>
      <c r="D426" t="s">
        <v>15</v>
      </c>
      <c r="E426" t="s">
        <v>20</v>
      </c>
      <c r="F426">
        <v>4</v>
      </c>
      <c r="G426">
        <v>40.94</v>
      </c>
      <c r="H426">
        <v>0.16</v>
      </c>
      <c r="I426" t="s">
        <v>18</v>
      </c>
      <c r="J426">
        <v>10</v>
      </c>
      <c r="K426">
        <v>4.0999999999999996</v>
      </c>
      <c r="L426">
        <v>137.56</v>
      </c>
      <c r="M426">
        <f>(Table1[[#This Row],[unit_price]]*Table1[[#This Row],[quantity]])-(Table1[[#This Row],[unit_price]]*Table1[[#This Row],[discount]]*Table1[[#This Row],[quantity]])</f>
        <v>137.55840000000001</v>
      </c>
      <c r="N426">
        <f>DAY(Table1[[#This Row],[order_date]])</f>
        <v>1</v>
      </c>
      <c r="O426" t="str">
        <f>TEXT(Table1[[#This Row],[order_date]],"mmm")</f>
        <v>Mar</v>
      </c>
      <c r="P426">
        <f>YEAR(Table1[[#This Row],[order_date]])</f>
        <v>2023</v>
      </c>
    </row>
    <row r="427" spans="1:16" x14ac:dyDescent="0.3">
      <c r="A427">
        <v>10426</v>
      </c>
      <c r="B427" s="1">
        <v>44987</v>
      </c>
      <c r="C427">
        <v>1134</v>
      </c>
      <c r="D427" t="s">
        <v>19</v>
      </c>
      <c r="E427" t="s">
        <v>20</v>
      </c>
      <c r="F427">
        <v>2</v>
      </c>
      <c r="G427">
        <v>195.43</v>
      </c>
      <c r="H427">
        <v>0.28000000000000003</v>
      </c>
      <c r="I427" t="s">
        <v>14</v>
      </c>
      <c r="J427">
        <v>1</v>
      </c>
      <c r="K427">
        <v>3.5</v>
      </c>
      <c r="L427">
        <v>281.42</v>
      </c>
      <c r="M427">
        <f>(Table1[[#This Row],[unit_price]]*Table1[[#This Row],[quantity]])-(Table1[[#This Row],[unit_price]]*Table1[[#This Row],[discount]]*Table1[[#This Row],[quantity]])</f>
        <v>281.41919999999999</v>
      </c>
      <c r="N427">
        <f>DAY(Table1[[#This Row],[order_date]])</f>
        <v>2</v>
      </c>
      <c r="O427" t="str">
        <f>TEXT(Table1[[#This Row],[order_date]],"mmm")</f>
        <v>Mar</v>
      </c>
      <c r="P427">
        <f>YEAR(Table1[[#This Row],[order_date]])</f>
        <v>2023</v>
      </c>
    </row>
    <row r="428" spans="1:16" x14ac:dyDescent="0.3">
      <c r="A428">
        <v>10427</v>
      </c>
      <c r="B428" s="1">
        <v>44988</v>
      </c>
      <c r="C428">
        <v>1194</v>
      </c>
      <c r="D428" t="s">
        <v>12</v>
      </c>
      <c r="E428" t="s">
        <v>21</v>
      </c>
      <c r="F428">
        <v>1</v>
      </c>
      <c r="G428">
        <v>412.45</v>
      </c>
      <c r="H428">
        <v>0.27</v>
      </c>
      <c r="I428" t="s">
        <v>18</v>
      </c>
      <c r="J428">
        <v>10</v>
      </c>
      <c r="K428">
        <v>4.3</v>
      </c>
      <c r="L428">
        <v>301.08999999999997</v>
      </c>
      <c r="M428">
        <f>(Table1[[#This Row],[unit_price]]*Table1[[#This Row],[quantity]])-(Table1[[#This Row],[unit_price]]*Table1[[#This Row],[discount]]*Table1[[#This Row],[quantity]])</f>
        <v>301.08849999999995</v>
      </c>
      <c r="N428">
        <f>DAY(Table1[[#This Row],[order_date]])</f>
        <v>3</v>
      </c>
      <c r="O428" t="str">
        <f>TEXT(Table1[[#This Row],[order_date]],"mmm")</f>
        <v>Mar</v>
      </c>
      <c r="P428">
        <f>YEAR(Table1[[#This Row],[order_date]])</f>
        <v>2023</v>
      </c>
    </row>
    <row r="429" spans="1:16" x14ac:dyDescent="0.3">
      <c r="A429">
        <v>10428</v>
      </c>
      <c r="B429" s="1">
        <v>44989</v>
      </c>
      <c r="C429">
        <v>1400</v>
      </c>
      <c r="D429" t="s">
        <v>19</v>
      </c>
      <c r="E429" t="s">
        <v>20</v>
      </c>
      <c r="F429">
        <v>1</v>
      </c>
      <c r="G429">
        <v>345.78</v>
      </c>
      <c r="H429">
        <v>0.18</v>
      </c>
      <c r="I429" t="s">
        <v>18</v>
      </c>
      <c r="J429">
        <v>5</v>
      </c>
      <c r="K429">
        <v>1.7</v>
      </c>
      <c r="L429">
        <v>283.54000000000002</v>
      </c>
      <c r="M429">
        <f>(Table1[[#This Row],[unit_price]]*Table1[[#This Row],[quantity]])-(Table1[[#This Row],[unit_price]]*Table1[[#This Row],[discount]]*Table1[[#This Row],[quantity]])</f>
        <v>283.53959999999995</v>
      </c>
      <c r="N429">
        <f>DAY(Table1[[#This Row],[order_date]])</f>
        <v>4</v>
      </c>
      <c r="O429" t="str">
        <f>TEXT(Table1[[#This Row],[order_date]],"mmm")</f>
        <v>Mar</v>
      </c>
      <c r="P429">
        <f>YEAR(Table1[[#This Row],[order_date]])</f>
        <v>2023</v>
      </c>
    </row>
    <row r="430" spans="1:16" x14ac:dyDescent="0.3">
      <c r="A430">
        <v>10429</v>
      </c>
      <c r="B430" s="1">
        <v>44990</v>
      </c>
      <c r="C430">
        <v>1639</v>
      </c>
      <c r="D430" t="s">
        <v>19</v>
      </c>
      <c r="E430" t="s">
        <v>20</v>
      </c>
      <c r="F430">
        <v>5</v>
      </c>
      <c r="G430">
        <v>270.23</v>
      </c>
      <c r="H430">
        <v>0.3</v>
      </c>
      <c r="I430" t="s">
        <v>16</v>
      </c>
      <c r="J430">
        <v>3</v>
      </c>
      <c r="K430">
        <v>2.5</v>
      </c>
      <c r="L430">
        <v>945.8</v>
      </c>
      <c r="M430">
        <f>(Table1[[#This Row],[unit_price]]*Table1[[#This Row],[quantity]])-(Table1[[#This Row],[unit_price]]*Table1[[#This Row],[discount]]*Table1[[#This Row],[quantity]])</f>
        <v>945.80500000000006</v>
      </c>
      <c r="N430">
        <f>DAY(Table1[[#This Row],[order_date]])</f>
        <v>5</v>
      </c>
      <c r="O430" t="str">
        <f>TEXT(Table1[[#This Row],[order_date]],"mmm")</f>
        <v>Mar</v>
      </c>
      <c r="P430">
        <f>YEAR(Table1[[#This Row],[order_date]])</f>
        <v>2023</v>
      </c>
    </row>
    <row r="431" spans="1:16" x14ac:dyDescent="0.3">
      <c r="A431">
        <v>10430</v>
      </c>
      <c r="B431" s="1">
        <v>44991</v>
      </c>
      <c r="C431">
        <v>1032</v>
      </c>
      <c r="D431" t="s">
        <v>19</v>
      </c>
      <c r="E431" t="s">
        <v>17</v>
      </c>
      <c r="F431">
        <v>1</v>
      </c>
      <c r="G431">
        <v>330.87</v>
      </c>
      <c r="H431">
        <v>0.26</v>
      </c>
      <c r="I431" t="s">
        <v>16</v>
      </c>
      <c r="J431">
        <v>1</v>
      </c>
      <c r="K431">
        <v>2.2999999999999998</v>
      </c>
      <c r="L431">
        <v>244.84</v>
      </c>
      <c r="M431">
        <f>(Table1[[#This Row],[unit_price]]*Table1[[#This Row],[quantity]])-(Table1[[#This Row],[unit_price]]*Table1[[#This Row],[discount]]*Table1[[#This Row],[quantity]])</f>
        <v>244.84379999999999</v>
      </c>
      <c r="N431">
        <f>DAY(Table1[[#This Row],[order_date]])</f>
        <v>6</v>
      </c>
      <c r="O431" t="str">
        <f>TEXT(Table1[[#This Row],[order_date]],"mmm")</f>
        <v>Mar</v>
      </c>
      <c r="P431">
        <f>YEAR(Table1[[#This Row],[order_date]])</f>
        <v>2023</v>
      </c>
    </row>
    <row r="432" spans="1:16" x14ac:dyDescent="0.3">
      <c r="A432">
        <v>10431</v>
      </c>
      <c r="B432" s="1">
        <v>44992</v>
      </c>
      <c r="C432">
        <v>1687</v>
      </c>
      <c r="D432" t="s">
        <v>12</v>
      </c>
      <c r="E432" t="s">
        <v>20</v>
      </c>
      <c r="F432">
        <v>5</v>
      </c>
      <c r="G432">
        <v>130.59</v>
      </c>
      <c r="H432">
        <v>0.27</v>
      </c>
      <c r="I432" t="s">
        <v>16</v>
      </c>
      <c r="J432">
        <v>6</v>
      </c>
      <c r="K432">
        <v>1.8</v>
      </c>
      <c r="L432">
        <v>476.65</v>
      </c>
      <c r="M432">
        <f>(Table1[[#This Row],[unit_price]]*Table1[[#This Row],[quantity]])-(Table1[[#This Row],[unit_price]]*Table1[[#This Row],[discount]]*Table1[[#This Row],[quantity]])</f>
        <v>476.65350000000001</v>
      </c>
      <c r="N432">
        <f>DAY(Table1[[#This Row],[order_date]])</f>
        <v>7</v>
      </c>
      <c r="O432" t="str">
        <f>TEXT(Table1[[#This Row],[order_date]],"mmm")</f>
        <v>Mar</v>
      </c>
      <c r="P432">
        <f>YEAR(Table1[[#This Row],[order_date]])</f>
        <v>2023</v>
      </c>
    </row>
    <row r="433" spans="1:16" x14ac:dyDescent="0.3">
      <c r="A433">
        <v>10432</v>
      </c>
      <c r="B433" s="1">
        <v>44993</v>
      </c>
      <c r="C433">
        <v>1459</v>
      </c>
      <c r="D433" t="s">
        <v>22</v>
      </c>
      <c r="E433" t="s">
        <v>17</v>
      </c>
      <c r="F433">
        <v>3</v>
      </c>
      <c r="G433">
        <v>266.97000000000003</v>
      </c>
      <c r="H433">
        <v>0.33</v>
      </c>
      <c r="I433" t="s">
        <v>16</v>
      </c>
      <c r="J433">
        <v>3</v>
      </c>
      <c r="K433">
        <v>2.8</v>
      </c>
      <c r="L433">
        <v>536.61</v>
      </c>
      <c r="M433">
        <f>(Table1[[#This Row],[unit_price]]*Table1[[#This Row],[quantity]])-(Table1[[#This Row],[unit_price]]*Table1[[#This Row],[discount]]*Table1[[#This Row],[quantity]])</f>
        <v>536.60969999999998</v>
      </c>
      <c r="N433">
        <f>DAY(Table1[[#This Row],[order_date]])</f>
        <v>8</v>
      </c>
      <c r="O433" t="str">
        <f>TEXT(Table1[[#This Row],[order_date]],"mmm")</f>
        <v>Mar</v>
      </c>
      <c r="P433">
        <f>YEAR(Table1[[#This Row],[order_date]])</f>
        <v>2023</v>
      </c>
    </row>
    <row r="434" spans="1:16" x14ac:dyDescent="0.3">
      <c r="A434">
        <v>10433</v>
      </c>
      <c r="B434" s="1">
        <v>44994</v>
      </c>
      <c r="C434">
        <v>1954</v>
      </c>
      <c r="D434" t="s">
        <v>22</v>
      </c>
      <c r="E434" t="s">
        <v>13</v>
      </c>
      <c r="F434">
        <v>2</v>
      </c>
      <c r="G434">
        <v>308.5</v>
      </c>
      <c r="H434">
        <v>0.09</v>
      </c>
      <c r="I434" t="s">
        <v>18</v>
      </c>
      <c r="J434">
        <v>4</v>
      </c>
      <c r="K434">
        <v>4.8</v>
      </c>
      <c r="L434">
        <v>561.47</v>
      </c>
      <c r="M434">
        <f>(Table1[[#This Row],[unit_price]]*Table1[[#This Row],[quantity]])-(Table1[[#This Row],[unit_price]]*Table1[[#This Row],[discount]]*Table1[[#This Row],[quantity]])</f>
        <v>561.47</v>
      </c>
      <c r="N434">
        <f>DAY(Table1[[#This Row],[order_date]])</f>
        <v>9</v>
      </c>
      <c r="O434" t="str">
        <f>TEXT(Table1[[#This Row],[order_date]],"mmm")</f>
        <v>Mar</v>
      </c>
      <c r="P434">
        <f>YEAR(Table1[[#This Row],[order_date]])</f>
        <v>2023</v>
      </c>
    </row>
    <row r="435" spans="1:16" x14ac:dyDescent="0.3">
      <c r="A435">
        <v>10434</v>
      </c>
      <c r="B435" s="1">
        <v>44995</v>
      </c>
      <c r="C435">
        <v>1882</v>
      </c>
      <c r="D435" t="s">
        <v>19</v>
      </c>
      <c r="E435" t="s">
        <v>17</v>
      </c>
      <c r="F435">
        <v>4</v>
      </c>
      <c r="G435">
        <v>542.20000000000005</v>
      </c>
      <c r="H435">
        <v>0.09</v>
      </c>
      <c r="I435" t="s">
        <v>16</v>
      </c>
      <c r="J435">
        <v>9</v>
      </c>
      <c r="K435">
        <v>3.2</v>
      </c>
      <c r="L435">
        <v>1973.61</v>
      </c>
      <c r="M435">
        <f>(Table1[[#This Row],[unit_price]]*Table1[[#This Row],[quantity]])-(Table1[[#This Row],[unit_price]]*Table1[[#This Row],[discount]]*Table1[[#This Row],[quantity]])</f>
        <v>1973.6080000000002</v>
      </c>
      <c r="N435">
        <f>DAY(Table1[[#This Row],[order_date]])</f>
        <v>10</v>
      </c>
      <c r="O435" t="str">
        <f>TEXT(Table1[[#This Row],[order_date]],"mmm")</f>
        <v>Mar</v>
      </c>
      <c r="P435">
        <f>YEAR(Table1[[#This Row],[order_date]])</f>
        <v>2023</v>
      </c>
    </row>
    <row r="436" spans="1:16" x14ac:dyDescent="0.3">
      <c r="A436">
        <v>10435</v>
      </c>
      <c r="B436" s="1">
        <v>44996</v>
      </c>
      <c r="C436">
        <v>1469</v>
      </c>
      <c r="D436" t="s">
        <v>15</v>
      </c>
      <c r="E436" t="s">
        <v>17</v>
      </c>
      <c r="F436">
        <v>5</v>
      </c>
      <c r="G436">
        <v>167.59</v>
      </c>
      <c r="H436">
        <v>0.31</v>
      </c>
      <c r="I436" t="s">
        <v>18</v>
      </c>
      <c r="J436">
        <v>2</v>
      </c>
      <c r="K436">
        <v>2.1</v>
      </c>
      <c r="L436">
        <v>578.19000000000005</v>
      </c>
      <c r="M436">
        <f>(Table1[[#This Row],[unit_price]]*Table1[[#This Row],[quantity]])-(Table1[[#This Row],[unit_price]]*Table1[[#This Row],[discount]]*Table1[[#This Row],[quantity]])</f>
        <v>578.18550000000005</v>
      </c>
      <c r="N436">
        <f>DAY(Table1[[#This Row],[order_date]])</f>
        <v>11</v>
      </c>
      <c r="O436" t="str">
        <f>TEXT(Table1[[#This Row],[order_date]],"mmm")</f>
        <v>Mar</v>
      </c>
      <c r="P436">
        <f>YEAR(Table1[[#This Row],[order_date]])</f>
        <v>2023</v>
      </c>
    </row>
    <row r="437" spans="1:16" x14ac:dyDescent="0.3">
      <c r="A437">
        <v>10436</v>
      </c>
      <c r="B437" s="1">
        <v>44997</v>
      </c>
      <c r="C437">
        <v>1374</v>
      </c>
      <c r="D437" t="s">
        <v>15</v>
      </c>
      <c r="E437" t="s">
        <v>13</v>
      </c>
      <c r="F437">
        <v>7</v>
      </c>
      <c r="G437">
        <v>522.67999999999995</v>
      </c>
      <c r="H437">
        <v>0.27</v>
      </c>
      <c r="I437" t="s">
        <v>16</v>
      </c>
      <c r="J437">
        <v>1</v>
      </c>
      <c r="K437">
        <v>2.4</v>
      </c>
      <c r="L437">
        <v>2670.89</v>
      </c>
      <c r="M437">
        <f>(Table1[[#This Row],[unit_price]]*Table1[[#This Row],[quantity]])-(Table1[[#This Row],[unit_price]]*Table1[[#This Row],[discount]]*Table1[[#This Row],[quantity]])</f>
        <v>2670.8948</v>
      </c>
      <c r="N437">
        <f>DAY(Table1[[#This Row],[order_date]])</f>
        <v>12</v>
      </c>
      <c r="O437" t="str">
        <f>TEXT(Table1[[#This Row],[order_date]],"mmm")</f>
        <v>Mar</v>
      </c>
      <c r="P437">
        <f>YEAR(Table1[[#This Row],[order_date]])</f>
        <v>2023</v>
      </c>
    </row>
    <row r="438" spans="1:16" x14ac:dyDescent="0.3">
      <c r="A438">
        <v>10437</v>
      </c>
      <c r="B438" s="1">
        <v>44998</v>
      </c>
      <c r="C438">
        <v>1021</v>
      </c>
      <c r="D438" t="s">
        <v>22</v>
      </c>
      <c r="E438" t="s">
        <v>13</v>
      </c>
      <c r="F438">
        <v>1</v>
      </c>
      <c r="G438">
        <v>391.88</v>
      </c>
      <c r="H438">
        <v>0.32</v>
      </c>
      <c r="I438" t="s">
        <v>16</v>
      </c>
      <c r="J438">
        <v>10</v>
      </c>
      <c r="K438">
        <v>3.5</v>
      </c>
      <c r="L438">
        <v>266.48</v>
      </c>
      <c r="M438">
        <f>(Table1[[#This Row],[unit_price]]*Table1[[#This Row],[quantity]])-(Table1[[#This Row],[unit_price]]*Table1[[#This Row],[discount]]*Table1[[#This Row],[quantity]])</f>
        <v>266.47839999999997</v>
      </c>
      <c r="N438">
        <f>DAY(Table1[[#This Row],[order_date]])</f>
        <v>13</v>
      </c>
      <c r="O438" t="str">
        <f>TEXT(Table1[[#This Row],[order_date]],"mmm")</f>
        <v>Mar</v>
      </c>
      <c r="P438">
        <f>YEAR(Table1[[#This Row],[order_date]])</f>
        <v>2023</v>
      </c>
    </row>
    <row r="439" spans="1:16" x14ac:dyDescent="0.3">
      <c r="A439">
        <v>10438</v>
      </c>
      <c r="B439" s="1">
        <v>44999</v>
      </c>
      <c r="C439">
        <v>1749</v>
      </c>
      <c r="D439" t="s">
        <v>12</v>
      </c>
      <c r="E439" t="s">
        <v>21</v>
      </c>
      <c r="F439">
        <v>7</v>
      </c>
      <c r="G439">
        <v>26.9</v>
      </c>
      <c r="H439">
        <v>0.02</v>
      </c>
      <c r="I439" t="s">
        <v>16</v>
      </c>
      <c r="J439">
        <v>6</v>
      </c>
      <c r="K439">
        <v>2.4</v>
      </c>
      <c r="L439">
        <v>184.53</v>
      </c>
      <c r="M439">
        <f>(Table1[[#This Row],[unit_price]]*Table1[[#This Row],[quantity]])-(Table1[[#This Row],[unit_price]]*Table1[[#This Row],[discount]]*Table1[[#This Row],[quantity]])</f>
        <v>184.53399999999999</v>
      </c>
      <c r="N439">
        <f>DAY(Table1[[#This Row],[order_date]])</f>
        <v>14</v>
      </c>
      <c r="O439" t="str">
        <f>TEXT(Table1[[#This Row],[order_date]],"mmm")</f>
        <v>Mar</v>
      </c>
      <c r="P439">
        <f>YEAR(Table1[[#This Row],[order_date]])</f>
        <v>2023</v>
      </c>
    </row>
    <row r="440" spans="1:16" x14ac:dyDescent="0.3">
      <c r="A440">
        <v>10439</v>
      </c>
      <c r="B440" s="1">
        <v>45000</v>
      </c>
      <c r="C440">
        <v>1669</v>
      </c>
      <c r="D440" t="s">
        <v>19</v>
      </c>
      <c r="E440" t="s">
        <v>21</v>
      </c>
      <c r="F440">
        <v>5</v>
      </c>
      <c r="G440">
        <v>438.91</v>
      </c>
      <c r="H440">
        <v>0.22</v>
      </c>
      <c r="I440" t="s">
        <v>14</v>
      </c>
      <c r="J440">
        <v>1</v>
      </c>
      <c r="K440">
        <v>3.2</v>
      </c>
      <c r="L440">
        <v>1711.75</v>
      </c>
      <c r="M440">
        <f>(Table1[[#This Row],[unit_price]]*Table1[[#This Row],[quantity]])-(Table1[[#This Row],[unit_price]]*Table1[[#This Row],[discount]]*Table1[[#This Row],[quantity]])</f>
        <v>1711.7490000000003</v>
      </c>
      <c r="N440">
        <f>DAY(Table1[[#This Row],[order_date]])</f>
        <v>15</v>
      </c>
      <c r="O440" t="str">
        <f>TEXT(Table1[[#This Row],[order_date]],"mmm")</f>
        <v>Mar</v>
      </c>
      <c r="P440">
        <f>YEAR(Table1[[#This Row],[order_date]])</f>
        <v>2023</v>
      </c>
    </row>
    <row r="441" spans="1:16" x14ac:dyDescent="0.3">
      <c r="A441">
        <v>10440</v>
      </c>
      <c r="B441" s="1">
        <v>45001</v>
      </c>
      <c r="C441">
        <v>1037</v>
      </c>
      <c r="D441" t="s">
        <v>22</v>
      </c>
      <c r="E441" t="s">
        <v>21</v>
      </c>
      <c r="F441">
        <v>6</v>
      </c>
      <c r="G441">
        <v>35.799999999999997</v>
      </c>
      <c r="H441">
        <v>0.05</v>
      </c>
      <c r="I441" t="s">
        <v>16</v>
      </c>
      <c r="J441">
        <v>1</v>
      </c>
      <c r="K441">
        <v>2.1</v>
      </c>
      <c r="L441">
        <v>204.06</v>
      </c>
      <c r="M441">
        <f>(Table1[[#This Row],[unit_price]]*Table1[[#This Row],[quantity]])-(Table1[[#This Row],[unit_price]]*Table1[[#This Row],[discount]]*Table1[[#This Row],[quantity]])</f>
        <v>204.05999999999997</v>
      </c>
      <c r="N441">
        <f>DAY(Table1[[#This Row],[order_date]])</f>
        <v>16</v>
      </c>
      <c r="O441" t="str">
        <f>TEXT(Table1[[#This Row],[order_date]],"mmm")</f>
        <v>Mar</v>
      </c>
      <c r="P441">
        <f>YEAR(Table1[[#This Row],[order_date]])</f>
        <v>2023</v>
      </c>
    </row>
    <row r="442" spans="1:16" x14ac:dyDescent="0.3">
      <c r="A442">
        <v>10441</v>
      </c>
      <c r="B442" s="1">
        <v>45002</v>
      </c>
      <c r="C442">
        <v>1229</v>
      </c>
      <c r="D442" t="s">
        <v>19</v>
      </c>
      <c r="E442" t="s">
        <v>21</v>
      </c>
      <c r="F442">
        <v>5</v>
      </c>
      <c r="G442">
        <v>598.47</v>
      </c>
      <c r="H442">
        <v>0.18</v>
      </c>
      <c r="I442" t="s">
        <v>16</v>
      </c>
      <c r="J442">
        <v>7</v>
      </c>
      <c r="K442">
        <v>2.4</v>
      </c>
      <c r="L442">
        <v>2453.73</v>
      </c>
      <c r="M442">
        <f>(Table1[[#This Row],[unit_price]]*Table1[[#This Row],[quantity]])-(Table1[[#This Row],[unit_price]]*Table1[[#This Row],[discount]]*Table1[[#This Row],[quantity]])</f>
        <v>2453.7270000000003</v>
      </c>
      <c r="N442">
        <f>DAY(Table1[[#This Row],[order_date]])</f>
        <v>17</v>
      </c>
      <c r="O442" t="str">
        <f>TEXT(Table1[[#This Row],[order_date]],"mmm")</f>
        <v>Mar</v>
      </c>
      <c r="P442">
        <f>YEAR(Table1[[#This Row],[order_date]])</f>
        <v>2023</v>
      </c>
    </row>
    <row r="443" spans="1:16" x14ac:dyDescent="0.3">
      <c r="A443">
        <v>10442</v>
      </c>
      <c r="B443" s="1">
        <v>45003</v>
      </c>
      <c r="C443">
        <v>1364</v>
      </c>
      <c r="D443" t="s">
        <v>15</v>
      </c>
      <c r="E443" t="s">
        <v>17</v>
      </c>
      <c r="F443">
        <v>1</v>
      </c>
      <c r="G443">
        <v>525.49</v>
      </c>
      <c r="H443">
        <v>0.05</v>
      </c>
      <c r="I443" t="s">
        <v>14</v>
      </c>
      <c r="J443">
        <v>2</v>
      </c>
      <c r="K443">
        <v>3.8</v>
      </c>
      <c r="L443">
        <v>499.22</v>
      </c>
      <c r="M443">
        <f>(Table1[[#This Row],[unit_price]]*Table1[[#This Row],[quantity]])-(Table1[[#This Row],[unit_price]]*Table1[[#This Row],[discount]]*Table1[[#This Row],[quantity]])</f>
        <v>499.21550000000002</v>
      </c>
      <c r="N443">
        <f>DAY(Table1[[#This Row],[order_date]])</f>
        <v>18</v>
      </c>
      <c r="O443" t="str">
        <f>TEXT(Table1[[#This Row],[order_date]],"mmm")</f>
        <v>Mar</v>
      </c>
      <c r="P443">
        <f>YEAR(Table1[[#This Row],[order_date]])</f>
        <v>2023</v>
      </c>
    </row>
    <row r="444" spans="1:16" x14ac:dyDescent="0.3">
      <c r="A444">
        <v>10443</v>
      </c>
      <c r="B444" s="1">
        <v>45004</v>
      </c>
      <c r="C444">
        <v>1562</v>
      </c>
      <c r="D444" t="s">
        <v>19</v>
      </c>
      <c r="E444" t="s">
        <v>17</v>
      </c>
      <c r="F444">
        <v>6</v>
      </c>
      <c r="G444">
        <v>188.95</v>
      </c>
      <c r="H444">
        <v>0.04</v>
      </c>
      <c r="I444" t="s">
        <v>14</v>
      </c>
      <c r="J444">
        <v>4</v>
      </c>
      <c r="K444">
        <v>3.3</v>
      </c>
      <c r="L444">
        <v>1088.3499999999999</v>
      </c>
      <c r="M444">
        <f>(Table1[[#This Row],[unit_price]]*Table1[[#This Row],[quantity]])-(Table1[[#This Row],[unit_price]]*Table1[[#This Row],[discount]]*Table1[[#This Row],[quantity]])</f>
        <v>1088.3519999999999</v>
      </c>
      <c r="N444">
        <f>DAY(Table1[[#This Row],[order_date]])</f>
        <v>19</v>
      </c>
      <c r="O444" t="str">
        <f>TEXT(Table1[[#This Row],[order_date]],"mmm")</f>
        <v>Mar</v>
      </c>
      <c r="P444">
        <f>YEAR(Table1[[#This Row],[order_date]])</f>
        <v>2023</v>
      </c>
    </row>
    <row r="445" spans="1:16" x14ac:dyDescent="0.3">
      <c r="A445">
        <v>10444</v>
      </c>
      <c r="B445" s="1">
        <v>45005</v>
      </c>
      <c r="C445">
        <v>1437</v>
      </c>
      <c r="D445" t="s">
        <v>19</v>
      </c>
      <c r="E445" t="s">
        <v>21</v>
      </c>
      <c r="F445">
        <v>6</v>
      </c>
      <c r="G445">
        <v>165.59</v>
      </c>
      <c r="H445">
        <v>0</v>
      </c>
      <c r="I445" t="s">
        <v>18</v>
      </c>
      <c r="J445">
        <v>4</v>
      </c>
      <c r="K445">
        <v>1.4</v>
      </c>
      <c r="L445">
        <v>993.54</v>
      </c>
      <c r="M445">
        <f>(Table1[[#This Row],[unit_price]]*Table1[[#This Row],[quantity]])-(Table1[[#This Row],[unit_price]]*Table1[[#This Row],[discount]]*Table1[[#This Row],[quantity]])</f>
        <v>993.54</v>
      </c>
      <c r="N445">
        <f>DAY(Table1[[#This Row],[order_date]])</f>
        <v>20</v>
      </c>
      <c r="O445" t="str">
        <f>TEXT(Table1[[#This Row],[order_date]],"mmm")</f>
        <v>Mar</v>
      </c>
      <c r="P445">
        <f>YEAR(Table1[[#This Row],[order_date]])</f>
        <v>2023</v>
      </c>
    </row>
    <row r="446" spans="1:16" x14ac:dyDescent="0.3">
      <c r="A446">
        <v>10445</v>
      </c>
      <c r="B446" s="1">
        <v>45006</v>
      </c>
      <c r="C446">
        <v>1775</v>
      </c>
      <c r="D446" t="s">
        <v>15</v>
      </c>
      <c r="E446" t="s">
        <v>20</v>
      </c>
      <c r="F446">
        <v>1</v>
      </c>
      <c r="G446">
        <v>238.14</v>
      </c>
      <c r="H446">
        <v>0.22</v>
      </c>
      <c r="I446" t="s">
        <v>16</v>
      </c>
      <c r="J446">
        <v>2</v>
      </c>
      <c r="K446">
        <v>4.9000000000000004</v>
      </c>
      <c r="L446">
        <v>185.75</v>
      </c>
      <c r="M446">
        <f>(Table1[[#This Row],[unit_price]]*Table1[[#This Row],[quantity]])-(Table1[[#This Row],[unit_price]]*Table1[[#This Row],[discount]]*Table1[[#This Row],[quantity]])</f>
        <v>185.74919999999997</v>
      </c>
      <c r="N446">
        <f>DAY(Table1[[#This Row],[order_date]])</f>
        <v>21</v>
      </c>
      <c r="O446" t="str">
        <f>TEXT(Table1[[#This Row],[order_date]],"mmm")</f>
        <v>Mar</v>
      </c>
      <c r="P446">
        <f>YEAR(Table1[[#This Row],[order_date]])</f>
        <v>2023</v>
      </c>
    </row>
    <row r="447" spans="1:16" x14ac:dyDescent="0.3">
      <c r="A447">
        <v>10446</v>
      </c>
      <c r="B447" s="1">
        <v>45007</v>
      </c>
      <c r="C447">
        <v>1282</v>
      </c>
      <c r="D447" t="s">
        <v>15</v>
      </c>
      <c r="E447" t="s">
        <v>21</v>
      </c>
      <c r="F447">
        <v>6</v>
      </c>
      <c r="G447">
        <v>223.36</v>
      </c>
      <c r="H447">
        <v>0.13</v>
      </c>
      <c r="I447" t="s">
        <v>16</v>
      </c>
      <c r="J447">
        <v>6</v>
      </c>
      <c r="K447">
        <v>1.2</v>
      </c>
      <c r="L447">
        <v>1165.94</v>
      </c>
      <c r="M447">
        <f>(Table1[[#This Row],[unit_price]]*Table1[[#This Row],[quantity]])-(Table1[[#This Row],[unit_price]]*Table1[[#This Row],[discount]]*Table1[[#This Row],[quantity]])</f>
        <v>1165.9392</v>
      </c>
      <c r="N447">
        <f>DAY(Table1[[#This Row],[order_date]])</f>
        <v>22</v>
      </c>
      <c r="O447" t="str">
        <f>TEXT(Table1[[#This Row],[order_date]],"mmm")</f>
        <v>Mar</v>
      </c>
      <c r="P447">
        <f>YEAR(Table1[[#This Row],[order_date]])</f>
        <v>2023</v>
      </c>
    </row>
    <row r="448" spans="1:16" x14ac:dyDescent="0.3">
      <c r="A448">
        <v>10447</v>
      </c>
      <c r="B448" s="1">
        <v>45008</v>
      </c>
      <c r="C448">
        <v>1026</v>
      </c>
      <c r="D448" t="s">
        <v>19</v>
      </c>
      <c r="E448" t="s">
        <v>20</v>
      </c>
      <c r="F448">
        <v>2</v>
      </c>
      <c r="G448">
        <v>232.82</v>
      </c>
      <c r="H448">
        <v>0.04</v>
      </c>
      <c r="I448" t="s">
        <v>14</v>
      </c>
      <c r="J448">
        <v>10</v>
      </c>
      <c r="K448">
        <v>1.3</v>
      </c>
      <c r="L448">
        <v>447.01</v>
      </c>
      <c r="M448">
        <f>(Table1[[#This Row],[unit_price]]*Table1[[#This Row],[quantity]])-(Table1[[#This Row],[unit_price]]*Table1[[#This Row],[discount]]*Table1[[#This Row],[quantity]])</f>
        <v>447.01439999999997</v>
      </c>
      <c r="N448">
        <f>DAY(Table1[[#This Row],[order_date]])</f>
        <v>23</v>
      </c>
      <c r="O448" t="str">
        <f>TEXT(Table1[[#This Row],[order_date]],"mmm")</f>
        <v>Mar</v>
      </c>
      <c r="P448">
        <f>YEAR(Table1[[#This Row],[order_date]])</f>
        <v>2023</v>
      </c>
    </row>
    <row r="449" spans="1:16" x14ac:dyDescent="0.3">
      <c r="A449">
        <v>10448</v>
      </c>
      <c r="B449" s="1">
        <v>45009</v>
      </c>
      <c r="C449">
        <v>1225</v>
      </c>
      <c r="D449" t="s">
        <v>22</v>
      </c>
      <c r="E449" t="s">
        <v>13</v>
      </c>
      <c r="F449">
        <v>4</v>
      </c>
      <c r="G449">
        <v>201.19</v>
      </c>
      <c r="H449">
        <v>0.11</v>
      </c>
      <c r="I449" t="s">
        <v>14</v>
      </c>
      <c r="J449">
        <v>2</v>
      </c>
      <c r="K449">
        <v>3.8</v>
      </c>
      <c r="L449">
        <v>716.24</v>
      </c>
      <c r="M449">
        <f>(Table1[[#This Row],[unit_price]]*Table1[[#This Row],[quantity]])-(Table1[[#This Row],[unit_price]]*Table1[[#This Row],[discount]]*Table1[[#This Row],[quantity]])</f>
        <v>716.2364</v>
      </c>
      <c r="N449">
        <f>DAY(Table1[[#This Row],[order_date]])</f>
        <v>24</v>
      </c>
      <c r="O449" t="str">
        <f>TEXT(Table1[[#This Row],[order_date]],"mmm")</f>
        <v>Mar</v>
      </c>
      <c r="P449">
        <f>YEAR(Table1[[#This Row],[order_date]])</f>
        <v>2023</v>
      </c>
    </row>
    <row r="450" spans="1:16" x14ac:dyDescent="0.3">
      <c r="A450">
        <v>10449</v>
      </c>
      <c r="B450" s="1">
        <v>45010</v>
      </c>
      <c r="C450">
        <v>1276</v>
      </c>
      <c r="D450" t="s">
        <v>15</v>
      </c>
      <c r="E450" t="s">
        <v>17</v>
      </c>
      <c r="F450">
        <v>7</v>
      </c>
      <c r="G450">
        <v>378.36</v>
      </c>
      <c r="H450">
        <v>0.06</v>
      </c>
      <c r="I450" t="s">
        <v>18</v>
      </c>
      <c r="J450">
        <v>8</v>
      </c>
      <c r="K450">
        <v>3.8</v>
      </c>
      <c r="L450">
        <v>2489.61</v>
      </c>
      <c r="M450">
        <f>(Table1[[#This Row],[unit_price]]*Table1[[#This Row],[quantity]])-(Table1[[#This Row],[unit_price]]*Table1[[#This Row],[discount]]*Table1[[#This Row],[quantity]])</f>
        <v>2489.6088</v>
      </c>
      <c r="N450">
        <f>DAY(Table1[[#This Row],[order_date]])</f>
        <v>25</v>
      </c>
      <c r="O450" t="str">
        <f>TEXT(Table1[[#This Row],[order_date]],"mmm")</f>
        <v>Mar</v>
      </c>
      <c r="P450">
        <f>YEAR(Table1[[#This Row],[order_date]])</f>
        <v>2023</v>
      </c>
    </row>
    <row r="451" spans="1:16" x14ac:dyDescent="0.3">
      <c r="A451">
        <v>10450</v>
      </c>
      <c r="B451" s="1">
        <v>45011</v>
      </c>
      <c r="C451">
        <v>1797</v>
      </c>
      <c r="D451" t="s">
        <v>19</v>
      </c>
      <c r="E451" t="s">
        <v>17</v>
      </c>
      <c r="F451">
        <v>2</v>
      </c>
      <c r="G451">
        <v>111.09</v>
      </c>
      <c r="H451">
        <v>0.33</v>
      </c>
      <c r="I451" t="s">
        <v>16</v>
      </c>
      <c r="J451">
        <v>4</v>
      </c>
      <c r="K451">
        <v>1.1000000000000001</v>
      </c>
      <c r="L451">
        <v>148.86000000000001</v>
      </c>
      <c r="M451">
        <f>(Table1[[#This Row],[unit_price]]*Table1[[#This Row],[quantity]])-(Table1[[#This Row],[unit_price]]*Table1[[#This Row],[discount]]*Table1[[#This Row],[quantity]])</f>
        <v>148.86060000000001</v>
      </c>
      <c r="N451">
        <f>DAY(Table1[[#This Row],[order_date]])</f>
        <v>26</v>
      </c>
      <c r="O451" t="str">
        <f>TEXT(Table1[[#This Row],[order_date]],"mmm")</f>
        <v>Mar</v>
      </c>
      <c r="P451">
        <f>YEAR(Table1[[#This Row],[order_date]])</f>
        <v>2023</v>
      </c>
    </row>
    <row r="452" spans="1:16" x14ac:dyDescent="0.3">
      <c r="A452">
        <v>10451</v>
      </c>
      <c r="B452" s="1">
        <v>45012</v>
      </c>
      <c r="C452">
        <v>1608</v>
      </c>
      <c r="D452" t="s">
        <v>22</v>
      </c>
      <c r="E452" t="s">
        <v>20</v>
      </c>
      <c r="F452">
        <v>2</v>
      </c>
      <c r="G452">
        <v>509.9</v>
      </c>
      <c r="H452">
        <v>0.11</v>
      </c>
      <c r="I452" t="s">
        <v>16</v>
      </c>
      <c r="J452">
        <v>1</v>
      </c>
      <c r="K452">
        <v>3.6</v>
      </c>
      <c r="L452">
        <v>907.62</v>
      </c>
      <c r="M452">
        <f>(Table1[[#This Row],[unit_price]]*Table1[[#This Row],[quantity]])-(Table1[[#This Row],[unit_price]]*Table1[[#This Row],[discount]]*Table1[[#This Row],[quantity]])</f>
        <v>907.62199999999996</v>
      </c>
      <c r="N452">
        <f>DAY(Table1[[#This Row],[order_date]])</f>
        <v>27</v>
      </c>
      <c r="O452" t="str">
        <f>TEXT(Table1[[#This Row],[order_date]],"mmm")</f>
        <v>Mar</v>
      </c>
      <c r="P452">
        <f>YEAR(Table1[[#This Row],[order_date]])</f>
        <v>2023</v>
      </c>
    </row>
    <row r="453" spans="1:16" x14ac:dyDescent="0.3">
      <c r="A453">
        <v>10452</v>
      </c>
      <c r="B453" s="1">
        <v>45013</v>
      </c>
      <c r="C453">
        <v>1283</v>
      </c>
      <c r="D453" t="s">
        <v>19</v>
      </c>
      <c r="E453" t="s">
        <v>21</v>
      </c>
      <c r="F453">
        <v>1</v>
      </c>
      <c r="G453">
        <v>490.26</v>
      </c>
      <c r="H453">
        <v>0.12</v>
      </c>
      <c r="I453" t="s">
        <v>16</v>
      </c>
      <c r="J453">
        <v>7</v>
      </c>
      <c r="K453">
        <v>1.1000000000000001</v>
      </c>
      <c r="L453">
        <v>431.43</v>
      </c>
      <c r="M453">
        <f>(Table1[[#This Row],[unit_price]]*Table1[[#This Row],[quantity]])-(Table1[[#This Row],[unit_price]]*Table1[[#This Row],[discount]]*Table1[[#This Row],[quantity]])</f>
        <v>431.42880000000002</v>
      </c>
      <c r="N453">
        <f>DAY(Table1[[#This Row],[order_date]])</f>
        <v>28</v>
      </c>
      <c r="O453" t="str">
        <f>TEXT(Table1[[#This Row],[order_date]],"mmm")</f>
        <v>Mar</v>
      </c>
      <c r="P453">
        <f>YEAR(Table1[[#This Row],[order_date]])</f>
        <v>2023</v>
      </c>
    </row>
    <row r="454" spans="1:16" x14ac:dyDescent="0.3">
      <c r="A454">
        <v>10453</v>
      </c>
      <c r="B454" s="1">
        <v>45014</v>
      </c>
      <c r="C454">
        <v>1878</v>
      </c>
      <c r="D454" t="s">
        <v>15</v>
      </c>
      <c r="E454" t="s">
        <v>17</v>
      </c>
      <c r="F454">
        <v>1</v>
      </c>
      <c r="G454">
        <v>293.74</v>
      </c>
      <c r="H454">
        <v>0.28999999999999998</v>
      </c>
      <c r="I454" t="s">
        <v>18</v>
      </c>
      <c r="J454">
        <v>6</v>
      </c>
      <c r="K454">
        <v>4.8</v>
      </c>
      <c r="L454">
        <v>208.56</v>
      </c>
      <c r="M454">
        <f>(Table1[[#This Row],[unit_price]]*Table1[[#This Row],[quantity]])-(Table1[[#This Row],[unit_price]]*Table1[[#This Row],[discount]]*Table1[[#This Row],[quantity]])</f>
        <v>208.55540000000002</v>
      </c>
      <c r="N454">
        <f>DAY(Table1[[#This Row],[order_date]])</f>
        <v>29</v>
      </c>
      <c r="O454" t="str">
        <f>TEXT(Table1[[#This Row],[order_date]],"mmm")</f>
        <v>Mar</v>
      </c>
      <c r="P454">
        <f>YEAR(Table1[[#This Row],[order_date]])</f>
        <v>2023</v>
      </c>
    </row>
    <row r="455" spans="1:16" x14ac:dyDescent="0.3">
      <c r="A455">
        <v>10454</v>
      </c>
      <c r="B455" s="1">
        <v>45015</v>
      </c>
      <c r="C455">
        <v>1959</v>
      </c>
      <c r="D455" t="s">
        <v>22</v>
      </c>
      <c r="E455" t="s">
        <v>20</v>
      </c>
      <c r="F455">
        <v>7</v>
      </c>
      <c r="G455">
        <v>513.85</v>
      </c>
      <c r="H455">
        <v>0.23</v>
      </c>
      <c r="I455" t="s">
        <v>16</v>
      </c>
      <c r="J455">
        <v>6</v>
      </c>
      <c r="K455">
        <v>3.8</v>
      </c>
      <c r="L455">
        <v>2769.65</v>
      </c>
      <c r="M455">
        <f>(Table1[[#This Row],[unit_price]]*Table1[[#This Row],[quantity]])-(Table1[[#This Row],[unit_price]]*Table1[[#This Row],[discount]]*Table1[[#This Row],[quantity]])</f>
        <v>2769.6515000000004</v>
      </c>
      <c r="N455">
        <f>DAY(Table1[[#This Row],[order_date]])</f>
        <v>30</v>
      </c>
      <c r="O455" t="str">
        <f>TEXT(Table1[[#This Row],[order_date]],"mmm")</f>
        <v>Mar</v>
      </c>
      <c r="P455">
        <f>YEAR(Table1[[#This Row],[order_date]])</f>
        <v>2023</v>
      </c>
    </row>
    <row r="456" spans="1:16" x14ac:dyDescent="0.3">
      <c r="A456">
        <v>10455</v>
      </c>
      <c r="B456" s="1">
        <v>45016</v>
      </c>
      <c r="C456">
        <v>1480</v>
      </c>
      <c r="D456" t="s">
        <v>19</v>
      </c>
      <c r="E456" t="s">
        <v>13</v>
      </c>
      <c r="F456">
        <v>4</v>
      </c>
      <c r="G456">
        <v>159.58000000000001</v>
      </c>
      <c r="H456">
        <v>0.25</v>
      </c>
      <c r="I456" t="s">
        <v>14</v>
      </c>
      <c r="J456">
        <v>11</v>
      </c>
      <c r="K456">
        <v>1.7</v>
      </c>
      <c r="L456">
        <v>478.74</v>
      </c>
      <c r="M456">
        <f>(Table1[[#This Row],[unit_price]]*Table1[[#This Row],[quantity]])-(Table1[[#This Row],[unit_price]]*Table1[[#This Row],[discount]]*Table1[[#This Row],[quantity]])</f>
        <v>478.74</v>
      </c>
      <c r="N456">
        <f>DAY(Table1[[#This Row],[order_date]])</f>
        <v>31</v>
      </c>
      <c r="O456" t="str">
        <f>TEXT(Table1[[#This Row],[order_date]],"mmm")</f>
        <v>Mar</v>
      </c>
      <c r="P456">
        <f>YEAR(Table1[[#This Row],[order_date]])</f>
        <v>2023</v>
      </c>
    </row>
    <row r="457" spans="1:16" x14ac:dyDescent="0.3">
      <c r="A457">
        <v>10456</v>
      </c>
      <c r="B457" s="1">
        <v>45017</v>
      </c>
      <c r="C457">
        <v>1452</v>
      </c>
      <c r="D457" t="s">
        <v>19</v>
      </c>
      <c r="E457" t="s">
        <v>13</v>
      </c>
      <c r="F457">
        <v>5</v>
      </c>
      <c r="G457">
        <v>25.28</v>
      </c>
      <c r="H457">
        <v>0.22</v>
      </c>
      <c r="I457" t="s">
        <v>16</v>
      </c>
      <c r="J457">
        <v>3</v>
      </c>
      <c r="K457">
        <v>1.6</v>
      </c>
      <c r="L457">
        <v>98.59</v>
      </c>
      <c r="M457">
        <f>(Table1[[#This Row],[unit_price]]*Table1[[#This Row],[quantity]])-(Table1[[#This Row],[unit_price]]*Table1[[#This Row],[discount]]*Table1[[#This Row],[quantity]])</f>
        <v>98.592000000000013</v>
      </c>
      <c r="N457">
        <f>DAY(Table1[[#This Row],[order_date]])</f>
        <v>1</v>
      </c>
      <c r="O457" t="str">
        <f>TEXT(Table1[[#This Row],[order_date]],"mmm")</f>
        <v>Apr</v>
      </c>
      <c r="P457">
        <f>YEAR(Table1[[#This Row],[order_date]])</f>
        <v>2023</v>
      </c>
    </row>
    <row r="458" spans="1:16" x14ac:dyDescent="0.3">
      <c r="A458">
        <v>10457</v>
      </c>
      <c r="B458" s="1">
        <v>45018</v>
      </c>
      <c r="C458">
        <v>1828</v>
      </c>
      <c r="D458" t="s">
        <v>15</v>
      </c>
      <c r="E458" t="s">
        <v>17</v>
      </c>
      <c r="F458">
        <v>2</v>
      </c>
      <c r="G458">
        <v>377.24</v>
      </c>
      <c r="H458">
        <v>0.33</v>
      </c>
      <c r="I458" t="s">
        <v>18</v>
      </c>
      <c r="J458">
        <v>10</v>
      </c>
      <c r="K458">
        <v>3.3</v>
      </c>
      <c r="L458">
        <v>505.5</v>
      </c>
      <c r="M458">
        <f>(Table1[[#This Row],[unit_price]]*Table1[[#This Row],[quantity]])-(Table1[[#This Row],[unit_price]]*Table1[[#This Row],[discount]]*Table1[[#This Row],[quantity]])</f>
        <v>505.5016</v>
      </c>
      <c r="N458">
        <f>DAY(Table1[[#This Row],[order_date]])</f>
        <v>2</v>
      </c>
      <c r="O458" t="str">
        <f>TEXT(Table1[[#This Row],[order_date]],"mmm")</f>
        <v>Apr</v>
      </c>
      <c r="P458">
        <f>YEAR(Table1[[#This Row],[order_date]])</f>
        <v>2023</v>
      </c>
    </row>
    <row r="459" spans="1:16" x14ac:dyDescent="0.3">
      <c r="A459">
        <v>10458</v>
      </c>
      <c r="B459" s="1">
        <v>45019</v>
      </c>
      <c r="C459">
        <v>1815</v>
      </c>
      <c r="D459" t="s">
        <v>12</v>
      </c>
      <c r="E459" t="s">
        <v>21</v>
      </c>
      <c r="F459">
        <v>6</v>
      </c>
      <c r="G459">
        <v>282.88</v>
      </c>
      <c r="H459">
        <v>7.0000000000000007E-2</v>
      </c>
      <c r="I459" t="s">
        <v>16</v>
      </c>
      <c r="J459">
        <v>7</v>
      </c>
      <c r="K459">
        <v>3.5</v>
      </c>
      <c r="L459">
        <v>1578.47</v>
      </c>
      <c r="M459">
        <f>(Table1[[#This Row],[unit_price]]*Table1[[#This Row],[quantity]])-(Table1[[#This Row],[unit_price]]*Table1[[#This Row],[discount]]*Table1[[#This Row],[quantity]])</f>
        <v>1578.4703999999999</v>
      </c>
      <c r="N459">
        <f>DAY(Table1[[#This Row],[order_date]])</f>
        <v>3</v>
      </c>
      <c r="O459" t="str">
        <f>TEXT(Table1[[#This Row],[order_date]],"mmm")</f>
        <v>Apr</v>
      </c>
      <c r="P459">
        <f>YEAR(Table1[[#This Row],[order_date]])</f>
        <v>2023</v>
      </c>
    </row>
    <row r="460" spans="1:16" x14ac:dyDescent="0.3">
      <c r="A460">
        <v>10459</v>
      </c>
      <c r="B460" s="1">
        <v>45020</v>
      </c>
      <c r="C460">
        <v>1658</v>
      </c>
      <c r="D460" t="s">
        <v>15</v>
      </c>
      <c r="E460" t="s">
        <v>20</v>
      </c>
      <c r="F460">
        <v>4</v>
      </c>
      <c r="G460">
        <v>346.79</v>
      </c>
      <c r="H460">
        <v>0.35</v>
      </c>
      <c r="I460" t="s">
        <v>18</v>
      </c>
      <c r="J460">
        <v>6</v>
      </c>
      <c r="K460">
        <v>4.3</v>
      </c>
      <c r="L460">
        <v>901.65</v>
      </c>
      <c r="M460">
        <f>(Table1[[#This Row],[unit_price]]*Table1[[#This Row],[quantity]])-(Table1[[#This Row],[unit_price]]*Table1[[#This Row],[discount]]*Table1[[#This Row],[quantity]])</f>
        <v>901.65400000000011</v>
      </c>
      <c r="N460">
        <f>DAY(Table1[[#This Row],[order_date]])</f>
        <v>4</v>
      </c>
      <c r="O460" t="str">
        <f>TEXT(Table1[[#This Row],[order_date]],"mmm")</f>
        <v>Apr</v>
      </c>
      <c r="P460">
        <f>YEAR(Table1[[#This Row],[order_date]])</f>
        <v>2023</v>
      </c>
    </row>
    <row r="461" spans="1:16" x14ac:dyDescent="0.3">
      <c r="A461">
        <v>10460</v>
      </c>
      <c r="B461" s="1">
        <v>45021</v>
      </c>
      <c r="C461">
        <v>1515</v>
      </c>
      <c r="D461" t="s">
        <v>22</v>
      </c>
      <c r="E461" t="s">
        <v>17</v>
      </c>
      <c r="F461">
        <v>2</v>
      </c>
      <c r="G461">
        <v>541.11</v>
      </c>
      <c r="H461">
        <v>0.28999999999999998</v>
      </c>
      <c r="I461" t="s">
        <v>16</v>
      </c>
      <c r="J461">
        <v>10</v>
      </c>
      <c r="K461">
        <v>4.5999999999999996</v>
      </c>
      <c r="L461">
        <v>768.38</v>
      </c>
      <c r="M461">
        <f>(Table1[[#This Row],[unit_price]]*Table1[[#This Row],[quantity]])-(Table1[[#This Row],[unit_price]]*Table1[[#This Row],[discount]]*Table1[[#This Row],[quantity]])</f>
        <v>768.37620000000004</v>
      </c>
      <c r="N461">
        <f>DAY(Table1[[#This Row],[order_date]])</f>
        <v>5</v>
      </c>
      <c r="O461" t="str">
        <f>TEXT(Table1[[#This Row],[order_date]],"mmm")</f>
        <v>Apr</v>
      </c>
      <c r="P461">
        <f>YEAR(Table1[[#This Row],[order_date]])</f>
        <v>2023</v>
      </c>
    </row>
    <row r="462" spans="1:16" x14ac:dyDescent="0.3">
      <c r="A462">
        <v>10461</v>
      </c>
      <c r="B462" s="1">
        <v>45022</v>
      </c>
      <c r="C462">
        <v>1546</v>
      </c>
      <c r="D462" t="s">
        <v>15</v>
      </c>
      <c r="E462" t="s">
        <v>13</v>
      </c>
      <c r="F462">
        <v>5</v>
      </c>
      <c r="G462">
        <v>582.41</v>
      </c>
      <c r="H462">
        <v>0.21</v>
      </c>
      <c r="I462" t="s">
        <v>18</v>
      </c>
      <c r="J462">
        <v>10</v>
      </c>
      <c r="K462">
        <v>2.6</v>
      </c>
      <c r="L462">
        <v>2300.52</v>
      </c>
      <c r="M462">
        <f>(Table1[[#This Row],[unit_price]]*Table1[[#This Row],[quantity]])-(Table1[[#This Row],[unit_price]]*Table1[[#This Row],[discount]]*Table1[[#This Row],[quantity]])</f>
        <v>2300.5194999999999</v>
      </c>
      <c r="N462">
        <f>DAY(Table1[[#This Row],[order_date]])</f>
        <v>6</v>
      </c>
      <c r="O462" t="str">
        <f>TEXT(Table1[[#This Row],[order_date]],"mmm")</f>
        <v>Apr</v>
      </c>
      <c r="P462">
        <f>YEAR(Table1[[#This Row],[order_date]])</f>
        <v>2023</v>
      </c>
    </row>
    <row r="463" spans="1:16" x14ac:dyDescent="0.3">
      <c r="A463">
        <v>10462</v>
      </c>
      <c r="B463" s="1">
        <v>45023</v>
      </c>
      <c r="C463">
        <v>1191</v>
      </c>
      <c r="D463" t="s">
        <v>19</v>
      </c>
      <c r="E463" t="s">
        <v>21</v>
      </c>
      <c r="F463">
        <v>6</v>
      </c>
      <c r="G463">
        <v>386.16</v>
      </c>
      <c r="H463">
        <v>0.23</v>
      </c>
      <c r="I463" t="s">
        <v>18</v>
      </c>
      <c r="J463">
        <v>9</v>
      </c>
      <c r="K463">
        <v>4.4000000000000004</v>
      </c>
      <c r="L463">
        <v>1784.06</v>
      </c>
      <c r="M463">
        <f>(Table1[[#This Row],[unit_price]]*Table1[[#This Row],[quantity]])-(Table1[[#This Row],[unit_price]]*Table1[[#This Row],[discount]]*Table1[[#This Row],[quantity]])</f>
        <v>1784.0591999999999</v>
      </c>
      <c r="N463">
        <f>DAY(Table1[[#This Row],[order_date]])</f>
        <v>7</v>
      </c>
      <c r="O463" t="str">
        <f>TEXT(Table1[[#This Row],[order_date]],"mmm")</f>
        <v>Apr</v>
      </c>
      <c r="P463">
        <f>YEAR(Table1[[#This Row],[order_date]])</f>
        <v>2023</v>
      </c>
    </row>
    <row r="464" spans="1:16" x14ac:dyDescent="0.3">
      <c r="A464">
        <v>10463</v>
      </c>
      <c r="B464" s="1">
        <v>45024</v>
      </c>
      <c r="C464">
        <v>1048</v>
      </c>
      <c r="D464" t="s">
        <v>15</v>
      </c>
      <c r="E464" t="s">
        <v>20</v>
      </c>
      <c r="F464">
        <v>2</v>
      </c>
      <c r="G464">
        <v>461.97</v>
      </c>
      <c r="H464">
        <v>0.23</v>
      </c>
      <c r="I464" t="s">
        <v>16</v>
      </c>
      <c r="J464">
        <v>3</v>
      </c>
      <c r="K464">
        <v>3.2</v>
      </c>
      <c r="L464">
        <v>711.43</v>
      </c>
      <c r="M464">
        <f>(Table1[[#This Row],[unit_price]]*Table1[[#This Row],[quantity]])-(Table1[[#This Row],[unit_price]]*Table1[[#This Row],[discount]]*Table1[[#This Row],[quantity]])</f>
        <v>711.43380000000002</v>
      </c>
      <c r="N464">
        <f>DAY(Table1[[#This Row],[order_date]])</f>
        <v>8</v>
      </c>
      <c r="O464" t="str">
        <f>TEXT(Table1[[#This Row],[order_date]],"mmm")</f>
        <v>Apr</v>
      </c>
      <c r="P464">
        <f>YEAR(Table1[[#This Row],[order_date]])</f>
        <v>2023</v>
      </c>
    </row>
    <row r="465" spans="1:16" x14ac:dyDescent="0.3">
      <c r="A465">
        <v>10464</v>
      </c>
      <c r="B465" s="1">
        <v>45025</v>
      </c>
      <c r="C465">
        <v>1511</v>
      </c>
      <c r="D465" t="s">
        <v>22</v>
      </c>
      <c r="E465" t="s">
        <v>17</v>
      </c>
      <c r="F465">
        <v>3</v>
      </c>
      <c r="G465">
        <v>64.03</v>
      </c>
      <c r="H465">
        <v>0.02</v>
      </c>
      <c r="I465" t="s">
        <v>14</v>
      </c>
      <c r="J465">
        <v>3</v>
      </c>
      <c r="K465">
        <v>2.9</v>
      </c>
      <c r="L465">
        <v>188.25</v>
      </c>
      <c r="M465">
        <f>(Table1[[#This Row],[unit_price]]*Table1[[#This Row],[quantity]])-(Table1[[#This Row],[unit_price]]*Table1[[#This Row],[discount]]*Table1[[#This Row],[quantity]])</f>
        <v>188.2482</v>
      </c>
      <c r="N465">
        <f>DAY(Table1[[#This Row],[order_date]])</f>
        <v>9</v>
      </c>
      <c r="O465" t="str">
        <f>TEXT(Table1[[#This Row],[order_date]],"mmm")</f>
        <v>Apr</v>
      </c>
      <c r="P465">
        <f>YEAR(Table1[[#This Row],[order_date]])</f>
        <v>2023</v>
      </c>
    </row>
    <row r="466" spans="1:16" x14ac:dyDescent="0.3">
      <c r="A466">
        <v>10465</v>
      </c>
      <c r="B466" s="1">
        <v>45026</v>
      </c>
      <c r="C466">
        <v>1016</v>
      </c>
      <c r="D466" t="s">
        <v>19</v>
      </c>
      <c r="E466" t="s">
        <v>20</v>
      </c>
      <c r="F466">
        <v>7</v>
      </c>
      <c r="G466">
        <v>109.02</v>
      </c>
      <c r="H466">
        <v>0.08</v>
      </c>
      <c r="I466" t="s">
        <v>18</v>
      </c>
      <c r="J466">
        <v>4</v>
      </c>
      <c r="K466">
        <v>3.8</v>
      </c>
      <c r="L466">
        <v>702.09</v>
      </c>
      <c r="M466">
        <f>(Table1[[#This Row],[unit_price]]*Table1[[#This Row],[quantity]])-(Table1[[#This Row],[unit_price]]*Table1[[#This Row],[discount]]*Table1[[#This Row],[quantity]])</f>
        <v>702.08879999999999</v>
      </c>
      <c r="N466">
        <f>DAY(Table1[[#This Row],[order_date]])</f>
        <v>10</v>
      </c>
      <c r="O466" t="str">
        <f>TEXT(Table1[[#This Row],[order_date]],"mmm")</f>
        <v>Apr</v>
      </c>
      <c r="P466">
        <f>YEAR(Table1[[#This Row],[order_date]])</f>
        <v>2023</v>
      </c>
    </row>
    <row r="467" spans="1:16" x14ac:dyDescent="0.3">
      <c r="A467">
        <v>10466</v>
      </c>
      <c r="B467" s="1">
        <v>45027</v>
      </c>
      <c r="C467">
        <v>1171</v>
      </c>
      <c r="D467" t="s">
        <v>19</v>
      </c>
      <c r="E467" t="s">
        <v>21</v>
      </c>
      <c r="F467">
        <v>4</v>
      </c>
      <c r="G467">
        <v>443.92</v>
      </c>
      <c r="H467">
        <v>0.34</v>
      </c>
      <c r="I467" t="s">
        <v>14</v>
      </c>
      <c r="J467">
        <v>3</v>
      </c>
      <c r="K467">
        <v>1.4</v>
      </c>
      <c r="L467">
        <v>1171.95</v>
      </c>
      <c r="M467">
        <f>(Table1[[#This Row],[unit_price]]*Table1[[#This Row],[quantity]])-(Table1[[#This Row],[unit_price]]*Table1[[#This Row],[discount]]*Table1[[#This Row],[quantity]])</f>
        <v>1171.9488000000001</v>
      </c>
      <c r="N467">
        <f>DAY(Table1[[#This Row],[order_date]])</f>
        <v>11</v>
      </c>
      <c r="O467" t="str">
        <f>TEXT(Table1[[#This Row],[order_date]],"mmm")</f>
        <v>Apr</v>
      </c>
      <c r="P467">
        <f>YEAR(Table1[[#This Row],[order_date]])</f>
        <v>2023</v>
      </c>
    </row>
    <row r="468" spans="1:16" x14ac:dyDescent="0.3">
      <c r="A468">
        <v>10467</v>
      </c>
      <c r="B468" s="1">
        <v>45028</v>
      </c>
      <c r="C468">
        <v>1219</v>
      </c>
      <c r="D468" t="s">
        <v>19</v>
      </c>
      <c r="E468" t="s">
        <v>21</v>
      </c>
      <c r="F468">
        <v>7</v>
      </c>
      <c r="G468">
        <v>267.35000000000002</v>
      </c>
      <c r="H468">
        <v>0.19</v>
      </c>
      <c r="I468" t="s">
        <v>14</v>
      </c>
      <c r="J468">
        <v>4</v>
      </c>
      <c r="K468">
        <v>2.1</v>
      </c>
      <c r="L468">
        <v>1515.87</v>
      </c>
      <c r="M468">
        <f>(Table1[[#This Row],[unit_price]]*Table1[[#This Row],[quantity]])-(Table1[[#This Row],[unit_price]]*Table1[[#This Row],[discount]]*Table1[[#This Row],[quantity]])</f>
        <v>1515.8745000000004</v>
      </c>
      <c r="N468">
        <f>DAY(Table1[[#This Row],[order_date]])</f>
        <v>12</v>
      </c>
      <c r="O468" t="str">
        <f>TEXT(Table1[[#This Row],[order_date]],"mmm")</f>
        <v>Apr</v>
      </c>
      <c r="P468">
        <f>YEAR(Table1[[#This Row],[order_date]])</f>
        <v>2023</v>
      </c>
    </row>
    <row r="469" spans="1:16" x14ac:dyDescent="0.3">
      <c r="A469">
        <v>10468</v>
      </c>
      <c r="B469" s="1">
        <v>45029</v>
      </c>
      <c r="C469">
        <v>1157</v>
      </c>
      <c r="D469" t="s">
        <v>15</v>
      </c>
      <c r="E469" t="s">
        <v>13</v>
      </c>
      <c r="F469">
        <v>1</v>
      </c>
      <c r="G469">
        <v>275.89</v>
      </c>
      <c r="H469">
        <v>0.13</v>
      </c>
      <c r="I469" t="s">
        <v>14</v>
      </c>
      <c r="J469">
        <v>6</v>
      </c>
      <c r="K469">
        <v>4.3</v>
      </c>
      <c r="L469">
        <v>240.02</v>
      </c>
      <c r="M469">
        <f>(Table1[[#This Row],[unit_price]]*Table1[[#This Row],[quantity]])-(Table1[[#This Row],[unit_price]]*Table1[[#This Row],[discount]]*Table1[[#This Row],[quantity]])</f>
        <v>240.02429999999998</v>
      </c>
      <c r="N469">
        <f>DAY(Table1[[#This Row],[order_date]])</f>
        <v>13</v>
      </c>
      <c r="O469" t="str">
        <f>TEXT(Table1[[#This Row],[order_date]],"mmm")</f>
        <v>Apr</v>
      </c>
      <c r="P469">
        <f>YEAR(Table1[[#This Row],[order_date]])</f>
        <v>2023</v>
      </c>
    </row>
    <row r="470" spans="1:16" x14ac:dyDescent="0.3">
      <c r="A470">
        <v>10469</v>
      </c>
      <c r="B470" s="1">
        <v>45030</v>
      </c>
      <c r="C470">
        <v>1476</v>
      </c>
      <c r="D470" t="s">
        <v>12</v>
      </c>
      <c r="E470" t="s">
        <v>21</v>
      </c>
      <c r="F470">
        <v>2</v>
      </c>
      <c r="G470">
        <v>195.54</v>
      </c>
      <c r="H470">
        <v>0.27</v>
      </c>
      <c r="I470" t="s">
        <v>16</v>
      </c>
      <c r="J470">
        <v>1</v>
      </c>
      <c r="K470">
        <v>3</v>
      </c>
      <c r="L470">
        <v>285.49</v>
      </c>
      <c r="M470">
        <f>(Table1[[#This Row],[unit_price]]*Table1[[#This Row],[quantity]])-(Table1[[#This Row],[unit_price]]*Table1[[#This Row],[discount]]*Table1[[#This Row],[quantity]])</f>
        <v>285.48839999999996</v>
      </c>
      <c r="N470">
        <f>DAY(Table1[[#This Row],[order_date]])</f>
        <v>14</v>
      </c>
      <c r="O470" t="str">
        <f>TEXT(Table1[[#This Row],[order_date]],"mmm")</f>
        <v>Apr</v>
      </c>
      <c r="P470">
        <f>YEAR(Table1[[#This Row],[order_date]])</f>
        <v>2023</v>
      </c>
    </row>
    <row r="471" spans="1:16" x14ac:dyDescent="0.3">
      <c r="A471">
        <v>10470</v>
      </c>
      <c r="B471" s="1">
        <v>45031</v>
      </c>
      <c r="C471">
        <v>1045</v>
      </c>
      <c r="D471" t="s">
        <v>19</v>
      </c>
      <c r="E471" t="s">
        <v>17</v>
      </c>
      <c r="F471">
        <v>6</v>
      </c>
      <c r="G471">
        <v>370.3</v>
      </c>
      <c r="H471">
        <v>0.18</v>
      </c>
      <c r="I471" t="s">
        <v>16</v>
      </c>
      <c r="J471">
        <v>2</v>
      </c>
      <c r="K471">
        <v>4.5999999999999996</v>
      </c>
      <c r="L471">
        <v>1821.88</v>
      </c>
      <c r="M471">
        <f>(Table1[[#This Row],[unit_price]]*Table1[[#This Row],[quantity]])-(Table1[[#This Row],[unit_price]]*Table1[[#This Row],[discount]]*Table1[[#This Row],[quantity]])</f>
        <v>1821.8760000000002</v>
      </c>
      <c r="N471">
        <f>DAY(Table1[[#This Row],[order_date]])</f>
        <v>15</v>
      </c>
      <c r="O471" t="str">
        <f>TEXT(Table1[[#This Row],[order_date]],"mmm")</f>
        <v>Apr</v>
      </c>
      <c r="P471">
        <f>YEAR(Table1[[#This Row],[order_date]])</f>
        <v>2023</v>
      </c>
    </row>
    <row r="472" spans="1:16" x14ac:dyDescent="0.3">
      <c r="A472">
        <v>10471</v>
      </c>
      <c r="B472" s="1">
        <v>45032</v>
      </c>
      <c r="C472">
        <v>1372</v>
      </c>
      <c r="D472" t="s">
        <v>15</v>
      </c>
      <c r="E472" t="s">
        <v>20</v>
      </c>
      <c r="F472">
        <v>6</v>
      </c>
      <c r="G472">
        <v>123.32</v>
      </c>
      <c r="H472">
        <v>0</v>
      </c>
      <c r="I472" t="s">
        <v>14</v>
      </c>
      <c r="J472">
        <v>10</v>
      </c>
      <c r="K472">
        <v>1.4</v>
      </c>
      <c r="L472">
        <v>739.92</v>
      </c>
      <c r="M472">
        <f>(Table1[[#This Row],[unit_price]]*Table1[[#This Row],[quantity]])-(Table1[[#This Row],[unit_price]]*Table1[[#This Row],[discount]]*Table1[[#This Row],[quantity]])</f>
        <v>739.92</v>
      </c>
      <c r="N472">
        <f>DAY(Table1[[#This Row],[order_date]])</f>
        <v>16</v>
      </c>
      <c r="O472" t="str">
        <f>TEXT(Table1[[#This Row],[order_date]],"mmm")</f>
        <v>Apr</v>
      </c>
      <c r="P472">
        <f>YEAR(Table1[[#This Row],[order_date]])</f>
        <v>2023</v>
      </c>
    </row>
    <row r="473" spans="1:16" x14ac:dyDescent="0.3">
      <c r="A473">
        <v>10472</v>
      </c>
      <c r="B473" s="1">
        <v>45033</v>
      </c>
      <c r="C473">
        <v>1517</v>
      </c>
      <c r="D473" t="s">
        <v>19</v>
      </c>
      <c r="E473" t="s">
        <v>21</v>
      </c>
      <c r="F473">
        <v>4</v>
      </c>
      <c r="G473">
        <v>381.75</v>
      </c>
      <c r="H473">
        <v>0.26</v>
      </c>
      <c r="I473" t="s">
        <v>18</v>
      </c>
      <c r="J473">
        <v>6</v>
      </c>
      <c r="K473">
        <v>2.2999999999999998</v>
      </c>
      <c r="L473">
        <v>1129.98</v>
      </c>
      <c r="M473">
        <f>(Table1[[#This Row],[unit_price]]*Table1[[#This Row],[quantity]])-(Table1[[#This Row],[unit_price]]*Table1[[#This Row],[discount]]*Table1[[#This Row],[quantity]])</f>
        <v>1129.98</v>
      </c>
      <c r="N473">
        <f>DAY(Table1[[#This Row],[order_date]])</f>
        <v>17</v>
      </c>
      <c r="O473" t="str">
        <f>TEXT(Table1[[#This Row],[order_date]],"mmm")</f>
        <v>Apr</v>
      </c>
      <c r="P473">
        <f>YEAR(Table1[[#This Row],[order_date]])</f>
        <v>2023</v>
      </c>
    </row>
    <row r="474" spans="1:16" x14ac:dyDescent="0.3">
      <c r="A474">
        <v>10473</v>
      </c>
      <c r="B474" s="1">
        <v>45034</v>
      </c>
      <c r="C474">
        <v>1098</v>
      </c>
      <c r="D474" t="s">
        <v>12</v>
      </c>
      <c r="E474" t="s">
        <v>21</v>
      </c>
      <c r="F474">
        <v>4</v>
      </c>
      <c r="G474">
        <v>116.67</v>
      </c>
      <c r="H474">
        <v>0.26</v>
      </c>
      <c r="I474" t="s">
        <v>16</v>
      </c>
      <c r="J474">
        <v>6</v>
      </c>
      <c r="K474">
        <v>2.4</v>
      </c>
      <c r="L474">
        <v>345.34</v>
      </c>
      <c r="M474">
        <f>(Table1[[#This Row],[unit_price]]*Table1[[#This Row],[quantity]])-(Table1[[#This Row],[unit_price]]*Table1[[#This Row],[discount]]*Table1[[#This Row],[quantity]])</f>
        <v>345.34320000000002</v>
      </c>
      <c r="N474">
        <f>DAY(Table1[[#This Row],[order_date]])</f>
        <v>18</v>
      </c>
      <c r="O474" t="str">
        <f>TEXT(Table1[[#This Row],[order_date]],"mmm")</f>
        <v>Apr</v>
      </c>
      <c r="P474">
        <f>YEAR(Table1[[#This Row],[order_date]])</f>
        <v>2023</v>
      </c>
    </row>
    <row r="475" spans="1:16" x14ac:dyDescent="0.3">
      <c r="A475">
        <v>10474</v>
      </c>
      <c r="B475" s="1">
        <v>45035</v>
      </c>
      <c r="C475">
        <v>1891</v>
      </c>
      <c r="D475" t="s">
        <v>19</v>
      </c>
      <c r="E475" t="s">
        <v>17</v>
      </c>
      <c r="F475">
        <v>7</v>
      </c>
      <c r="G475">
        <v>52.34</v>
      </c>
      <c r="H475">
        <v>0.06</v>
      </c>
      <c r="I475" t="s">
        <v>18</v>
      </c>
      <c r="J475">
        <v>1</v>
      </c>
      <c r="K475">
        <v>2.7</v>
      </c>
      <c r="L475">
        <v>344.4</v>
      </c>
      <c r="M475">
        <f>(Table1[[#This Row],[unit_price]]*Table1[[#This Row],[quantity]])-(Table1[[#This Row],[unit_price]]*Table1[[#This Row],[discount]]*Table1[[#This Row],[quantity]])</f>
        <v>344.3972</v>
      </c>
      <c r="N475">
        <f>DAY(Table1[[#This Row],[order_date]])</f>
        <v>19</v>
      </c>
      <c r="O475" t="str">
        <f>TEXT(Table1[[#This Row],[order_date]],"mmm")</f>
        <v>Apr</v>
      </c>
      <c r="P475">
        <f>YEAR(Table1[[#This Row],[order_date]])</f>
        <v>2023</v>
      </c>
    </row>
    <row r="476" spans="1:16" x14ac:dyDescent="0.3">
      <c r="A476">
        <v>10475</v>
      </c>
      <c r="B476" s="1">
        <v>45036</v>
      </c>
      <c r="C476">
        <v>1744</v>
      </c>
      <c r="D476" t="s">
        <v>15</v>
      </c>
      <c r="E476" t="s">
        <v>20</v>
      </c>
      <c r="F476">
        <v>6</v>
      </c>
      <c r="G476">
        <v>208.26</v>
      </c>
      <c r="H476">
        <v>0.33</v>
      </c>
      <c r="I476" t="s">
        <v>16</v>
      </c>
      <c r="J476">
        <v>6</v>
      </c>
      <c r="K476">
        <v>4.9000000000000004</v>
      </c>
      <c r="L476">
        <v>837.21</v>
      </c>
      <c r="M476">
        <f>(Table1[[#This Row],[unit_price]]*Table1[[#This Row],[quantity]])-(Table1[[#This Row],[unit_price]]*Table1[[#This Row],[discount]]*Table1[[#This Row],[quantity]])</f>
        <v>837.20519999999988</v>
      </c>
      <c r="N476">
        <f>DAY(Table1[[#This Row],[order_date]])</f>
        <v>20</v>
      </c>
      <c r="O476" t="str">
        <f>TEXT(Table1[[#This Row],[order_date]],"mmm")</f>
        <v>Apr</v>
      </c>
      <c r="P476">
        <f>YEAR(Table1[[#This Row],[order_date]])</f>
        <v>2023</v>
      </c>
    </row>
    <row r="477" spans="1:16" x14ac:dyDescent="0.3">
      <c r="A477">
        <v>10476</v>
      </c>
      <c r="B477" s="1">
        <v>45037</v>
      </c>
      <c r="C477">
        <v>1036</v>
      </c>
      <c r="D477" t="s">
        <v>22</v>
      </c>
      <c r="E477" t="s">
        <v>20</v>
      </c>
      <c r="F477">
        <v>6</v>
      </c>
      <c r="G477">
        <v>150.22</v>
      </c>
      <c r="H477">
        <v>0.08</v>
      </c>
      <c r="I477" t="s">
        <v>18</v>
      </c>
      <c r="J477">
        <v>11</v>
      </c>
      <c r="K477">
        <v>2.2000000000000002</v>
      </c>
      <c r="L477">
        <v>829.21</v>
      </c>
      <c r="M477">
        <f>(Table1[[#This Row],[unit_price]]*Table1[[#This Row],[quantity]])-(Table1[[#This Row],[unit_price]]*Table1[[#This Row],[discount]]*Table1[[#This Row],[quantity]])</f>
        <v>829.21439999999996</v>
      </c>
      <c r="N477">
        <f>DAY(Table1[[#This Row],[order_date]])</f>
        <v>21</v>
      </c>
      <c r="O477" t="str">
        <f>TEXT(Table1[[#This Row],[order_date]],"mmm")</f>
        <v>Apr</v>
      </c>
      <c r="P477">
        <f>YEAR(Table1[[#This Row],[order_date]])</f>
        <v>2023</v>
      </c>
    </row>
    <row r="478" spans="1:16" x14ac:dyDescent="0.3">
      <c r="A478">
        <v>10477</v>
      </c>
      <c r="B478" s="1">
        <v>45038</v>
      </c>
      <c r="C478">
        <v>1279</v>
      </c>
      <c r="D478" t="s">
        <v>22</v>
      </c>
      <c r="E478" t="s">
        <v>13</v>
      </c>
      <c r="F478">
        <v>6</v>
      </c>
      <c r="G478">
        <v>535.05999999999995</v>
      </c>
      <c r="H478">
        <v>0.16</v>
      </c>
      <c r="I478" t="s">
        <v>14</v>
      </c>
      <c r="J478">
        <v>9</v>
      </c>
      <c r="K478">
        <v>3.1</v>
      </c>
      <c r="L478">
        <v>2696.7</v>
      </c>
      <c r="M478">
        <f>(Table1[[#This Row],[unit_price]]*Table1[[#This Row],[quantity]])-(Table1[[#This Row],[unit_price]]*Table1[[#This Row],[discount]]*Table1[[#This Row],[quantity]])</f>
        <v>2696.7023999999997</v>
      </c>
      <c r="N478">
        <f>DAY(Table1[[#This Row],[order_date]])</f>
        <v>22</v>
      </c>
      <c r="O478" t="str">
        <f>TEXT(Table1[[#This Row],[order_date]],"mmm")</f>
        <v>Apr</v>
      </c>
      <c r="P478">
        <f>YEAR(Table1[[#This Row],[order_date]])</f>
        <v>2023</v>
      </c>
    </row>
    <row r="479" spans="1:16" x14ac:dyDescent="0.3">
      <c r="A479">
        <v>10478</v>
      </c>
      <c r="B479" s="1">
        <v>45039</v>
      </c>
      <c r="C479">
        <v>1348</v>
      </c>
      <c r="D479" t="s">
        <v>15</v>
      </c>
      <c r="E479" t="s">
        <v>13</v>
      </c>
      <c r="F479">
        <v>2</v>
      </c>
      <c r="G479">
        <v>47.15</v>
      </c>
      <c r="H479">
        <v>0.04</v>
      </c>
      <c r="I479" t="s">
        <v>18</v>
      </c>
      <c r="J479">
        <v>8</v>
      </c>
      <c r="K479">
        <v>3.1</v>
      </c>
      <c r="L479">
        <v>90.53</v>
      </c>
      <c r="M479">
        <f>(Table1[[#This Row],[unit_price]]*Table1[[#This Row],[quantity]])-(Table1[[#This Row],[unit_price]]*Table1[[#This Row],[discount]]*Table1[[#This Row],[quantity]])</f>
        <v>90.527999999999992</v>
      </c>
      <c r="N479">
        <f>DAY(Table1[[#This Row],[order_date]])</f>
        <v>23</v>
      </c>
      <c r="O479" t="str">
        <f>TEXT(Table1[[#This Row],[order_date]],"mmm")</f>
        <v>Apr</v>
      </c>
      <c r="P479">
        <f>YEAR(Table1[[#This Row],[order_date]])</f>
        <v>2023</v>
      </c>
    </row>
    <row r="480" spans="1:16" x14ac:dyDescent="0.3">
      <c r="A480">
        <v>10479</v>
      </c>
      <c r="B480" s="1">
        <v>45040</v>
      </c>
      <c r="C480">
        <v>1496</v>
      </c>
      <c r="D480" t="s">
        <v>19</v>
      </c>
      <c r="E480" t="s">
        <v>20</v>
      </c>
      <c r="F480">
        <v>6</v>
      </c>
      <c r="G480">
        <v>118.32</v>
      </c>
      <c r="H480">
        <v>0.21</v>
      </c>
      <c r="I480" t="s">
        <v>16</v>
      </c>
      <c r="J480">
        <v>10</v>
      </c>
      <c r="K480">
        <v>4.0999999999999996</v>
      </c>
      <c r="L480">
        <v>560.84</v>
      </c>
      <c r="M480">
        <f>(Table1[[#This Row],[unit_price]]*Table1[[#This Row],[quantity]])-(Table1[[#This Row],[unit_price]]*Table1[[#This Row],[discount]]*Table1[[#This Row],[quantity]])</f>
        <v>560.83680000000004</v>
      </c>
      <c r="N480">
        <f>DAY(Table1[[#This Row],[order_date]])</f>
        <v>24</v>
      </c>
      <c r="O480" t="str">
        <f>TEXT(Table1[[#This Row],[order_date]],"mmm")</f>
        <v>Apr</v>
      </c>
      <c r="P480">
        <f>YEAR(Table1[[#This Row],[order_date]])</f>
        <v>2023</v>
      </c>
    </row>
    <row r="481" spans="1:16" x14ac:dyDescent="0.3">
      <c r="A481">
        <v>10480</v>
      </c>
      <c r="B481" s="1">
        <v>45041</v>
      </c>
      <c r="C481">
        <v>1301</v>
      </c>
      <c r="D481" t="s">
        <v>15</v>
      </c>
      <c r="E481" t="s">
        <v>17</v>
      </c>
      <c r="F481">
        <v>1</v>
      </c>
      <c r="G481">
        <v>336</v>
      </c>
      <c r="H481">
        <v>0.13</v>
      </c>
      <c r="I481" t="s">
        <v>16</v>
      </c>
      <c r="J481">
        <v>5</v>
      </c>
      <c r="K481">
        <v>3.1</v>
      </c>
      <c r="L481">
        <v>292.32</v>
      </c>
      <c r="M481">
        <f>(Table1[[#This Row],[unit_price]]*Table1[[#This Row],[quantity]])-(Table1[[#This Row],[unit_price]]*Table1[[#This Row],[discount]]*Table1[[#This Row],[quantity]])</f>
        <v>292.32</v>
      </c>
      <c r="N481">
        <f>DAY(Table1[[#This Row],[order_date]])</f>
        <v>25</v>
      </c>
      <c r="O481" t="str">
        <f>TEXT(Table1[[#This Row],[order_date]],"mmm")</f>
        <v>Apr</v>
      </c>
      <c r="P481">
        <f>YEAR(Table1[[#This Row],[order_date]])</f>
        <v>2023</v>
      </c>
    </row>
    <row r="482" spans="1:16" x14ac:dyDescent="0.3">
      <c r="A482">
        <v>10481</v>
      </c>
      <c r="B482" s="1">
        <v>45042</v>
      </c>
      <c r="C482">
        <v>1180</v>
      </c>
      <c r="D482" t="s">
        <v>19</v>
      </c>
      <c r="E482" t="s">
        <v>17</v>
      </c>
      <c r="F482">
        <v>6</v>
      </c>
      <c r="G482">
        <v>296.42</v>
      </c>
      <c r="H482">
        <v>0.12</v>
      </c>
      <c r="I482" t="s">
        <v>16</v>
      </c>
      <c r="J482">
        <v>4</v>
      </c>
      <c r="K482">
        <v>3.4</v>
      </c>
      <c r="L482">
        <v>1565.1</v>
      </c>
      <c r="M482">
        <f>(Table1[[#This Row],[unit_price]]*Table1[[#This Row],[quantity]])-(Table1[[#This Row],[unit_price]]*Table1[[#This Row],[discount]]*Table1[[#This Row],[quantity]])</f>
        <v>1565.0976000000001</v>
      </c>
      <c r="N482">
        <f>DAY(Table1[[#This Row],[order_date]])</f>
        <v>26</v>
      </c>
      <c r="O482" t="str">
        <f>TEXT(Table1[[#This Row],[order_date]],"mmm")</f>
        <v>Apr</v>
      </c>
      <c r="P482">
        <f>YEAR(Table1[[#This Row],[order_date]])</f>
        <v>2023</v>
      </c>
    </row>
    <row r="483" spans="1:16" x14ac:dyDescent="0.3">
      <c r="A483">
        <v>10482</v>
      </c>
      <c r="B483" s="1">
        <v>45043</v>
      </c>
      <c r="C483">
        <v>1606</v>
      </c>
      <c r="D483" t="s">
        <v>19</v>
      </c>
      <c r="E483" t="s">
        <v>13</v>
      </c>
      <c r="F483">
        <v>1</v>
      </c>
      <c r="G483">
        <v>41.82</v>
      </c>
      <c r="H483">
        <v>0.28999999999999998</v>
      </c>
      <c r="I483" t="s">
        <v>18</v>
      </c>
      <c r="J483">
        <v>6</v>
      </c>
      <c r="K483">
        <v>4</v>
      </c>
      <c r="L483">
        <v>29.69</v>
      </c>
      <c r="M483">
        <f>(Table1[[#This Row],[unit_price]]*Table1[[#This Row],[quantity]])-(Table1[[#This Row],[unit_price]]*Table1[[#This Row],[discount]]*Table1[[#This Row],[quantity]])</f>
        <v>29.6922</v>
      </c>
      <c r="N483">
        <f>DAY(Table1[[#This Row],[order_date]])</f>
        <v>27</v>
      </c>
      <c r="O483" t="str">
        <f>TEXT(Table1[[#This Row],[order_date]],"mmm")</f>
        <v>Apr</v>
      </c>
      <c r="P483">
        <f>YEAR(Table1[[#This Row],[order_date]])</f>
        <v>2023</v>
      </c>
    </row>
    <row r="484" spans="1:16" x14ac:dyDescent="0.3">
      <c r="A484">
        <v>10483</v>
      </c>
      <c r="B484" s="1">
        <v>45044</v>
      </c>
      <c r="C484">
        <v>1098</v>
      </c>
      <c r="D484" t="s">
        <v>15</v>
      </c>
      <c r="E484" t="s">
        <v>21</v>
      </c>
      <c r="F484">
        <v>2</v>
      </c>
      <c r="G484">
        <v>19.239999999999998</v>
      </c>
      <c r="H484">
        <v>0</v>
      </c>
      <c r="I484" t="s">
        <v>16</v>
      </c>
      <c r="J484">
        <v>11</v>
      </c>
      <c r="K484">
        <v>1.4</v>
      </c>
      <c r="L484">
        <v>38.479999999999997</v>
      </c>
      <c r="M484">
        <f>(Table1[[#This Row],[unit_price]]*Table1[[#This Row],[quantity]])-(Table1[[#This Row],[unit_price]]*Table1[[#This Row],[discount]]*Table1[[#This Row],[quantity]])</f>
        <v>38.479999999999997</v>
      </c>
      <c r="N484">
        <f>DAY(Table1[[#This Row],[order_date]])</f>
        <v>28</v>
      </c>
      <c r="O484" t="str">
        <f>TEXT(Table1[[#This Row],[order_date]],"mmm")</f>
        <v>Apr</v>
      </c>
      <c r="P484">
        <f>YEAR(Table1[[#This Row],[order_date]])</f>
        <v>2023</v>
      </c>
    </row>
    <row r="485" spans="1:16" x14ac:dyDescent="0.3">
      <c r="A485">
        <v>10484</v>
      </c>
      <c r="B485" s="1">
        <v>45045</v>
      </c>
      <c r="C485">
        <v>1699</v>
      </c>
      <c r="D485" t="s">
        <v>19</v>
      </c>
      <c r="E485" t="s">
        <v>17</v>
      </c>
      <c r="F485">
        <v>4</v>
      </c>
      <c r="G485">
        <v>593.02</v>
      </c>
      <c r="H485">
        <v>0.28000000000000003</v>
      </c>
      <c r="I485" t="s">
        <v>18</v>
      </c>
      <c r="J485">
        <v>5</v>
      </c>
      <c r="K485">
        <v>4.9000000000000004</v>
      </c>
      <c r="L485">
        <v>1707.9</v>
      </c>
      <c r="M485">
        <f>(Table1[[#This Row],[unit_price]]*Table1[[#This Row],[quantity]])-(Table1[[#This Row],[unit_price]]*Table1[[#This Row],[discount]]*Table1[[#This Row],[quantity]])</f>
        <v>1707.8975999999998</v>
      </c>
      <c r="N485">
        <f>DAY(Table1[[#This Row],[order_date]])</f>
        <v>29</v>
      </c>
      <c r="O485" t="str">
        <f>TEXT(Table1[[#This Row],[order_date]],"mmm")</f>
        <v>Apr</v>
      </c>
      <c r="P485">
        <f>YEAR(Table1[[#This Row],[order_date]])</f>
        <v>2023</v>
      </c>
    </row>
    <row r="486" spans="1:16" x14ac:dyDescent="0.3">
      <c r="A486">
        <v>10485</v>
      </c>
      <c r="B486" s="1">
        <v>45046</v>
      </c>
      <c r="C486">
        <v>1992</v>
      </c>
      <c r="D486" t="s">
        <v>19</v>
      </c>
      <c r="E486" t="s">
        <v>21</v>
      </c>
      <c r="F486">
        <v>1</v>
      </c>
      <c r="G486">
        <v>400.42</v>
      </c>
      <c r="H486">
        <v>0.2</v>
      </c>
      <c r="I486" t="s">
        <v>18</v>
      </c>
      <c r="J486">
        <v>6</v>
      </c>
      <c r="K486">
        <v>4.4000000000000004</v>
      </c>
      <c r="L486">
        <v>320.33999999999997</v>
      </c>
      <c r="M486">
        <f>(Table1[[#This Row],[unit_price]]*Table1[[#This Row],[quantity]])-(Table1[[#This Row],[unit_price]]*Table1[[#This Row],[discount]]*Table1[[#This Row],[quantity]])</f>
        <v>320.33600000000001</v>
      </c>
      <c r="N486">
        <f>DAY(Table1[[#This Row],[order_date]])</f>
        <v>30</v>
      </c>
      <c r="O486" t="str">
        <f>TEXT(Table1[[#This Row],[order_date]],"mmm")</f>
        <v>Apr</v>
      </c>
      <c r="P486">
        <f>YEAR(Table1[[#This Row],[order_date]])</f>
        <v>2023</v>
      </c>
    </row>
    <row r="487" spans="1:16" x14ac:dyDescent="0.3">
      <c r="A487">
        <v>10486</v>
      </c>
      <c r="B487" s="1">
        <v>45047</v>
      </c>
      <c r="C487">
        <v>1115</v>
      </c>
      <c r="D487" t="s">
        <v>22</v>
      </c>
      <c r="E487" t="s">
        <v>17</v>
      </c>
      <c r="F487">
        <v>2</v>
      </c>
      <c r="G487">
        <v>228.76</v>
      </c>
      <c r="H487">
        <v>0.35</v>
      </c>
      <c r="I487" t="s">
        <v>18</v>
      </c>
      <c r="J487">
        <v>10</v>
      </c>
      <c r="K487">
        <v>2.6</v>
      </c>
      <c r="L487">
        <v>297.39</v>
      </c>
      <c r="M487">
        <f>(Table1[[#This Row],[unit_price]]*Table1[[#This Row],[quantity]])-(Table1[[#This Row],[unit_price]]*Table1[[#This Row],[discount]]*Table1[[#This Row],[quantity]])</f>
        <v>297.38800000000003</v>
      </c>
      <c r="N487">
        <f>DAY(Table1[[#This Row],[order_date]])</f>
        <v>1</v>
      </c>
      <c r="O487" t="str">
        <f>TEXT(Table1[[#This Row],[order_date]],"mmm")</f>
        <v>May</v>
      </c>
      <c r="P487">
        <f>YEAR(Table1[[#This Row],[order_date]])</f>
        <v>2023</v>
      </c>
    </row>
    <row r="488" spans="1:16" x14ac:dyDescent="0.3">
      <c r="A488">
        <v>10487</v>
      </c>
      <c r="B488" s="1">
        <v>45048</v>
      </c>
      <c r="C488">
        <v>1190</v>
      </c>
      <c r="D488" t="s">
        <v>12</v>
      </c>
      <c r="E488" t="s">
        <v>20</v>
      </c>
      <c r="F488">
        <v>6</v>
      </c>
      <c r="G488">
        <v>290.2</v>
      </c>
      <c r="H488">
        <v>0.21</v>
      </c>
      <c r="I488" t="s">
        <v>14</v>
      </c>
      <c r="J488">
        <v>11</v>
      </c>
      <c r="K488">
        <v>3.9</v>
      </c>
      <c r="L488">
        <v>1375.55</v>
      </c>
      <c r="M488">
        <f>(Table1[[#This Row],[unit_price]]*Table1[[#This Row],[quantity]])-(Table1[[#This Row],[unit_price]]*Table1[[#This Row],[discount]]*Table1[[#This Row],[quantity]])</f>
        <v>1375.5479999999998</v>
      </c>
      <c r="N488">
        <f>DAY(Table1[[#This Row],[order_date]])</f>
        <v>2</v>
      </c>
      <c r="O488" t="str">
        <f>TEXT(Table1[[#This Row],[order_date]],"mmm")</f>
        <v>May</v>
      </c>
      <c r="P488">
        <f>YEAR(Table1[[#This Row],[order_date]])</f>
        <v>2023</v>
      </c>
    </row>
    <row r="489" spans="1:16" x14ac:dyDescent="0.3">
      <c r="A489">
        <v>10488</v>
      </c>
      <c r="B489" s="1">
        <v>45049</v>
      </c>
      <c r="C489">
        <v>1252</v>
      </c>
      <c r="D489" t="s">
        <v>15</v>
      </c>
      <c r="E489" t="s">
        <v>13</v>
      </c>
      <c r="F489">
        <v>2</v>
      </c>
      <c r="G489">
        <v>170.93</v>
      </c>
      <c r="H489">
        <v>0.02</v>
      </c>
      <c r="I489" t="s">
        <v>18</v>
      </c>
      <c r="J489">
        <v>3</v>
      </c>
      <c r="K489">
        <v>4</v>
      </c>
      <c r="L489">
        <v>335.02</v>
      </c>
      <c r="M489">
        <f>(Table1[[#This Row],[unit_price]]*Table1[[#This Row],[quantity]])-(Table1[[#This Row],[unit_price]]*Table1[[#This Row],[discount]]*Table1[[#This Row],[quantity]])</f>
        <v>335.02280000000002</v>
      </c>
      <c r="N489">
        <f>DAY(Table1[[#This Row],[order_date]])</f>
        <v>3</v>
      </c>
      <c r="O489" t="str">
        <f>TEXT(Table1[[#This Row],[order_date]],"mmm")</f>
        <v>May</v>
      </c>
      <c r="P489">
        <f>YEAR(Table1[[#This Row],[order_date]])</f>
        <v>2023</v>
      </c>
    </row>
    <row r="490" spans="1:16" x14ac:dyDescent="0.3">
      <c r="A490">
        <v>10489</v>
      </c>
      <c r="B490" s="1">
        <v>45050</v>
      </c>
      <c r="C490">
        <v>1980</v>
      </c>
      <c r="D490" t="s">
        <v>19</v>
      </c>
      <c r="E490" t="s">
        <v>21</v>
      </c>
      <c r="F490">
        <v>6</v>
      </c>
      <c r="G490">
        <v>216.75</v>
      </c>
      <c r="H490">
        <v>0.02</v>
      </c>
      <c r="I490" t="s">
        <v>16</v>
      </c>
      <c r="J490">
        <v>7</v>
      </c>
      <c r="K490">
        <v>4.4000000000000004</v>
      </c>
      <c r="L490">
        <v>1274.49</v>
      </c>
      <c r="M490">
        <f>(Table1[[#This Row],[unit_price]]*Table1[[#This Row],[quantity]])-(Table1[[#This Row],[unit_price]]*Table1[[#This Row],[discount]]*Table1[[#This Row],[quantity]])</f>
        <v>1274.49</v>
      </c>
      <c r="N490">
        <f>DAY(Table1[[#This Row],[order_date]])</f>
        <v>4</v>
      </c>
      <c r="O490" t="str">
        <f>TEXT(Table1[[#This Row],[order_date]],"mmm")</f>
        <v>May</v>
      </c>
      <c r="P490">
        <f>YEAR(Table1[[#This Row],[order_date]])</f>
        <v>2023</v>
      </c>
    </row>
    <row r="491" spans="1:16" x14ac:dyDescent="0.3">
      <c r="A491">
        <v>10490</v>
      </c>
      <c r="B491" s="1">
        <v>45051</v>
      </c>
      <c r="C491">
        <v>1927</v>
      </c>
      <c r="D491" t="s">
        <v>19</v>
      </c>
      <c r="E491" t="s">
        <v>21</v>
      </c>
      <c r="F491">
        <v>7</v>
      </c>
      <c r="G491">
        <v>394.69</v>
      </c>
      <c r="H491">
        <v>0.31</v>
      </c>
      <c r="I491" t="s">
        <v>18</v>
      </c>
      <c r="J491">
        <v>8</v>
      </c>
      <c r="K491">
        <v>1.8</v>
      </c>
      <c r="L491">
        <v>1906.35</v>
      </c>
      <c r="M491">
        <f>(Table1[[#This Row],[unit_price]]*Table1[[#This Row],[quantity]])-(Table1[[#This Row],[unit_price]]*Table1[[#This Row],[discount]]*Table1[[#This Row],[quantity]])</f>
        <v>1906.3526999999999</v>
      </c>
      <c r="N491">
        <f>DAY(Table1[[#This Row],[order_date]])</f>
        <v>5</v>
      </c>
      <c r="O491" t="str">
        <f>TEXT(Table1[[#This Row],[order_date]],"mmm")</f>
        <v>May</v>
      </c>
      <c r="P491">
        <f>YEAR(Table1[[#This Row],[order_date]])</f>
        <v>2023</v>
      </c>
    </row>
    <row r="492" spans="1:16" x14ac:dyDescent="0.3">
      <c r="A492">
        <v>10491</v>
      </c>
      <c r="B492" s="1">
        <v>45052</v>
      </c>
      <c r="C492">
        <v>1982</v>
      </c>
      <c r="D492" t="s">
        <v>12</v>
      </c>
      <c r="E492" t="s">
        <v>20</v>
      </c>
      <c r="F492">
        <v>2</v>
      </c>
      <c r="G492">
        <v>531.44000000000005</v>
      </c>
      <c r="H492">
        <v>0.28999999999999998</v>
      </c>
      <c r="I492" t="s">
        <v>18</v>
      </c>
      <c r="J492">
        <v>5</v>
      </c>
      <c r="K492">
        <v>3.8</v>
      </c>
      <c r="L492">
        <v>754.64</v>
      </c>
      <c r="M492">
        <f>(Table1[[#This Row],[unit_price]]*Table1[[#This Row],[quantity]])-(Table1[[#This Row],[unit_price]]*Table1[[#This Row],[discount]]*Table1[[#This Row],[quantity]])</f>
        <v>754.64480000000003</v>
      </c>
      <c r="N492">
        <f>DAY(Table1[[#This Row],[order_date]])</f>
        <v>6</v>
      </c>
      <c r="O492" t="str">
        <f>TEXT(Table1[[#This Row],[order_date]],"mmm")</f>
        <v>May</v>
      </c>
      <c r="P492">
        <f>YEAR(Table1[[#This Row],[order_date]])</f>
        <v>2023</v>
      </c>
    </row>
    <row r="493" spans="1:16" x14ac:dyDescent="0.3">
      <c r="A493">
        <v>10492</v>
      </c>
      <c r="B493" s="1">
        <v>45053</v>
      </c>
      <c r="C493">
        <v>1160</v>
      </c>
      <c r="D493" t="s">
        <v>19</v>
      </c>
      <c r="E493" t="s">
        <v>17</v>
      </c>
      <c r="F493">
        <v>4</v>
      </c>
      <c r="G493">
        <v>122.72</v>
      </c>
      <c r="H493">
        <v>0.12</v>
      </c>
      <c r="I493" t="s">
        <v>16</v>
      </c>
      <c r="J493">
        <v>5</v>
      </c>
      <c r="K493">
        <v>1.1000000000000001</v>
      </c>
      <c r="L493">
        <v>431.97</v>
      </c>
      <c r="M493">
        <f>(Table1[[#This Row],[unit_price]]*Table1[[#This Row],[quantity]])-(Table1[[#This Row],[unit_price]]*Table1[[#This Row],[discount]]*Table1[[#This Row],[quantity]])</f>
        <v>431.9744</v>
      </c>
      <c r="N493">
        <f>DAY(Table1[[#This Row],[order_date]])</f>
        <v>7</v>
      </c>
      <c r="O493" t="str">
        <f>TEXT(Table1[[#This Row],[order_date]],"mmm")</f>
        <v>May</v>
      </c>
      <c r="P493">
        <f>YEAR(Table1[[#This Row],[order_date]])</f>
        <v>2023</v>
      </c>
    </row>
    <row r="494" spans="1:16" x14ac:dyDescent="0.3">
      <c r="A494">
        <v>10493</v>
      </c>
      <c r="B494" s="1">
        <v>45054</v>
      </c>
      <c r="C494">
        <v>1255</v>
      </c>
      <c r="D494" t="s">
        <v>19</v>
      </c>
      <c r="E494" t="s">
        <v>21</v>
      </c>
      <c r="F494">
        <v>1</v>
      </c>
      <c r="G494">
        <v>506.61</v>
      </c>
      <c r="H494">
        <v>0.22</v>
      </c>
      <c r="I494" t="s">
        <v>18</v>
      </c>
      <c r="J494">
        <v>4</v>
      </c>
      <c r="K494">
        <v>1.5</v>
      </c>
      <c r="L494">
        <v>395.16</v>
      </c>
      <c r="M494">
        <f>(Table1[[#This Row],[unit_price]]*Table1[[#This Row],[quantity]])-(Table1[[#This Row],[unit_price]]*Table1[[#This Row],[discount]]*Table1[[#This Row],[quantity]])</f>
        <v>395.1558</v>
      </c>
      <c r="N494">
        <f>DAY(Table1[[#This Row],[order_date]])</f>
        <v>8</v>
      </c>
      <c r="O494" t="str">
        <f>TEXT(Table1[[#This Row],[order_date]],"mmm")</f>
        <v>May</v>
      </c>
      <c r="P494">
        <f>YEAR(Table1[[#This Row],[order_date]])</f>
        <v>2023</v>
      </c>
    </row>
    <row r="495" spans="1:16" x14ac:dyDescent="0.3">
      <c r="A495">
        <v>10494</v>
      </c>
      <c r="B495" s="1">
        <v>45055</v>
      </c>
      <c r="C495">
        <v>1322</v>
      </c>
      <c r="D495" t="s">
        <v>15</v>
      </c>
      <c r="E495" t="s">
        <v>17</v>
      </c>
      <c r="F495">
        <v>7</v>
      </c>
      <c r="G495">
        <v>86.11</v>
      </c>
      <c r="H495">
        <v>0.17</v>
      </c>
      <c r="I495" t="s">
        <v>16</v>
      </c>
      <c r="J495">
        <v>10</v>
      </c>
      <c r="K495">
        <v>4.0999999999999996</v>
      </c>
      <c r="L495">
        <v>500.3</v>
      </c>
      <c r="M495">
        <f>(Table1[[#This Row],[unit_price]]*Table1[[#This Row],[quantity]])-(Table1[[#This Row],[unit_price]]*Table1[[#This Row],[discount]]*Table1[[#This Row],[quantity]])</f>
        <v>500.29909999999995</v>
      </c>
      <c r="N495">
        <f>DAY(Table1[[#This Row],[order_date]])</f>
        <v>9</v>
      </c>
      <c r="O495" t="str">
        <f>TEXT(Table1[[#This Row],[order_date]],"mmm")</f>
        <v>May</v>
      </c>
      <c r="P495">
        <f>YEAR(Table1[[#This Row],[order_date]])</f>
        <v>2023</v>
      </c>
    </row>
    <row r="496" spans="1:16" x14ac:dyDescent="0.3">
      <c r="A496">
        <v>10495</v>
      </c>
      <c r="B496" s="1">
        <v>45056</v>
      </c>
      <c r="C496">
        <v>1127</v>
      </c>
      <c r="D496" t="s">
        <v>15</v>
      </c>
      <c r="E496" t="s">
        <v>20</v>
      </c>
      <c r="F496">
        <v>4</v>
      </c>
      <c r="G496">
        <v>140.77000000000001</v>
      </c>
      <c r="H496">
        <v>0.34</v>
      </c>
      <c r="I496" t="s">
        <v>16</v>
      </c>
      <c r="J496">
        <v>5</v>
      </c>
      <c r="K496">
        <v>4.3</v>
      </c>
      <c r="L496">
        <v>371.63</v>
      </c>
      <c r="M496">
        <f>(Table1[[#This Row],[unit_price]]*Table1[[#This Row],[quantity]])-(Table1[[#This Row],[unit_price]]*Table1[[#This Row],[discount]]*Table1[[#This Row],[quantity]])</f>
        <v>371.63279999999997</v>
      </c>
      <c r="N496">
        <f>DAY(Table1[[#This Row],[order_date]])</f>
        <v>10</v>
      </c>
      <c r="O496" t="str">
        <f>TEXT(Table1[[#This Row],[order_date]],"mmm")</f>
        <v>May</v>
      </c>
      <c r="P496">
        <f>YEAR(Table1[[#This Row],[order_date]])</f>
        <v>2023</v>
      </c>
    </row>
    <row r="497" spans="1:16" x14ac:dyDescent="0.3">
      <c r="A497">
        <v>10496</v>
      </c>
      <c r="B497" s="1">
        <v>45057</v>
      </c>
      <c r="C497">
        <v>1017</v>
      </c>
      <c r="D497" t="s">
        <v>15</v>
      </c>
      <c r="E497" t="s">
        <v>13</v>
      </c>
      <c r="F497">
        <v>3</v>
      </c>
      <c r="G497">
        <v>36.75</v>
      </c>
      <c r="H497">
        <v>0.33</v>
      </c>
      <c r="I497" t="s">
        <v>14</v>
      </c>
      <c r="J497">
        <v>10</v>
      </c>
      <c r="K497">
        <v>3.4</v>
      </c>
      <c r="L497">
        <v>73.87</v>
      </c>
      <c r="M497">
        <f>(Table1[[#This Row],[unit_price]]*Table1[[#This Row],[quantity]])-(Table1[[#This Row],[unit_price]]*Table1[[#This Row],[discount]]*Table1[[#This Row],[quantity]])</f>
        <v>73.867499999999993</v>
      </c>
      <c r="N497">
        <f>DAY(Table1[[#This Row],[order_date]])</f>
        <v>11</v>
      </c>
      <c r="O497" t="str">
        <f>TEXT(Table1[[#This Row],[order_date]],"mmm")</f>
        <v>May</v>
      </c>
      <c r="P497">
        <f>YEAR(Table1[[#This Row],[order_date]])</f>
        <v>2023</v>
      </c>
    </row>
    <row r="498" spans="1:16" x14ac:dyDescent="0.3">
      <c r="A498">
        <v>10497</v>
      </c>
      <c r="B498" s="1">
        <v>45058</v>
      </c>
      <c r="C498">
        <v>1792</v>
      </c>
      <c r="D498" t="s">
        <v>19</v>
      </c>
      <c r="E498" t="s">
        <v>21</v>
      </c>
      <c r="F498">
        <v>6</v>
      </c>
      <c r="G498">
        <v>97.37</v>
      </c>
      <c r="H498">
        <v>0.34</v>
      </c>
      <c r="I498" t="s">
        <v>14</v>
      </c>
      <c r="J498">
        <v>11</v>
      </c>
      <c r="K498">
        <v>3.3</v>
      </c>
      <c r="L498">
        <v>385.59</v>
      </c>
      <c r="M498">
        <f>(Table1[[#This Row],[unit_price]]*Table1[[#This Row],[quantity]])-(Table1[[#This Row],[unit_price]]*Table1[[#This Row],[discount]]*Table1[[#This Row],[quantity]])</f>
        <v>385.58519999999999</v>
      </c>
      <c r="N498">
        <f>DAY(Table1[[#This Row],[order_date]])</f>
        <v>12</v>
      </c>
      <c r="O498" t="str">
        <f>TEXT(Table1[[#This Row],[order_date]],"mmm")</f>
        <v>May</v>
      </c>
      <c r="P498">
        <f>YEAR(Table1[[#This Row],[order_date]])</f>
        <v>2023</v>
      </c>
    </row>
    <row r="499" spans="1:16" x14ac:dyDescent="0.3">
      <c r="A499">
        <v>10498</v>
      </c>
      <c r="B499" s="1">
        <v>45059</v>
      </c>
      <c r="C499">
        <v>1734</v>
      </c>
      <c r="D499" t="s">
        <v>19</v>
      </c>
      <c r="E499" t="s">
        <v>17</v>
      </c>
      <c r="F499">
        <v>1</v>
      </c>
      <c r="G499">
        <v>551.62</v>
      </c>
      <c r="H499">
        <v>0.3</v>
      </c>
      <c r="I499" t="s">
        <v>18</v>
      </c>
      <c r="J499">
        <v>8</v>
      </c>
      <c r="K499">
        <v>4</v>
      </c>
      <c r="L499">
        <v>386.13</v>
      </c>
      <c r="M499">
        <f>(Table1[[#This Row],[unit_price]]*Table1[[#This Row],[quantity]])-(Table1[[#This Row],[unit_price]]*Table1[[#This Row],[discount]]*Table1[[#This Row],[quantity]])</f>
        <v>386.13400000000001</v>
      </c>
      <c r="N499">
        <f>DAY(Table1[[#This Row],[order_date]])</f>
        <v>13</v>
      </c>
      <c r="O499" t="str">
        <f>TEXT(Table1[[#This Row],[order_date]],"mmm")</f>
        <v>May</v>
      </c>
      <c r="P499">
        <f>YEAR(Table1[[#This Row],[order_date]])</f>
        <v>2023</v>
      </c>
    </row>
    <row r="500" spans="1:16" x14ac:dyDescent="0.3">
      <c r="A500">
        <v>10499</v>
      </c>
      <c r="B500" s="1">
        <v>45060</v>
      </c>
      <c r="C500">
        <v>1565</v>
      </c>
      <c r="D500" t="s">
        <v>12</v>
      </c>
      <c r="E500" t="s">
        <v>21</v>
      </c>
      <c r="F500">
        <v>4</v>
      </c>
      <c r="G500">
        <v>283.77</v>
      </c>
      <c r="H500">
        <v>0.32</v>
      </c>
      <c r="I500" t="s">
        <v>18</v>
      </c>
      <c r="J500">
        <v>5</v>
      </c>
      <c r="K500">
        <v>4.5999999999999996</v>
      </c>
      <c r="L500">
        <v>771.85</v>
      </c>
      <c r="M500">
        <f>(Table1[[#This Row],[unit_price]]*Table1[[#This Row],[quantity]])-(Table1[[#This Row],[unit_price]]*Table1[[#This Row],[discount]]*Table1[[#This Row],[quantity]])</f>
        <v>771.85439999999994</v>
      </c>
      <c r="N500">
        <f>DAY(Table1[[#This Row],[order_date]])</f>
        <v>14</v>
      </c>
      <c r="O500" t="str">
        <f>TEXT(Table1[[#This Row],[order_date]],"mmm")</f>
        <v>May</v>
      </c>
      <c r="P500">
        <f>YEAR(Table1[[#This Row],[order_date]])</f>
        <v>2023</v>
      </c>
    </row>
    <row r="501" spans="1:16" x14ac:dyDescent="0.3">
      <c r="A501">
        <v>10500</v>
      </c>
      <c r="B501" s="1">
        <v>45061</v>
      </c>
      <c r="C501">
        <v>1569</v>
      </c>
      <c r="D501" t="s">
        <v>19</v>
      </c>
      <c r="E501" t="s">
        <v>17</v>
      </c>
      <c r="F501">
        <v>1</v>
      </c>
      <c r="G501">
        <v>60.43</v>
      </c>
      <c r="H501">
        <v>0.08</v>
      </c>
      <c r="I501" t="s">
        <v>14</v>
      </c>
      <c r="J501">
        <v>9</v>
      </c>
      <c r="K501">
        <v>2.7</v>
      </c>
      <c r="L501">
        <v>55.6</v>
      </c>
      <c r="M501">
        <f>(Table1[[#This Row],[unit_price]]*Table1[[#This Row],[quantity]])-(Table1[[#This Row],[unit_price]]*Table1[[#This Row],[discount]]*Table1[[#This Row],[quantity]])</f>
        <v>55.595599999999997</v>
      </c>
      <c r="N501">
        <f>DAY(Table1[[#This Row],[order_date]])</f>
        <v>15</v>
      </c>
      <c r="O501" t="str">
        <f>TEXT(Table1[[#This Row],[order_date]],"mmm")</f>
        <v>May</v>
      </c>
      <c r="P501">
        <f>YEAR(Table1[[#This Row],[order_date]])</f>
        <v>2023</v>
      </c>
    </row>
    <row r="502" spans="1:16" x14ac:dyDescent="0.3">
      <c r="A502">
        <v>10501</v>
      </c>
      <c r="B502" s="1">
        <v>45062</v>
      </c>
      <c r="C502">
        <v>1322</v>
      </c>
      <c r="D502" t="s">
        <v>22</v>
      </c>
      <c r="E502" t="s">
        <v>17</v>
      </c>
      <c r="F502">
        <v>3</v>
      </c>
      <c r="G502">
        <v>576.44000000000005</v>
      </c>
      <c r="H502">
        <v>0.28999999999999998</v>
      </c>
      <c r="I502" t="s">
        <v>14</v>
      </c>
      <c r="J502">
        <v>1</v>
      </c>
      <c r="K502">
        <v>1.5</v>
      </c>
      <c r="L502">
        <v>1227.82</v>
      </c>
      <c r="M502">
        <f>(Table1[[#This Row],[unit_price]]*Table1[[#This Row],[quantity]])-(Table1[[#This Row],[unit_price]]*Table1[[#This Row],[discount]]*Table1[[#This Row],[quantity]])</f>
        <v>1227.8172000000002</v>
      </c>
      <c r="N502">
        <f>DAY(Table1[[#This Row],[order_date]])</f>
        <v>16</v>
      </c>
      <c r="O502" t="str">
        <f>TEXT(Table1[[#This Row],[order_date]],"mmm")</f>
        <v>May</v>
      </c>
      <c r="P502">
        <f>YEAR(Table1[[#This Row],[order_date]])</f>
        <v>2023</v>
      </c>
    </row>
    <row r="503" spans="1:16" x14ac:dyDescent="0.3">
      <c r="A503">
        <v>10502</v>
      </c>
      <c r="B503" s="1">
        <v>45063</v>
      </c>
      <c r="C503">
        <v>1871</v>
      </c>
      <c r="D503" t="s">
        <v>22</v>
      </c>
      <c r="E503" t="s">
        <v>17</v>
      </c>
      <c r="F503">
        <v>5</v>
      </c>
      <c r="G503">
        <v>529.21</v>
      </c>
      <c r="H503">
        <v>0.25</v>
      </c>
      <c r="I503" t="s">
        <v>18</v>
      </c>
      <c r="J503">
        <v>7</v>
      </c>
      <c r="K503">
        <v>4.4000000000000004</v>
      </c>
      <c r="L503">
        <v>1984.54</v>
      </c>
      <c r="M503">
        <f>(Table1[[#This Row],[unit_price]]*Table1[[#This Row],[quantity]])-(Table1[[#This Row],[unit_price]]*Table1[[#This Row],[discount]]*Table1[[#This Row],[quantity]])</f>
        <v>1984.5375000000001</v>
      </c>
      <c r="N503">
        <f>DAY(Table1[[#This Row],[order_date]])</f>
        <v>17</v>
      </c>
      <c r="O503" t="str">
        <f>TEXT(Table1[[#This Row],[order_date]],"mmm")</f>
        <v>May</v>
      </c>
      <c r="P503">
        <f>YEAR(Table1[[#This Row],[order_date]])</f>
        <v>2023</v>
      </c>
    </row>
    <row r="504" spans="1:16" x14ac:dyDescent="0.3">
      <c r="A504">
        <v>10503</v>
      </c>
      <c r="B504" s="1">
        <v>45064</v>
      </c>
      <c r="C504">
        <v>1685</v>
      </c>
      <c r="D504" t="s">
        <v>15</v>
      </c>
      <c r="E504" t="s">
        <v>20</v>
      </c>
      <c r="F504">
        <v>6</v>
      </c>
      <c r="G504">
        <v>456.49</v>
      </c>
      <c r="H504">
        <v>0.34</v>
      </c>
      <c r="I504" t="s">
        <v>18</v>
      </c>
      <c r="J504">
        <v>5</v>
      </c>
      <c r="K504">
        <v>2.4</v>
      </c>
      <c r="L504">
        <v>1807.7</v>
      </c>
      <c r="M504">
        <f>(Table1[[#This Row],[unit_price]]*Table1[[#This Row],[quantity]])-(Table1[[#This Row],[unit_price]]*Table1[[#This Row],[discount]]*Table1[[#This Row],[quantity]])</f>
        <v>1807.7003999999999</v>
      </c>
      <c r="N504">
        <f>DAY(Table1[[#This Row],[order_date]])</f>
        <v>18</v>
      </c>
      <c r="O504" t="str">
        <f>TEXT(Table1[[#This Row],[order_date]],"mmm")</f>
        <v>May</v>
      </c>
      <c r="P504">
        <f>YEAR(Table1[[#This Row],[order_date]])</f>
        <v>2023</v>
      </c>
    </row>
    <row r="505" spans="1:16" x14ac:dyDescent="0.3">
      <c r="A505">
        <v>10504</v>
      </c>
      <c r="B505" s="1">
        <v>45065</v>
      </c>
      <c r="C505">
        <v>1791</v>
      </c>
      <c r="D505" t="s">
        <v>19</v>
      </c>
      <c r="E505" t="s">
        <v>13</v>
      </c>
      <c r="F505">
        <v>6</v>
      </c>
      <c r="G505">
        <v>561.08000000000004</v>
      </c>
      <c r="H505">
        <v>0.2</v>
      </c>
      <c r="I505" t="s">
        <v>16</v>
      </c>
      <c r="J505">
        <v>4</v>
      </c>
      <c r="K505">
        <v>1.5</v>
      </c>
      <c r="L505">
        <v>2693.18</v>
      </c>
      <c r="M505">
        <f>(Table1[[#This Row],[unit_price]]*Table1[[#This Row],[quantity]])-(Table1[[#This Row],[unit_price]]*Table1[[#This Row],[discount]]*Table1[[#This Row],[quantity]])</f>
        <v>2693.1840000000002</v>
      </c>
      <c r="N505">
        <f>DAY(Table1[[#This Row],[order_date]])</f>
        <v>19</v>
      </c>
      <c r="O505" t="str">
        <f>TEXT(Table1[[#This Row],[order_date]],"mmm")</f>
        <v>May</v>
      </c>
      <c r="P505">
        <f>YEAR(Table1[[#This Row],[order_date]])</f>
        <v>2023</v>
      </c>
    </row>
    <row r="506" spans="1:16" x14ac:dyDescent="0.3">
      <c r="A506">
        <v>10505</v>
      </c>
      <c r="B506" s="1">
        <v>45066</v>
      </c>
      <c r="C506">
        <v>1625</v>
      </c>
      <c r="D506" t="s">
        <v>19</v>
      </c>
      <c r="E506" t="s">
        <v>21</v>
      </c>
      <c r="F506">
        <v>2</v>
      </c>
      <c r="G506">
        <v>143.78</v>
      </c>
      <c r="H506">
        <v>0.03</v>
      </c>
      <c r="I506" t="s">
        <v>16</v>
      </c>
      <c r="J506">
        <v>3</v>
      </c>
      <c r="K506">
        <v>3.5</v>
      </c>
      <c r="L506">
        <v>278.93</v>
      </c>
      <c r="M506">
        <f>(Table1[[#This Row],[unit_price]]*Table1[[#This Row],[quantity]])-(Table1[[#This Row],[unit_price]]*Table1[[#This Row],[discount]]*Table1[[#This Row],[quantity]])</f>
        <v>278.9332</v>
      </c>
      <c r="N506">
        <f>DAY(Table1[[#This Row],[order_date]])</f>
        <v>20</v>
      </c>
      <c r="O506" t="str">
        <f>TEXT(Table1[[#This Row],[order_date]],"mmm")</f>
        <v>May</v>
      </c>
      <c r="P506">
        <f>YEAR(Table1[[#This Row],[order_date]])</f>
        <v>2023</v>
      </c>
    </row>
    <row r="507" spans="1:16" x14ac:dyDescent="0.3">
      <c r="A507">
        <v>10506</v>
      </c>
      <c r="B507" s="1">
        <v>45067</v>
      </c>
      <c r="C507">
        <v>1287</v>
      </c>
      <c r="D507" t="s">
        <v>15</v>
      </c>
      <c r="E507" t="s">
        <v>13</v>
      </c>
      <c r="F507">
        <v>6</v>
      </c>
      <c r="G507">
        <v>504.28</v>
      </c>
      <c r="H507">
        <v>0.21</v>
      </c>
      <c r="I507" t="s">
        <v>16</v>
      </c>
      <c r="J507">
        <v>10</v>
      </c>
      <c r="K507">
        <v>3.3</v>
      </c>
      <c r="L507">
        <v>2390.29</v>
      </c>
      <c r="M507">
        <f>(Table1[[#This Row],[unit_price]]*Table1[[#This Row],[quantity]])-(Table1[[#This Row],[unit_price]]*Table1[[#This Row],[discount]]*Table1[[#This Row],[quantity]])</f>
        <v>2390.2871999999998</v>
      </c>
      <c r="N507">
        <f>DAY(Table1[[#This Row],[order_date]])</f>
        <v>21</v>
      </c>
      <c r="O507" t="str">
        <f>TEXT(Table1[[#This Row],[order_date]],"mmm")</f>
        <v>May</v>
      </c>
      <c r="P507">
        <f>YEAR(Table1[[#This Row],[order_date]])</f>
        <v>2023</v>
      </c>
    </row>
    <row r="508" spans="1:16" x14ac:dyDescent="0.3">
      <c r="A508">
        <v>10507</v>
      </c>
      <c r="B508" s="1">
        <v>45068</v>
      </c>
      <c r="C508">
        <v>1942</v>
      </c>
      <c r="D508" t="s">
        <v>12</v>
      </c>
      <c r="E508" t="s">
        <v>17</v>
      </c>
      <c r="F508">
        <v>6</v>
      </c>
      <c r="G508">
        <v>418.64</v>
      </c>
      <c r="H508">
        <v>0.24</v>
      </c>
      <c r="I508" t="s">
        <v>18</v>
      </c>
      <c r="J508">
        <v>7</v>
      </c>
      <c r="K508">
        <v>2.9</v>
      </c>
      <c r="L508">
        <v>1909</v>
      </c>
      <c r="M508">
        <f>(Table1[[#This Row],[unit_price]]*Table1[[#This Row],[quantity]])-(Table1[[#This Row],[unit_price]]*Table1[[#This Row],[discount]]*Table1[[#This Row],[quantity]])</f>
        <v>1908.9984000000002</v>
      </c>
      <c r="N508">
        <f>DAY(Table1[[#This Row],[order_date]])</f>
        <v>22</v>
      </c>
      <c r="O508" t="str">
        <f>TEXT(Table1[[#This Row],[order_date]],"mmm")</f>
        <v>May</v>
      </c>
      <c r="P508">
        <f>YEAR(Table1[[#This Row],[order_date]])</f>
        <v>2023</v>
      </c>
    </row>
    <row r="509" spans="1:16" x14ac:dyDescent="0.3">
      <c r="A509">
        <v>10508</v>
      </c>
      <c r="B509" s="1">
        <v>45069</v>
      </c>
      <c r="C509">
        <v>1853</v>
      </c>
      <c r="D509" t="s">
        <v>12</v>
      </c>
      <c r="E509" t="s">
        <v>17</v>
      </c>
      <c r="F509">
        <v>4</v>
      </c>
      <c r="G509">
        <v>523.80999999999995</v>
      </c>
      <c r="H509">
        <v>0.08</v>
      </c>
      <c r="I509" t="s">
        <v>14</v>
      </c>
      <c r="J509">
        <v>2</v>
      </c>
      <c r="K509">
        <v>4.4000000000000004</v>
      </c>
      <c r="L509">
        <v>1927.62</v>
      </c>
      <c r="M509">
        <f>(Table1[[#This Row],[unit_price]]*Table1[[#This Row],[quantity]])-(Table1[[#This Row],[unit_price]]*Table1[[#This Row],[discount]]*Table1[[#This Row],[quantity]])</f>
        <v>1927.6207999999997</v>
      </c>
      <c r="N509">
        <f>DAY(Table1[[#This Row],[order_date]])</f>
        <v>23</v>
      </c>
      <c r="O509" t="str">
        <f>TEXT(Table1[[#This Row],[order_date]],"mmm")</f>
        <v>May</v>
      </c>
      <c r="P509">
        <f>YEAR(Table1[[#This Row],[order_date]])</f>
        <v>2023</v>
      </c>
    </row>
    <row r="510" spans="1:16" x14ac:dyDescent="0.3">
      <c r="A510">
        <v>10509</v>
      </c>
      <c r="B510" s="1">
        <v>45070</v>
      </c>
      <c r="C510">
        <v>1662</v>
      </c>
      <c r="D510" t="s">
        <v>19</v>
      </c>
      <c r="E510" t="s">
        <v>13</v>
      </c>
      <c r="F510">
        <v>7</v>
      </c>
      <c r="G510">
        <v>481.19</v>
      </c>
      <c r="H510">
        <v>0.14000000000000001</v>
      </c>
      <c r="I510" t="s">
        <v>14</v>
      </c>
      <c r="J510">
        <v>5</v>
      </c>
      <c r="K510">
        <v>2.1</v>
      </c>
      <c r="L510">
        <v>2896.76</v>
      </c>
      <c r="M510">
        <f>(Table1[[#This Row],[unit_price]]*Table1[[#This Row],[quantity]])-(Table1[[#This Row],[unit_price]]*Table1[[#This Row],[discount]]*Table1[[#This Row],[quantity]])</f>
        <v>2896.7637999999997</v>
      </c>
      <c r="N510">
        <f>DAY(Table1[[#This Row],[order_date]])</f>
        <v>24</v>
      </c>
      <c r="O510" t="str">
        <f>TEXT(Table1[[#This Row],[order_date]],"mmm")</f>
        <v>May</v>
      </c>
      <c r="P510">
        <f>YEAR(Table1[[#This Row],[order_date]])</f>
        <v>2023</v>
      </c>
    </row>
    <row r="511" spans="1:16" x14ac:dyDescent="0.3">
      <c r="A511">
        <v>10510</v>
      </c>
      <c r="B511" s="1">
        <v>45071</v>
      </c>
      <c r="C511">
        <v>1961</v>
      </c>
      <c r="D511" t="s">
        <v>19</v>
      </c>
      <c r="E511" t="s">
        <v>13</v>
      </c>
      <c r="F511">
        <v>6</v>
      </c>
      <c r="G511">
        <v>217.7</v>
      </c>
      <c r="H511">
        <v>0.21</v>
      </c>
      <c r="I511" t="s">
        <v>16</v>
      </c>
      <c r="J511">
        <v>2</v>
      </c>
      <c r="K511">
        <v>1.1000000000000001</v>
      </c>
      <c r="L511">
        <v>1031.9000000000001</v>
      </c>
      <c r="M511">
        <f>(Table1[[#This Row],[unit_price]]*Table1[[#This Row],[quantity]])-(Table1[[#This Row],[unit_price]]*Table1[[#This Row],[discount]]*Table1[[#This Row],[quantity]])</f>
        <v>1031.8979999999997</v>
      </c>
      <c r="N511">
        <f>DAY(Table1[[#This Row],[order_date]])</f>
        <v>25</v>
      </c>
      <c r="O511" t="str">
        <f>TEXT(Table1[[#This Row],[order_date]],"mmm")</f>
        <v>May</v>
      </c>
      <c r="P511">
        <f>YEAR(Table1[[#This Row],[order_date]])</f>
        <v>2023</v>
      </c>
    </row>
    <row r="512" spans="1:16" x14ac:dyDescent="0.3">
      <c r="A512">
        <v>10511</v>
      </c>
      <c r="B512" s="1">
        <v>45072</v>
      </c>
      <c r="C512">
        <v>1638</v>
      </c>
      <c r="D512" t="s">
        <v>12</v>
      </c>
      <c r="E512" t="s">
        <v>21</v>
      </c>
      <c r="F512">
        <v>6</v>
      </c>
      <c r="G512">
        <v>468.02</v>
      </c>
      <c r="H512">
        <v>0.13</v>
      </c>
      <c r="I512" t="s">
        <v>18</v>
      </c>
      <c r="J512">
        <v>7</v>
      </c>
      <c r="K512">
        <v>2.2999999999999998</v>
      </c>
      <c r="L512">
        <v>2443.06</v>
      </c>
      <c r="M512">
        <f>(Table1[[#This Row],[unit_price]]*Table1[[#This Row],[quantity]])-(Table1[[#This Row],[unit_price]]*Table1[[#This Row],[discount]]*Table1[[#This Row],[quantity]])</f>
        <v>2443.0643999999998</v>
      </c>
      <c r="N512">
        <f>DAY(Table1[[#This Row],[order_date]])</f>
        <v>26</v>
      </c>
      <c r="O512" t="str">
        <f>TEXT(Table1[[#This Row],[order_date]],"mmm")</f>
        <v>May</v>
      </c>
      <c r="P512">
        <f>YEAR(Table1[[#This Row],[order_date]])</f>
        <v>2023</v>
      </c>
    </row>
    <row r="513" spans="1:16" x14ac:dyDescent="0.3">
      <c r="A513">
        <v>10512</v>
      </c>
      <c r="B513" s="1">
        <v>45073</v>
      </c>
      <c r="C513">
        <v>1154</v>
      </c>
      <c r="D513" t="s">
        <v>22</v>
      </c>
      <c r="E513" t="s">
        <v>17</v>
      </c>
      <c r="F513">
        <v>3</v>
      </c>
      <c r="G513">
        <v>168.54</v>
      </c>
      <c r="H513">
        <v>0.13</v>
      </c>
      <c r="I513" t="s">
        <v>16</v>
      </c>
      <c r="J513">
        <v>6</v>
      </c>
      <c r="K513">
        <v>1</v>
      </c>
      <c r="L513">
        <v>439.89</v>
      </c>
      <c r="M513">
        <f>(Table1[[#This Row],[unit_price]]*Table1[[#This Row],[quantity]])-(Table1[[#This Row],[unit_price]]*Table1[[#This Row],[discount]]*Table1[[#This Row],[quantity]])</f>
        <v>439.88940000000002</v>
      </c>
      <c r="N513">
        <f>DAY(Table1[[#This Row],[order_date]])</f>
        <v>27</v>
      </c>
      <c r="O513" t="str">
        <f>TEXT(Table1[[#This Row],[order_date]],"mmm")</f>
        <v>May</v>
      </c>
      <c r="P513">
        <f>YEAR(Table1[[#This Row],[order_date]])</f>
        <v>2023</v>
      </c>
    </row>
    <row r="514" spans="1:16" x14ac:dyDescent="0.3">
      <c r="A514">
        <v>10513</v>
      </c>
      <c r="B514" s="1">
        <v>45074</v>
      </c>
      <c r="C514">
        <v>1489</v>
      </c>
      <c r="D514" t="s">
        <v>12</v>
      </c>
      <c r="E514" t="s">
        <v>13</v>
      </c>
      <c r="F514">
        <v>7</v>
      </c>
      <c r="G514">
        <v>207.23</v>
      </c>
      <c r="H514">
        <v>0.05</v>
      </c>
      <c r="I514" t="s">
        <v>16</v>
      </c>
      <c r="J514">
        <v>10</v>
      </c>
      <c r="K514">
        <v>3.2</v>
      </c>
      <c r="L514">
        <v>1378.08</v>
      </c>
      <c r="M514">
        <f>(Table1[[#This Row],[unit_price]]*Table1[[#This Row],[quantity]])-(Table1[[#This Row],[unit_price]]*Table1[[#This Row],[discount]]*Table1[[#This Row],[quantity]])</f>
        <v>1378.0794999999998</v>
      </c>
      <c r="N514">
        <f>DAY(Table1[[#This Row],[order_date]])</f>
        <v>28</v>
      </c>
      <c r="O514" t="str">
        <f>TEXT(Table1[[#This Row],[order_date]],"mmm")</f>
        <v>May</v>
      </c>
      <c r="P514">
        <f>YEAR(Table1[[#This Row],[order_date]])</f>
        <v>2023</v>
      </c>
    </row>
    <row r="515" spans="1:16" x14ac:dyDescent="0.3">
      <c r="A515">
        <v>10514</v>
      </c>
      <c r="B515" s="1">
        <v>45075</v>
      </c>
      <c r="C515">
        <v>1385</v>
      </c>
      <c r="D515" t="s">
        <v>19</v>
      </c>
      <c r="E515" t="s">
        <v>20</v>
      </c>
      <c r="F515">
        <v>3</v>
      </c>
      <c r="G515">
        <v>78.12</v>
      </c>
      <c r="H515">
        <v>0.33</v>
      </c>
      <c r="I515" t="s">
        <v>14</v>
      </c>
      <c r="J515">
        <v>7</v>
      </c>
      <c r="K515">
        <v>2.5</v>
      </c>
      <c r="L515">
        <v>157.02000000000001</v>
      </c>
      <c r="M515">
        <f>(Table1[[#This Row],[unit_price]]*Table1[[#This Row],[quantity]])-(Table1[[#This Row],[unit_price]]*Table1[[#This Row],[discount]]*Table1[[#This Row],[quantity]])</f>
        <v>157.02120000000002</v>
      </c>
      <c r="N515">
        <f>DAY(Table1[[#This Row],[order_date]])</f>
        <v>29</v>
      </c>
      <c r="O515" t="str">
        <f>TEXT(Table1[[#This Row],[order_date]],"mmm")</f>
        <v>May</v>
      </c>
      <c r="P515">
        <f>YEAR(Table1[[#This Row],[order_date]])</f>
        <v>2023</v>
      </c>
    </row>
    <row r="516" spans="1:16" x14ac:dyDescent="0.3">
      <c r="A516">
        <v>10515</v>
      </c>
      <c r="B516" s="1">
        <v>45076</v>
      </c>
      <c r="C516">
        <v>1985</v>
      </c>
      <c r="D516" t="s">
        <v>15</v>
      </c>
      <c r="E516" t="s">
        <v>17</v>
      </c>
      <c r="F516">
        <v>1</v>
      </c>
      <c r="G516">
        <v>562.02</v>
      </c>
      <c r="H516">
        <v>0.26</v>
      </c>
      <c r="I516" t="s">
        <v>18</v>
      </c>
      <c r="J516">
        <v>9</v>
      </c>
      <c r="K516">
        <v>4.3</v>
      </c>
      <c r="L516">
        <v>415.89</v>
      </c>
      <c r="M516">
        <f>(Table1[[#This Row],[unit_price]]*Table1[[#This Row],[quantity]])-(Table1[[#This Row],[unit_price]]*Table1[[#This Row],[discount]]*Table1[[#This Row],[quantity]])</f>
        <v>415.89479999999998</v>
      </c>
      <c r="N516">
        <f>DAY(Table1[[#This Row],[order_date]])</f>
        <v>30</v>
      </c>
      <c r="O516" t="str">
        <f>TEXT(Table1[[#This Row],[order_date]],"mmm")</f>
        <v>May</v>
      </c>
      <c r="P516">
        <f>YEAR(Table1[[#This Row],[order_date]])</f>
        <v>2023</v>
      </c>
    </row>
    <row r="517" spans="1:16" x14ac:dyDescent="0.3">
      <c r="A517">
        <v>10516</v>
      </c>
      <c r="B517" s="1">
        <v>45077</v>
      </c>
      <c r="C517">
        <v>1784</v>
      </c>
      <c r="D517" t="s">
        <v>22</v>
      </c>
      <c r="E517" t="s">
        <v>17</v>
      </c>
      <c r="F517">
        <v>1</v>
      </c>
      <c r="G517">
        <v>185.24</v>
      </c>
      <c r="H517">
        <v>0</v>
      </c>
      <c r="I517" t="s">
        <v>18</v>
      </c>
      <c r="J517">
        <v>2</v>
      </c>
      <c r="K517">
        <v>4.2</v>
      </c>
      <c r="L517">
        <v>185.24</v>
      </c>
      <c r="M517">
        <f>(Table1[[#This Row],[unit_price]]*Table1[[#This Row],[quantity]])-(Table1[[#This Row],[unit_price]]*Table1[[#This Row],[discount]]*Table1[[#This Row],[quantity]])</f>
        <v>185.24</v>
      </c>
      <c r="N517">
        <f>DAY(Table1[[#This Row],[order_date]])</f>
        <v>31</v>
      </c>
      <c r="O517" t="str">
        <f>TEXT(Table1[[#This Row],[order_date]],"mmm")</f>
        <v>May</v>
      </c>
      <c r="P517">
        <f>YEAR(Table1[[#This Row],[order_date]])</f>
        <v>2023</v>
      </c>
    </row>
    <row r="518" spans="1:16" x14ac:dyDescent="0.3">
      <c r="A518">
        <v>10517</v>
      </c>
      <c r="B518" s="1">
        <v>45078</v>
      </c>
      <c r="C518">
        <v>1103</v>
      </c>
      <c r="D518" t="s">
        <v>22</v>
      </c>
      <c r="E518" t="s">
        <v>21</v>
      </c>
      <c r="F518">
        <v>6</v>
      </c>
      <c r="G518">
        <v>319.56</v>
      </c>
      <c r="H518">
        <v>0.27</v>
      </c>
      <c r="I518" t="s">
        <v>16</v>
      </c>
      <c r="J518">
        <v>9</v>
      </c>
      <c r="K518">
        <v>2.7</v>
      </c>
      <c r="L518">
        <v>1399.67</v>
      </c>
      <c r="M518">
        <f>(Table1[[#This Row],[unit_price]]*Table1[[#This Row],[quantity]])-(Table1[[#This Row],[unit_price]]*Table1[[#This Row],[discount]]*Table1[[#This Row],[quantity]])</f>
        <v>1399.6728000000001</v>
      </c>
      <c r="N518">
        <f>DAY(Table1[[#This Row],[order_date]])</f>
        <v>1</v>
      </c>
      <c r="O518" t="str">
        <f>TEXT(Table1[[#This Row],[order_date]],"mmm")</f>
        <v>Jun</v>
      </c>
      <c r="P518">
        <f>YEAR(Table1[[#This Row],[order_date]])</f>
        <v>2023</v>
      </c>
    </row>
    <row r="519" spans="1:16" x14ac:dyDescent="0.3">
      <c r="A519">
        <v>10518</v>
      </c>
      <c r="B519" s="1">
        <v>45079</v>
      </c>
      <c r="C519">
        <v>1928</v>
      </c>
      <c r="D519" t="s">
        <v>15</v>
      </c>
      <c r="E519" t="s">
        <v>20</v>
      </c>
      <c r="F519">
        <v>6</v>
      </c>
      <c r="G519">
        <v>243.93</v>
      </c>
      <c r="H519">
        <v>0.26</v>
      </c>
      <c r="I519" t="s">
        <v>16</v>
      </c>
      <c r="J519">
        <v>7</v>
      </c>
      <c r="K519">
        <v>1.9</v>
      </c>
      <c r="L519">
        <v>1083.05</v>
      </c>
      <c r="M519">
        <f>(Table1[[#This Row],[unit_price]]*Table1[[#This Row],[quantity]])-(Table1[[#This Row],[unit_price]]*Table1[[#This Row],[discount]]*Table1[[#This Row],[quantity]])</f>
        <v>1083.0491999999999</v>
      </c>
      <c r="N519">
        <f>DAY(Table1[[#This Row],[order_date]])</f>
        <v>2</v>
      </c>
      <c r="O519" t="str">
        <f>TEXT(Table1[[#This Row],[order_date]],"mmm")</f>
        <v>Jun</v>
      </c>
      <c r="P519">
        <f>YEAR(Table1[[#This Row],[order_date]])</f>
        <v>2023</v>
      </c>
    </row>
    <row r="520" spans="1:16" x14ac:dyDescent="0.3">
      <c r="A520">
        <v>10519</v>
      </c>
      <c r="B520" s="1">
        <v>45080</v>
      </c>
      <c r="C520">
        <v>1392</v>
      </c>
      <c r="D520" t="s">
        <v>19</v>
      </c>
      <c r="E520" t="s">
        <v>21</v>
      </c>
      <c r="F520">
        <v>2</v>
      </c>
      <c r="G520">
        <v>576.55999999999995</v>
      </c>
      <c r="H520">
        <v>0</v>
      </c>
      <c r="I520" t="s">
        <v>18</v>
      </c>
      <c r="J520">
        <v>2</v>
      </c>
      <c r="K520">
        <v>2.7</v>
      </c>
      <c r="L520">
        <v>1153.1199999999999</v>
      </c>
      <c r="M520">
        <f>(Table1[[#This Row],[unit_price]]*Table1[[#This Row],[quantity]])-(Table1[[#This Row],[unit_price]]*Table1[[#This Row],[discount]]*Table1[[#This Row],[quantity]])</f>
        <v>1153.1199999999999</v>
      </c>
      <c r="N520">
        <f>DAY(Table1[[#This Row],[order_date]])</f>
        <v>3</v>
      </c>
      <c r="O520" t="str">
        <f>TEXT(Table1[[#This Row],[order_date]],"mmm")</f>
        <v>Jun</v>
      </c>
      <c r="P520">
        <f>YEAR(Table1[[#This Row],[order_date]])</f>
        <v>2023</v>
      </c>
    </row>
    <row r="521" spans="1:16" x14ac:dyDescent="0.3">
      <c r="A521">
        <v>10520</v>
      </c>
      <c r="B521" s="1">
        <v>45081</v>
      </c>
      <c r="C521">
        <v>1810</v>
      </c>
      <c r="D521" t="s">
        <v>15</v>
      </c>
      <c r="E521" t="s">
        <v>20</v>
      </c>
      <c r="F521">
        <v>1</v>
      </c>
      <c r="G521">
        <v>211</v>
      </c>
      <c r="H521">
        <v>0.13</v>
      </c>
      <c r="I521" t="s">
        <v>16</v>
      </c>
      <c r="J521">
        <v>10</v>
      </c>
      <c r="K521">
        <v>3.6</v>
      </c>
      <c r="L521">
        <v>183.57</v>
      </c>
      <c r="M521">
        <f>(Table1[[#This Row],[unit_price]]*Table1[[#This Row],[quantity]])-(Table1[[#This Row],[unit_price]]*Table1[[#This Row],[discount]]*Table1[[#This Row],[quantity]])</f>
        <v>183.57</v>
      </c>
      <c r="N521">
        <f>DAY(Table1[[#This Row],[order_date]])</f>
        <v>4</v>
      </c>
      <c r="O521" t="str">
        <f>TEXT(Table1[[#This Row],[order_date]],"mmm")</f>
        <v>Jun</v>
      </c>
      <c r="P521">
        <f>YEAR(Table1[[#This Row],[order_date]])</f>
        <v>2023</v>
      </c>
    </row>
    <row r="522" spans="1:16" x14ac:dyDescent="0.3">
      <c r="A522">
        <v>10521</v>
      </c>
      <c r="B522" s="1">
        <v>45082</v>
      </c>
      <c r="C522">
        <v>1245</v>
      </c>
      <c r="D522" t="s">
        <v>19</v>
      </c>
      <c r="E522" t="s">
        <v>21</v>
      </c>
      <c r="F522">
        <v>4</v>
      </c>
      <c r="G522">
        <v>470.45</v>
      </c>
      <c r="H522">
        <v>0.21</v>
      </c>
      <c r="I522" t="s">
        <v>16</v>
      </c>
      <c r="J522">
        <v>2</v>
      </c>
      <c r="K522">
        <v>1.8</v>
      </c>
      <c r="L522">
        <v>1486.62</v>
      </c>
      <c r="M522">
        <f>(Table1[[#This Row],[unit_price]]*Table1[[#This Row],[quantity]])-(Table1[[#This Row],[unit_price]]*Table1[[#This Row],[discount]]*Table1[[#This Row],[quantity]])</f>
        <v>1486.6219999999998</v>
      </c>
      <c r="N522">
        <f>DAY(Table1[[#This Row],[order_date]])</f>
        <v>5</v>
      </c>
      <c r="O522" t="str">
        <f>TEXT(Table1[[#This Row],[order_date]],"mmm")</f>
        <v>Jun</v>
      </c>
      <c r="P522">
        <f>YEAR(Table1[[#This Row],[order_date]])</f>
        <v>2023</v>
      </c>
    </row>
    <row r="523" spans="1:16" x14ac:dyDescent="0.3">
      <c r="A523">
        <v>10522</v>
      </c>
      <c r="B523" s="1">
        <v>45083</v>
      </c>
      <c r="C523">
        <v>1175</v>
      </c>
      <c r="D523" t="s">
        <v>15</v>
      </c>
      <c r="E523" t="s">
        <v>20</v>
      </c>
      <c r="F523">
        <v>6</v>
      </c>
      <c r="G523">
        <v>515.41999999999996</v>
      </c>
      <c r="H523">
        <v>0.16</v>
      </c>
      <c r="I523" t="s">
        <v>16</v>
      </c>
      <c r="J523">
        <v>4</v>
      </c>
      <c r="K523">
        <v>4.0999999999999996</v>
      </c>
      <c r="L523">
        <v>2597.7199999999998</v>
      </c>
      <c r="M523">
        <f>(Table1[[#This Row],[unit_price]]*Table1[[#This Row],[quantity]])-(Table1[[#This Row],[unit_price]]*Table1[[#This Row],[discount]]*Table1[[#This Row],[quantity]])</f>
        <v>2597.7167999999997</v>
      </c>
      <c r="N523">
        <f>DAY(Table1[[#This Row],[order_date]])</f>
        <v>6</v>
      </c>
      <c r="O523" t="str">
        <f>TEXT(Table1[[#This Row],[order_date]],"mmm")</f>
        <v>Jun</v>
      </c>
      <c r="P523">
        <f>YEAR(Table1[[#This Row],[order_date]])</f>
        <v>2023</v>
      </c>
    </row>
    <row r="524" spans="1:16" x14ac:dyDescent="0.3">
      <c r="A524">
        <v>10523</v>
      </c>
      <c r="B524" s="1">
        <v>45084</v>
      </c>
      <c r="C524">
        <v>1038</v>
      </c>
      <c r="D524" t="s">
        <v>12</v>
      </c>
      <c r="E524" t="s">
        <v>20</v>
      </c>
      <c r="F524">
        <v>4</v>
      </c>
      <c r="G524">
        <v>269.83</v>
      </c>
      <c r="H524">
        <v>0.27</v>
      </c>
      <c r="I524" t="s">
        <v>18</v>
      </c>
      <c r="J524">
        <v>2</v>
      </c>
      <c r="K524">
        <v>2.2999999999999998</v>
      </c>
      <c r="L524">
        <v>787.9</v>
      </c>
      <c r="M524">
        <f>(Table1[[#This Row],[unit_price]]*Table1[[#This Row],[quantity]])-(Table1[[#This Row],[unit_price]]*Table1[[#This Row],[discount]]*Table1[[#This Row],[quantity]])</f>
        <v>787.90359999999987</v>
      </c>
      <c r="N524">
        <f>DAY(Table1[[#This Row],[order_date]])</f>
        <v>7</v>
      </c>
      <c r="O524" t="str">
        <f>TEXT(Table1[[#This Row],[order_date]],"mmm")</f>
        <v>Jun</v>
      </c>
      <c r="P524">
        <f>YEAR(Table1[[#This Row],[order_date]])</f>
        <v>2023</v>
      </c>
    </row>
    <row r="525" spans="1:16" x14ac:dyDescent="0.3">
      <c r="A525">
        <v>10524</v>
      </c>
      <c r="B525" s="1">
        <v>45085</v>
      </c>
      <c r="C525">
        <v>1476</v>
      </c>
      <c r="D525" t="s">
        <v>15</v>
      </c>
      <c r="E525" t="s">
        <v>20</v>
      </c>
      <c r="F525">
        <v>6</v>
      </c>
      <c r="G525">
        <v>236.23</v>
      </c>
      <c r="H525">
        <v>0.15</v>
      </c>
      <c r="I525" t="s">
        <v>14</v>
      </c>
      <c r="J525">
        <v>1</v>
      </c>
      <c r="K525">
        <v>4.7</v>
      </c>
      <c r="L525">
        <v>1204.77</v>
      </c>
      <c r="M525">
        <f>(Table1[[#This Row],[unit_price]]*Table1[[#This Row],[quantity]])-(Table1[[#This Row],[unit_price]]*Table1[[#This Row],[discount]]*Table1[[#This Row],[quantity]])</f>
        <v>1204.7729999999999</v>
      </c>
      <c r="N525">
        <f>DAY(Table1[[#This Row],[order_date]])</f>
        <v>8</v>
      </c>
      <c r="O525" t="str">
        <f>TEXT(Table1[[#This Row],[order_date]],"mmm")</f>
        <v>Jun</v>
      </c>
      <c r="P525">
        <f>YEAR(Table1[[#This Row],[order_date]])</f>
        <v>2023</v>
      </c>
    </row>
    <row r="526" spans="1:16" x14ac:dyDescent="0.3">
      <c r="A526">
        <v>10525</v>
      </c>
      <c r="B526" s="1">
        <v>45086</v>
      </c>
      <c r="C526">
        <v>1681</v>
      </c>
      <c r="D526" t="s">
        <v>22</v>
      </c>
      <c r="E526" t="s">
        <v>13</v>
      </c>
      <c r="F526">
        <v>4</v>
      </c>
      <c r="G526">
        <v>452.43</v>
      </c>
      <c r="H526">
        <v>0.05</v>
      </c>
      <c r="I526" t="s">
        <v>14</v>
      </c>
      <c r="J526">
        <v>6</v>
      </c>
      <c r="K526">
        <v>3</v>
      </c>
      <c r="L526">
        <v>1719.23</v>
      </c>
      <c r="M526">
        <f>(Table1[[#This Row],[unit_price]]*Table1[[#This Row],[quantity]])-(Table1[[#This Row],[unit_price]]*Table1[[#This Row],[discount]]*Table1[[#This Row],[quantity]])</f>
        <v>1719.2339999999999</v>
      </c>
      <c r="N526">
        <f>DAY(Table1[[#This Row],[order_date]])</f>
        <v>9</v>
      </c>
      <c r="O526" t="str">
        <f>TEXT(Table1[[#This Row],[order_date]],"mmm")</f>
        <v>Jun</v>
      </c>
      <c r="P526">
        <f>YEAR(Table1[[#This Row],[order_date]])</f>
        <v>2023</v>
      </c>
    </row>
    <row r="527" spans="1:16" x14ac:dyDescent="0.3">
      <c r="A527">
        <v>10526</v>
      </c>
      <c r="B527" s="1">
        <v>45087</v>
      </c>
      <c r="C527">
        <v>1758</v>
      </c>
      <c r="D527" t="s">
        <v>19</v>
      </c>
      <c r="E527" t="s">
        <v>17</v>
      </c>
      <c r="F527">
        <v>5</v>
      </c>
      <c r="G527">
        <v>549.04</v>
      </c>
      <c r="H527">
        <v>0.34</v>
      </c>
      <c r="I527" t="s">
        <v>14</v>
      </c>
      <c r="J527">
        <v>10</v>
      </c>
      <c r="K527">
        <v>4.4000000000000004</v>
      </c>
      <c r="L527">
        <v>1811.83</v>
      </c>
      <c r="M527">
        <f>(Table1[[#This Row],[unit_price]]*Table1[[#This Row],[quantity]])-(Table1[[#This Row],[unit_price]]*Table1[[#This Row],[discount]]*Table1[[#This Row],[quantity]])</f>
        <v>1811.8319999999999</v>
      </c>
      <c r="N527">
        <f>DAY(Table1[[#This Row],[order_date]])</f>
        <v>10</v>
      </c>
      <c r="O527" t="str">
        <f>TEXT(Table1[[#This Row],[order_date]],"mmm")</f>
        <v>Jun</v>
      </c>
      <c r="P527">
        <f>YEAR(Table1[[#This Row],[order_date]])</f>
        <v>2023</v>
      </c>
    </row>
    <row r="528" spans="1:16" x14ac:dyDescent="0.3">
      <c r="A528">
        <v>10527</v>
      </c>
      <c r="B528" s="1">
        <v>45088</v>
      </c>
      <c r="C528">
        <v>1537</v>
      </c>
      <c r="D528" t="s">
        <v>22</v>
      </c>
      <c r="E528" t="s">
        <v>20</v>
      </c>
      <c r="F528">
        <v>4</v>
      </c>
      <c r="G528">
        <v>456.64</v>
      </c>
      <c r="H528">
        <v>0.08</v>
      </c>
      <c r="I528" t="s">
        <v>14</v>
      </c>
      <c r="J528">
        <v>11</v>
      </c>
      <c r="K528">
        <v>3.5</v>
      </c>
      <c r="L528">
        <v>1680.44</v>
      </c>
      <c r="M528">
        <f>(Table1[[#This Row],[unit_price]]*Table1[[#This Row],[quantity]])-(Table1[[#This Row],[unit_price]]*Table1[[#This Row],[discount]]*Table1[[#This Row],[quantity]])</f>
        <v>1680.4351999999999</v>
      </c>
      <c r="N528">
        <f>DAY(Table1[[#This Row],[order_date]])</f>
        <v>11</v>
      </c>
      <c r="O528" t="str">
        <f>TEXT(Table1[[#This Row],[order_date]],"mmm")</f>
        <v>Jun</v>
      </c>
      <c r="P528">
        <f>YEAR(Table1[[#This Row],[order_date]])</f>
        <v>2023</v>
      </c>
    </row>
    <row r="529" spans="1:16" x14ac:dyDescent="0.3">
      <c r="A529">
        <v>10528</v>
      </c>
      <c r="B529" s="1">
        <v>45089</v>
      </c>
      <c r="C529">
        <v>1866</v>
      </c>
      <c r="D529" t="s">
        <v>12</v>
      </c>
      <c r="E529" t="s">
        <v>13</v>
      </c>
      <c r="F529">
        <v>7</v>
      </c>
      <c r="G529">
        <v>147.87</v>
      </c>
      <c r="H529">
        <v>0.25</v>
      </c>
      <c r="I529" t="s">
        <v>14</v>
      </c>
      <c r="J529">
        <v>5</v>
      </c>
      <c r="K529">
        <v>3.2</v>
      </c>
      <c r="L529">
        <v>776.32</v>
      </c>
      <c r="M529">
        <f>(Table1[[#This Row],[unit_price]]*Table1[[#This Row],[quantity]])-(Table1[[#This Row],[unit_price]]*Table1[[#This Row],[discount]]*Table1[[#This Row],[quantity]])</f>
        <v>776.31750000000011</v>
      </c>
      <c r="N529">
        <f>DAY(Table1[[#This Row],[order_date]])</f>
        <v>12</v>
      </c>
      <c r="O529" t="str">
        <f>TEXT(Table1[[#This Row],[order_date]],"mmm")</f>
        <v>Jun</v>
      </c>
      <c r="P529">
        <f>YEAR(Table1[[#This Row],[order_date]])</f>
        <v>2023</v>
      </c>
    </row>
    <row r="530" spans="1:16" x14ac:dyDescent="0.3">
      <c r="A530">
        <v>10529</v>
      </c>
      <c r="B530" s="1">
        <v>45090</v>
      </c>
      <c r="C530">
        <v>1817</v>
      </c>
      <c r="D530" t="s">
        <v>19</v>
      </c>
      <c r="E530" t="s">
        <v>13</v>
      </c>
      <c r="F530">
        <v>1</v>
      </c>
      <c r="G530">
        <v>534.66</v>
      </c>
      <c r="H530">
        <v>0.05</v>
      </c>
      <c r="I530" t="s">
        <v>18</v>
      </c>
      <c r="J530">
        <v>3</v>
      </c>
      <c r="K530">
        <v>3.7</v>
      </c>
      <c r="L530">
        <v>507.93</v>
      </c>
      <c r="M530">
        <f>(Table1[[#This Row],[unit_price]]*Table1[[#This Row],[quantity]])-(Table1[[#This Row],[unit_price]]*Table1[[#This Row],[discount]]*Table1[[#This Row],[quantity]])</f>
        <v>507.92699999999996</v>
      </c>
      <c r="N530">
        <f>DAY(Table1[[#This Row],[order_date]])</f>
        <v>13</v>
      </c>
      <c r="O530" t="str">
        <f>TEXT(Table1[[#This Row],[order_date]],"mmm")</f>
        <v>Jun</v>
      </c>
      <c r="P530">
        <f>YEAR(Table1[[#This Row],[order_date]])</f>
        <v>2023</v>
      </c>
    </row>
    <row r="531" spans="1:16" x14ac:dyDescent="0.3">
      <c r="A531">
        <v>10530</v>
      </c>
      <c r="B531" s="1">
        <v>45091</v>
      </c>
      <c r="C531">
        <v>1920</v>
      </c>
      <c r="D531" t="s">
        <v>19</v>
      </c>
      <c r="E531" t="s">
        <v>21</v>
      </c>
      <c r="F531">
        <v>6</v>
      </c>
      <c r="G531">
        <v>241.74</v>
      </c>
      <c r="H531">
        <v>0.12</v>
      </c>
      <c r="I531" t="s">
        <v>18</v>
      </c>
      <c r="J531">
        <v>11</v>
      </c>
      <c r="K531">
        <v>4.2</v>
      </c>
      <c r="L531">
        <v>1276.3900000000001</v>
      </c>
      <c r="M531">
        <f>(Table1[[#This Row],[unit_price]]*Table1[[#This Row],[quantity]])-(Table1[[#This Row],[unit_price]]*Table1[[#This Row],[discount]]*Table1[[#This Row],[quantity]])</f>
        <v>1276.3872000000001</v>
      </c>
      <c r="N531">
        <f>DAY(Table1[[#This Row],[order_date]])</f>
        <v>14</v>
      </c>
      <c r="O531" t="str">
        <f>TEXT(Table1[[#This Row],[order_date]],"mmm")</f>
        <v>Jun</v>
      </c>
      <c r="P531">
        <f>YEAR(Table1[[#This Row],[order_date]])</f>
        <v>2023</v>
      </c>
    </row>
    <row r="532" spans="1:16" x14ac:dyDescent="0.3">
      <c r="A532">
        <v>10531</v>
      </c>
      <c r="B532" s="1">
        <v>45092</v>
      </c>
      <c r="C532">
        <v>1407</v>
      </c>
      <c r="D532" t="s">
        <v>15</v>
      </c>
      <c r="E532" t="s">
        <v>17</v>
      </c>
      <c r="F532">
        <v>1</v>
      </c>
      <c r="G532">
        <v>352.09</v>
      </c>
      <c r="H532">
        <v>0.15</v>
      </c>
      <c r="I532" t="s">
        <v>16</v>
      </c>
      <c r="J532">
        <v>1</v>
      </c>
      <c r="K532">
        <v>3.6</v>
      </c>
      <c r="L532">
        <v>299.27999999999997</v>
      </c>
      <c r="M532">
        <f>(Table1[[#This Row],[unit_price]]*Table1[[#This Row],[quantity]])-(Table1[[#This Row],[unit_price]]*Table1[[#This Row],[discount]]*Table1[[#This Row],[quantity]])</f>
        <v>299.2765</v>
      </c>
      <c r="N532">
        <f>DAY(Table1[[#This Row],[order_date]])</f>
        <v>15</v>
      </c>
      <c r="O532" t="str">
        <f>TEXT(Table1[[#This Row],[order_date]],"mmm")</f>
        <v>Jun</v>
      </c>
      <c r="P532">
        <f>YEAR(Table1[[#This Row],[order_date]])</f>
        <v>2023</v>
      </c>
    </row>
    <row r="533" spans="1:16" x14ac:dyDescent="0.3">
      <c r="A533">
        <v>10532</v>
      </c>
      <c r="B533" s="1">
        <v>45093</v>
      </c>
      <c r="C533">
        <v>1524</v>
      </c>
      <c r="D533" t="s">
        <v>19</v>
      </c>
      <c r="E533" t="s">
        <v>17</v>
      </c>
      <c r="F533">
        <v>7</v>
      </c>
      <c r="G533">
        <v>501.39</v>
      </c>
      <c r="H533">
        <v>7.0000000000000007E-2</v>
      </c>
      <c r="I533" t="s">
        <v>14</v>
      </c>
      <c r="J533">
        <v>9</v>
      </c>
      <c r="K533">
        <v>4.2</v>
      </c>
      <c r="L533">
        <v>3264.05</v>
      </c>
      <c r="M533">
        <f>(Table1[[#This Row],[unit_price]]*Table1[[#This Row],[quantity]])-(Table1[[#This Row],[unit_price]]*Table1[[#This Row],[discount]]*Table1[[#This Row],[quantity]])</f>
        <v>3264.0488999999998</v>
      </c>
      <c r="N533">
        <f>DAY(Table1[[#This Row],[order_date]])</f>
        <v>16</v>
      </c>
      <c r="O533" t="str">
        <f>TEXT(Table1[[#This Row],[order_date]],"mmm")</f>
        <v>Jun</v>
      </c>
      <c r="P533">
        <f>YEAR(Table1[[#This Row],[order_date]])</f>
        <v>2023</v>
      </c>
    </row>
    <row r="534" spans="1:16" x14ac:dyDescent="0.3">
      <c r="A534">
        <v>10533</v>
      </c>
      <c r="B534" s="1">
        <v>45094</v>
      </c>
      <c r="C534">
        <v>1827</v>
      </c>
      <c r="D534" t="s">
        <v>22</v>
      </c>
      <c r="E534" t="s">
        <v>21</v>
      </c>
      <c r="F534">
        <v>7</v>
      </c>
      <c r="G534">
        <v>125.21</v>
      </c>
      <c r="H534">
        <v>0.16</v>
      </c>
      <c r="I534" t="s">
        <v>16</v>
      </c>
      <c r="J534">
        <v>8</v>
      </c>
      <c r="K534">
        <v>1.8</v>
      </c>
      <c r="L534">
        <v>736.23</v>
      </c>
      <c r="M534">
        <f>(Table1[[#This Row],[unit_price]]*Table1[[#This Row],[quantity]])-(Table1[[#This Row],[unit_price]]*Table1[[#This Row],[discount]]*Table1[[#This Row],[quantity]])</f>
        <v>736.23479999999995</v>
      </c>
      <c r="N534">
        <f>DAY(Table1[[#This Row],[order_date]])</f>
        <v>17</v>
      </c>
      <c r="O534" t="str">
        <f>TEXT(Table1[[#This Row],[order_date]],"mmm")</f>
        <v>Jun</v>
      </c>
      <c r="P534">
        <f>YEAR(Table1[[#This Row],[order_date]])</f>
        <v>2023</v>
      </c>
    </row>
    <row r="535" spans="1:16" x14ac:dyDescent="0.3">
      <c r="A535">
        <v>10534</v>
      </c>
      <c r="B535" s="1">
        <v>45095</v>
      </c>
      <c r="C535">
        <v>1505</v>
      </c>
      <c r="D535" t="s">
        <v>12</v>
      </c>
      <c r="E535" t="s">
        <v>17</v>
      </c>
      <c r="F535">
        <v>4</v>
      </c>
      <c r="G535">
        <v>473.94</v>
      </c>
      <c r="H535">
        <v>0.06</v>
      </c>
      <c r="I535" t="s">
        <v>16</v>
      </c>
      <c r="J535">
        <v>6</v>
      </c>
      <c r="K535">
        <v>2.1</v>
      </c>
      <c r="L535">
        <v>1782.01</v>
      </c>
      <c r="M535">
        <f>(Table1[[#This Row],[unit_price]]*Table1[[#This Row],[quantity]])-(Table1[[#This Row],[unit_price]]*Table1[[#This Row],[discount]]*Table1[[#This Row],[quantity]])</f>
        <v>1782.0144</v>
      </c>
      <c r="N535">
        <f>DAY(Table1[[#This Row],[order_date]])</f>
        <v>18</v>
      </c>
      <c r="O535" t="str">
        <f>TEXT(Table1[[#This Row],[order_date]],"mmm")</f>
        <v>Jun</v>
      </c>
      <c r="P535">
        <f>YEAR(Table1[[#This Row],[order_date]])</f>
        <v>2023</v>
      </c>
    </row>
    <row r="536" spans="1:16" x14ac:dyDescent="0.3">
      <c r="A536">
        <v>10535</v>
      </c>
      <c r="B536" s="1">
        <v>45096</v>
      </c>
      <c r="C536">
        <v>1902</v>
      </c>
      <c r="D536" t="s">
        <v>15</v>
      </c>
      <c r="E536" t="s">
        <v>21</v>
      </c>
      <c r="F536">
        <v>3</v>
      </c>
      <c r="G536">
        <v>363.76</v>
      </c>
      <c r="H536">
        <v>0.2</v>
      </c>
      <c r="I536" t="s">
        <v>14</v>
      </c>
      <c r="J536">
        <v>6</v>
      </c>
      <c r="K536">
        <v>1.9</v>
      </c>
      <c r="L536">
        <v>873.02</v>
      </c>
      <c r="M536">
        <f>(Table1[[#This Row],[unit_price]]*Table1[[#This Row],[quantity]])-(Table1[[#This Row],[unit_price]]*Table1[[#This Row],[discount]]*Table1[[#This Row],[quantity]])</f>
        <v>873.024</v>
      </c>
      <c r="N536">
        <f>DAY(Table1[[#This Row],[order_date]])</f>
        <v>19</v>
      </c>
      <c r="O536" t="str">
        <f>TEXT(Table1[[#This Row],[order_date]],"mmm")</f>
        <v>Jun</v>
      </c>
      <c r="P536">
        <f>YEAR(Table1[[#This Row],[order_date]])</f>
        <v>2023</v>
      </c>
    </row>
    <row r="537" spans="1:16" x14ac:dyDescent="0.3">
      <c r="A537">
        <v>10536</v>
      </c>
      <c r="B537" s="1">
        <v>45097</v>
      </c>
      <c r="C537">
        <v>1824</v>
      </c>
      <c r="D537" t="s">
        <v>19</v>
      </c>
      <c r="E537" t="s">
        <v>13</v>
      </c>
      <c r="F537">
        <v>3</v>
      </c>
      <c r="G537">
        <v>537.6</v>
      </c>
      <c r="H537">
        <v>0.23</v>
      </c>
      <c r="I537" t="s">
        <v>16</v>
      </c>
      <c r="J537">
        <v>4</v>
      </c>
      <c r="K537">
        <v>4.2</v>
      </c>
      <c r="L537">
        <v>1241.8599999999999</v>
      </c>
      <c r="M537">
        <f>(Table1[[#This Row],[unit_price]]*Table1[[#This Row],[quantity]])-(Table1[[#This Row],[unit_price]]*Table1[[#This Row],[discount]]*Table1[[#This Row],[quantity]])</f>
        <v>1241.8560000000002</v>
      </c>
      <c r="N537">
        <f>DAY(Table1[[#This Row],[order_date]])</f>
        <v>20</v>
      </c>
      <c r="O537" t="str">
        <f>TEXT(Table1[[#This Row],[order_date]],"mmm")</f>
        <v>Jun</v>
      </c>
      <c r="P537">
        <f>YEAR(Table1[[#This Row],[order_date]])</f>
        <v>2023</v>
      </c>
    </row>
    <row r="538" spans="1:16" x14ac:dyDescent="0.3">
      <c r="A538">
        <v>10537</v>
      </c>
      <c r="B538" s="1">
        <v>45098</v>
      </c>
      <c r="C538">
        <v>1035</v>
      </c>
      <c r="D538" t="s">
        <v>15</v>
      </c>
      <c r="E538" t="s">
        <v>13</v>
      </c>
      <c r="F538">
        <v>7</v>
      </c>
      <c r="G538">
        <v>115.6</v>
      </c>
      <c r="H538">
        <v>0.02</v>
      </c>
      <c r="I538" t="s">
        <v>14</v>
      </c>
      <c r="J538">
        <v>2</v>
      </c>
      <c r="K538">
        <v>1.3</v>
      </c>
      <c r="L538">
        <v>793.02</v>
      </c>
      <c r="M538">
        <f>(Table1[[#This Row],[unit_price]]*Table1[[#This Row],[quantity]])-(Table1[[#This Row],[unit_price]]*Table1[[#This Row],[discount]]*Table1[[#This Row],[quantity]])</f>
        <v>793.01599999999996</v>
      </c>
      <c r="N538">
        <f>DAY(Table1[[#This Row],[order_date]])</f>
        <v>21</v>
      </c>
      <c r="O538" t="str">
        <f>TEXT(Table1[[#This Row],[order_date]],"mmm")</f>
        <v>Jun</v>
      </c>
      <c r="P538">
        <f>YEAR(Table1[[#This Row],[order_date]])</f>
        <v>2023</v>
      </c>
    </row>
    <row r="539" spans="1:16" x14ac:dyDescent="0.3">
      <c r="A539">
        <v>10538</v>
      </c>
      <c r="B539" s="1">
        <v>45099</v>
      </c>
      <c r="C539">
        <v>1684</v>
      </c>
      <c r="D539" t="s">
        <v>22</v>
      </c>
      <c r="E539" t="s">
        <v>20</v>
      </c>
      <c r="F539">
        <v>3</v>
      </c>
      <c r="G539">
        <v>261.10000000000002</v>
      </c>
      <c r="H539">
        <v>0.3</v>
      </c>
      <c r="I539" t="s">
        <v>18</v>
      </c>
      <c r="J539">
        <v>4</v>
      </c>
      <c r="K539">
        <v>4.2</v>
      </c>
      <c r="L539">
        <v>548.30999999999995</v>
      </c>
      <c r="M539">
        <f>(Table1[[#This Row],[unit_price]]*Table1[[#This Row],[quantity]])-(Table1[[#This Row],[unit_price]]*Table1[[#This Row],[discount]]*Table1[[#This Row],[quantity]])</f>
        <v>548.31000000000006</v>
      </c>
      <c r="N539">
        <f>DAY(Table1[[#This Row],[order_date]])</f>
        <v>22</v>
      </c>
      <c r="O539" t="str">
        <f>TEXT(Table1[[#This Row],[order_date]],"mmm")</f>
        <v>Jun</v>
      </c>
      <c r="P539">
        <f>YEAR(Table1[[#This Row],[order_date]])</f>
        <v>2023</v>
      </c>
    </row>
    <row r="540" spans="1:16" x14ac:dyDescent="0.3">
      <c r="A540">
        <v>10539</v>
      </c>
      <c r="B540" s="1">
        <v>45100</v>
      </c>
      <c r="C540">
        <v>1019</v>
      </c>
      <c r="D540" t="s">
        <v>19</v>
      </c>
      <c r="E540" t="s">
        <v>21</v>
      </c>
      <c r="F540">
        <v>6</v>
      </c>
      <c r="G540">
        <v>502.21</v>
      </c>
      <c r="H540">
        <v>0.06</v>
      </c>
      <c r="I540" t="s">
        <v>16</v>
      </c>
      <c r="J540">
        <v>2</v>
      </c>
      <c r="K540">
        <v>2.6</v>
      </c>
      <c r="L540">
        <v>2832.46</v>
      </c>
      <c r="M540">
        <f>(Table1[[#This Row],[unit_price]]*Table1[[#This Row],[quantity]])-(Table1[[#This Row],[unit_price]]*Table1[[#This Row],[discount]]*Table1[[#This Row],[quantity]])</f>
        <v>2832.4643999999998</v>
      </c>
      <c r="N540">
        <f>DAY(Table1[[#This Row],[order_date]])</f>
        <v>23</v>
      </c>
      <c r="O540" t="str">
        <f>TEXT(Table1[[#This Row],[order_date]],"mmm")</f>
        <v>Jun</v>
      </c>
      <c r="P540">
        <f>YEAR(Table1[[#This Row],[order_date]])</f>
        <v>2023</v>
      </c>
    </row>
    <row r="541" spans="1:16" x14ac:dyDescent="0.3">
      <c r="A541">
        <v>10540</v>
      </c>
      <c r="B541" s="1">
        <v>45101</v>
      </c>
      <c r="C541">
        <v>1320</v>
      </c>
      <c r="D541" t="s">
        <v>15</v>
      </c>
      <c r="E541" t="s">
        <v>13</v>
      </c>
      <c r="F541">
        <v>2</v>
      </c>
      <c r="G541">
        <v>26.25</v>
      </c>
      <c r="H541">
        <v>0.08</v>
      </c>
      <c r="I541" t="s">
        <v>18</v>
      </c>
      <c r="J541">
        <v>7</v>
      </c>
      <c r="K541">
        <v>1.3</v>
      </c>
      <c r="L541">
        <v>48.3</v>
      </c>
      <c r="M541">
        <f>(Table1[[#This Row],[unit_price]]*Table1[[#This Row],[quantity]])-(Table1[[#This Row],[unit_price]]*Table1[[#This Row],[discount]]*Table1[[#This Row],[quantity]])</f>
        <v>48.3</v>
      </c>
      <c r="N541">
        <f>DAY(Table1[[#This Row],[order_date]])</f>
        <v>24</v>
      </c>
      <c r="O541" t="str">
        <f>TEXT(Table1[[#This Row],[order_date]],"mmm")</f>
        <v>Jun</v>
      </c>
      <c r="P541">
        <f>YEAR(Table1[[#This Row],[order_date]])</f>
        <v>2023</v>
      </c>
    </row>
    <row r="542" spans="1:16" x14ac:dyDescent="0.3">
      <c r="A542">
        <v>10541</v>
      </c>
      <c r="B542" s="1">
        <v>45102</v>
      </c>
      <c r="C542">
        <v>1775</v>
      </c>
      <c r="D542" t="s">
        <v>15</v>
      </c>
      <c r="E542" t="s">
        <v>13</v>
      </c>
      <c r="F542">
        <v>5</v>
      </c>
      <c r="G542">
        <v>80.64</v>
      </c>
      <c r="H542">
        <v>0.23</v>
      </c>
      <c r="I542" t="s">
        <v>14</v>
      </c>
      <c r="J542">
        <v>9</v>
      </c>
      <c r="K542">
        <v>2.7</v>
      </c>
      <c r="L542">
        <v>310.45999999999998</v>
      </c>
      <c r="M542">
        <f>(Table1[[#This Row],[unit_price]]*Table1[[#This Row],[quantity]])-(Table1[[#This Row],[unit_price]]*Table1[[#This Row],[discount]]*Table1[[#This Row],[quantity]])</f>
        <v>310.464</v>
      </c>
      <c r="N542">
        <f>DAY(Table1[[#This Row],[order_date]])</f>
        <v>25</v>
      </c>
      <c r="O542" t="str">
        <f>TEXT(Table1[[#This Row],[order_date]],"mmm")</f>
        <v>Jun</v>
      </c>
      <c r="P542">
        <f>YEAR(Table1[[#This Row],[order_date]])</f>
        <v>2023</v>
      </c>
    </row>
    <row r="543" spans="1:16" x14ac:dyDescent="0.3">
      <c r="A543">
        <v>10542</v>
      </c>
      <c r="B543" s="1">
        <v>45103</v>
      </c>
      <c r="C543">
        <v>1511</v>
      </c>
      <c r="D543" t="s">
        <v>15</v>
      </c>
      <c r="E543" t="s">
        <v>21</v>
      </c>
      <c r="F543">
        <v>4</v>
      </c>
      <c r="G543">
        <v>594.48</v>
      </c>
      <c r="H543">
        <v>0.16</v>
      </c>
      <c r="I543" t="s">
        <v>16</v>
      </c>
      <c r="J543">
        <v>2</v>
      </c>
      <c r="K543">
        <v>2.2000000000000002</v>
      </c>
      <c r="L543">
        <v>1997.45</v>
      </c>
      <c r="M543">
        <f>(Table1[[#This Row],[unit_price]]*Table1[[#This Row],[quantity]])-(Table1[[#This Row],[unit_price]]*Table1[[#This Row],[discount]]*Table1[[#This Row],[quantity]])</f>
        <v>1997.4528</v>
      </c>
      <c r="N543">
        <f>DAY(Table1[[#This Row],[order_date]])</f>
        <v>26</v>
      </c>
      <c r="O543" t="str">
        <f>TEXT(Table1[[#This Row],[order_date]],"mmm")</f>
        <v>Jun</v>
      </c>
      <c r="P543">
        <f>YEAR(Table1[[#This Row],[order_date]])</f>
        <v>2023</v>
      </c>
    </row>
    <row r="544" spans="1:16" x14ac:dyDescent="0.3">
      <c r="A544">
        <v>10543</v>
      </c>
      <c r="B544" s="1">
        <v>45104</v>
      </c>
      <c r="C544">
        <v>1399</v>
      </c>
      <c r="D544" t="s">
        <v>19</v>
      </c>
      <c r="E544" t="s">
        <v>13</v>
      </c>
      <c r="F544">
        <v>2</v>
      </c>
      <c r="G544">
        <v>179.03</v>
      </c>
      <c r="H544">
        <v>0.17</v>
      </c>
      <c r="I544" t="s">
        <v>18</v>
      </c>
      <c r="J544">
        <v>9</v>
      </c>
      <c r="K544">
        <v>3.4</v>
      </c>
      <c r="L544">
        <v>297.19</v>
      </c>
      <c r="M544">
        <f>(Table1[[#This Row],[unit_price]]*Table1[[#This Row],[quantity]])-(Table1[[#This Row],[unit_price]]*Table1[[#This Row],[discount]]*Table1[[#This Row],[quantity]])</f>
        <v>297.18979999999999</v>
      </c>
      <c r="N544">
        <f>DAY(Table1[[#This Row],[order_date]])</f>
        <v>27</v>
      </c>
      <c r="O544" t="str">
        <f>TEXT(Table1[[#This Row],[order_date]],"mmm")</f>
        <v>Jun</v>
      </c>
      <c r="P544">
        <f>YEAR(Table1[[#This Row],[order_date]])</f>
        <v>2023</v>
      </c>
    </row>
    <row r="545" spans="1:16" x14ac:dyDescent="0.3">
      <c r="A545">
        <v>10544</v>
      </c>
      <c r="B545" s="1">
        <v>45105</v>
      </c>
      <c r="C545">
        <v>1653</v>
      </c>
      <c r="D545" t="s">
        <v>22</v>
      </c>
      <c r="E545" t="s">
        <v>17</v>
      </c>
      <c r="F545">
        <v>3</v>
      </c>
      <c r="G545">
        <v>585.69000000000005</v>
      </c>
      <c r="H545">
        <v>0.04</v>
      </c>
      <c r="I545" t="s">
        <v>14</v>
      </c>
      <c r="J545">
        <v>9</v>
      </c>
      <c r="K545">
        <v>2.9</v>
      </c>
      <c r="L545">
        <v>1686.79</v>
      </c>
      <c r="M545">
        <f>(Table1[[#This Row],[unit_price]]*Table1[[#This Row],[quantity]])-(Table1[[#This Row],[unit_price]]*Table1[[#This Row],[discount]]*Table1[[#This Row],[quantity]])</f>
        <v>1686.7872000000002</v>
      </c>
      <c r="N545">
        <f>DAY(Table1[[#This Row],[order_date]])</f>
        <v>28</v>
      </c>
      <c r="O545" t="str">
        <f>TEXT(Table1[[#This Row],[order_date]],"mmm")</f>
        <v>Jun</v>
      </c>
      <c r="P545">
        <f>YEAR(Table1[[#This Row],[order_date]])</f>
        <v>2023</v>
      </c>
    </row>
    <row r="546" spans="1:16" x14ac:dyDescent="0.3">
      <c r="A546">
        <v>10545</v>
      </c>
      <c r="B546" s="1">
        <v>45106</v>
      </c>
      <c r="C546">
        <v>1971</v>
      </c>
      <c r="D546" t="s">
        <v>19</v>
      </c>
      <c r="E546" t="s">
        <v>13</v>
      </c>
      <c r="F546">
        <v>4</v>
      </c>
      <c r="G546">
        <v>121.78</v>
      </c>
      <c r="H546">
        <v>0.28000000000000003</v>
      </c>
      <c r="I546" t="s">
        <v>16</v>
      </c>
      <c r="J546">
        <v>8</v>
      </c>
      <c r="K546">
        <v>2.2000000000000002</v>
      </c>
      <c r="L546">
        <v>350.73</v>
      </c>
      <c r="M546">
        <f>(Table1[[#This Row],[unit_price]]*Table1[[#This Row],[quantity]])-(Table1[[#This Row],[unit_price]]*Table1[[#This Row],[discount]]*Table1[[#This Row],[quantity]])</f>
        <v>350.72640000000001</v>
      </c>
      <c r="N546">
        <f>DAY(Table1[[#This Row],[order_date]])</f>
        <v>29</v>
      </c>
      <c r="O546" t="str">
        <f>TEXT(Table1[[#This Row],[order_date]],"mmm")</f>
        <v>Jun</v>
      </c>
      <c r="P546">
        <f>YEAR(Table1[[#This Row],[order_date]])</f>
        <v>2023</v>
      </c>
    </row>
    <row r="547" spans="1:16" x14ac:dyDescent="0.3">
      <c r="A547">
        <v>10546</v>
      </c>
      <c r="B547" s="1">
        <v>45107</v>
      </c>
      <c r="C547">
        <v>1882</v>
      </c>
      <c r="D547" t="s">
        <v>19</v>
      </c>
      <c r="E547" t="s">
        <v>21</v>
      </c>
      <c r="F547">
        <v>2</v>
      </c>
      <c r="G547">
        <v>226.24</v>
      </c>
      <c r="H547">
        <v>0.22</v>
      </c>
      <c r="I547" t="s">
        <v>16</v>
      </c>
      <c r="J547">
        <v>1</v>
      </c>
      <c r="K547">
        <v>4.4000000000000004</v>
      </c>
      <c r="L547">
        <v>352.93</v>
      </c>
      <c r="M547">
        <f>(Table1[[#This Row],[unit_price]]*Table1[[#This Row],[quantity]])-(Table1[[#This Row],[unit_price]]*Table1[[#This Row],[discount]]*Table1[[#This Row],[quantity]])</f>
        <v>352.93439999999998</v>
      </c>
      <c r="N547">
        <f>DAY(Table1[[#This Row],[order_date]])</f>
        <v>30</v>
      </c>
      <c r="O547" t="str">
        <f>TEXT(Table1[[#This Row],[order_date]],"mmm")</f>
        <v>Jun</v>
      </c>
      <c r="P547">
        <f>YEAR(Table1[[#This Row],[order_date]])</f>
        <v>2023</v>
      </c>
    </row>
    <row r="548" spans="1:16" x14ac:dyDescent="0.3">
      <c r="A548">
        <v>10547</v>
      </c>
      <c r="B548" s="1">
        <v>45108</v>
      </c>
      <c r="C548">
        <v>1470</v>
      </c>
      <c r="D548" t="s">
        <v>12</v>
      </c>
      <c r="E548" t="s">
        <v>17</v>
      </c>
      <c r="F548">
        <v>1</v>
      </c>
      <c r="G548">
        <v>455.43</v>
      </c>
      <c r="H548">
        <v>0.05</v>
      </c>
      <c r="I548" t="s">
        <v>16</v>
      </c>
      <c r="J548">
        <v>5</v>
      </c>
      <c r="K548">
        <v>2.6</v>
      </c>
      <c r="L548">
        <v>432.66</v>
      </c>
      <c r="M548">
        <f>(Table1[[#This Row],[unit_price]]*Table1[[#This Row],[quantity]])-(Table1[[#This Row],[unit_price]]*Table1[[#This Row],[discount]]*Table1[[#This Row],[quantity]])</f>
        <v>432.6585</v>
      </c>
      <c r="N548">
        <f>DAY(Table1[[#This Row],[order_date]])</f>
        <v>1</v>
      </c>
      <c r="O548" t="str">
        <f>TEXT(Table1[[#This Row],[order_date]],"mmm")</f>
        <v>Jul</v>
      </c>
      <c r="P548">
        <f>YEAR(Table1[[#This Row],[order_date]])</f>
        <v>2023</v>
      </c>
    </row>
    <row r="549" spans="1:16" x14ac:dyDescent="0.3">
      <c r="A549">
        <v>10548</v>
      </c>
      <c r="B549" s="1">
        <v>45109</v>
      </c>
      <c r="C549">
        <v>1142</v>
      </c>
      <c r="D549" t="s">
        <v>22</v>
      </c>
      <c r="E549" t="s">
        <v>17</v>
      </c>
      <c r="F549">
        <v>3</v>
      </c>
      <c r="G549">
        <v>399.8</v>
      </c>
      <c r="H549">
        <v>0.13</v>
      </c>
      <c r="I549" t="s">
        <v>16</v>
      </c>
      <c r="J549">
        <v>10</v>
      </c>
      <c r="K549">
        <v>2.9</v>
      </c>
      <c r="L549">
        <v>1043.48</v>
      </c>
      <c r="M549">
        <f>(Table1[[#This Row],[unit_price]]*Table1[[#This Row],[quantity]])-(Table1[[#This Row],[unit_price]]*Table1[[#This Row],[discount]]*Table1[[#This Row],[quantity]])</f>
        <v>1043.4780000000001</v>
      </c>
      <c r="N549">
        <f>DAY(Table1[[#This Row],[order_date]])</f>
        <v>2</v>
      </c>
      <c r="O549" t="str">
        <f>TEXT(Table1[[#This Row],[order_date]],"mmm")</f>
        <v>Jul</v>
      </c>
      <c r="P549">
        <f>YEAR(Table1[[#This Row],[order_date]])</f>
        <v>2023</v>
      </c>
    </row>
    <row r="550" spans="1:16" x14ac:dyDescent="0.3">
      <c r="A550">
        <v>10549</v>
      </c>
      <c r="B550" s="1">
        <v>45110</v>
      </c>
      <c r="C550">
        <v>1091</v>
      </c>
      <c r="D550" t="s">
        <v>19</v>
      </c>
      <c r="E550" t="s">
        <v>13</v>
      </c>
      <c r="F550">
        <v>2</v>
      </c>
      <c r="G550">
        <v>354.96</v>
      </c>
      <c r="H550">
        <v>0.28000000000000003</v>
      </c>
      <c r="I550" t="s">
        <v>16</v>
      </c>
      <c r="J550">
        <v>11</v>
      </c>
      <c r="K550">
        <v>4.4000000000000004</v>
      </c>
      <c r="L550">
        <v>511.14</v>
      </c>
      <c r="M550">
        <f>(Table1[[#This Row],[unit_price]]*Table1[[#This Row],[quantity]])-(Table1[[#This Row],[unit_price]]*Table1[[#This Row],[discount]]*Table1[[#This Row],[quantity]])</f>
        <v>511.14239999999995</v>
      </c>
      <c r="N550">
        <f>DAY(Table1[[#This Row],[order_date]])</f>
        <v>3</v>
      </c>
      <c r="O550" t="str">
        <f>TEXT(Table1[[#This Row],[order_date]],"mmm")</f>
        <v>Jul</v>
      </c>
      <c r="P550">
        <f>YEAR(Table1[[#This Row],[order_date]])</f>
        <v>2023</v>
      </c>
    </row>
    <row r="551" spans="1:16" x14ac:dyDescent="0.3">
      <c r="A551">
        <v>10550</v>
      </c>
      <c r="B551" s="1">
        <v>45111</v>
      </c>
      <c r="C551">
        <v>1353</v>
      </c>
      <c r="D551" t="s">
        <v>19</v>
      </c>
      <c r="E551" t="s">
        <v>20</v>
      </c>
      <c r="F551">
        <v>6</v>
      </c>
      <c r="G551">
        <v>324.99</v>
      </c>
      <c r="H551">
        <v>0.2</v>
      </c>
      <c r="I551" t="s">
        <v>18</v>
      </c>
      <c r="J551">
        <v>4</v>
      </c>
      <c r="K551">
        <v>1.4</v>
      </c>
      <c r="L551">
        <v>1559.95</v>
      </c>
      <c r="M551">
        <f>(Table1[[#This Row],[unit_price]]*Table1[[#This Row],[quantity]])-(Table1[[#This Row],[unit_price]]*Table1[[#This Row],[discount]]*Table1[[#This Row],[quantity]])</f>
        <v>1559.952</v>
      </c>
      <c r="N551">
        <f>DAY(Table1[[#This Row],[order_date]])</f>
        <v>4</v>
      </c>
      <c r="O551" t="str">
        <f>TEXT(Table1[[#This Row],[order_date]],"mmm")</f>
        <v>Jul</v>
      </c>
      <c r="P551">
        <f>YEAR(Table1[[#This Row],[order_date]])</f>
        <v>2023</v>
      </c>
    </row>
    <row r="552" spans="1:16" x14ac:dyDescent="0.3">
      <c r="A552">
        <v>10551</v>
      </c>
      <c r="B552" s="1">
        <v>45112</v>
      </c>
      <c r="C552">
        <v>1833</v>
      </c>
      <c r="D552" t="s">
        <v>19</v>
      </c>
      <c r="E552" t="s">
        <v>17</v>
      </c>
      <c r="F552">
        <v>1</v>
      </c>
      <c r="G552">
        <v>508.41</v>
      </c>
      <c r="H552">
        <v>0.04</v>
      </c>
      <c r="I552" t="s">
        <v>16</v>
      </c>
      <c r="J552">
        <v>7</v>
      </c>
      <c r="K552">
        <v>2.6</v>
      </c>
      <c r="L552">
        <v>488.07</v>
      </c>
      <c r="M552">
        <f>(Table1[[#This Row],[unit_price]]*Table1[[#This Row],[quantity]])-(Table1[[#This Row],[unit_price]]*Table1[[#This Row],[discount]]*Table1[[#This Row],[quantity]])</f>
        <v>488.0736</v>
      </c>
      <c r="N552">
        <f>DAY(Table1[[#This Row],[order_date]])</f>
        <v>5</v>
      </c>
      <c r="O552" t="str">
        <f>TEXT(Table1[[#This Row],[order_date]],"mmm")</f>
        <v>Jul</v>
      </c>
      <c r="P552">
        <f>YEAR(Table1[[#This Row],[order_date]])</f>
        <v>2023</v>
      </c>
    </row>
    <row r="553" spans="1:16" x14ac:dyDescent="0.3">
      <c r="A553">
        <v>10552</v>
      </c>
      <c r="B553" s="1">
        <v>45113</v>
      </c>
      <c r="C553">
        <v>1799</v>
      </c>
      <c r="D553" t="s">
        <v>19</v>
      </c>
      <c r="E553" t="s">
        <v>21</v>
      </c>
      <c r="F553">
        <v>3</v>
      </c>
      <c r="G553">
        <v>152.44</v>
      </c>
      <c r="H553">
        <v>0.13</v>
      </c>
      <c r="I553" t="s">
        <v>14</v>
      </c>
      <c r="J553">
        <v>11</v>
      </c>
      <c r="K553">
        <v>2.6</v>
      </c>
      <c r="L553">
        <v>397.87</v>
      </c>
      <c r="M553">
        <f>(Table1[[#This Row],[unit_price]]*Table1[[#This Row],[quantity]])-(Table1[[#This Row],[unit_price]]*Table1[[#This Row],[discount]]*Table1[[#This Row],[quantity]])</f>
        <v>397.86840000000001</v>
      </c>
      <c r="N553">
        <f>DAY(Table1[[#This Row],[order_date]])</f>
        <v>6</v>
      </c>
      <c r="O553" t="str">
        <f>TEXT(Table1[[#This Row],[order_date]],"mmm")</f>
        <v>Jul</v>
      </c>
      <c r="P553">
        <f>YEAR(Table1[[#This Row],[order_date]])</f>
        <v>2023</v>
      </c>
    </row>
    <row r="554" spans="1:16" x14ac:dyDescent="0.3">
      <c r="A554">
        <v>10553</v>
      </c>
      <c r="B554" s="1">
        <v>45114</v>
      </c>
      <c r="C554">
        <v>1726</v>
      </c>
      <c r="D554" t="s">
        <v>19</v>
      </c>
      <c r="E554" t="s">
        <v>20</v>
      </c>
      <c r="F554">
        <v>5</v>
      </c>
      <c r="G554">
        <v>273.85000000000002</v>
      </c>
      <c r="H554">
        <v>0.08</v>
      </c>
      <c r="I554" t="s">
        <v>16</v>
      </c>
      <c r="J554">
        <v>8</v>
      </c>
      <c r="K554">
        <v>3</v>
      </c>
      <c r="L554">
        <v>1259.71</v>
      </c>
      <c r="M554">
        <f>(Table1[[#This Row],[unit_price]]*Table1[[#This Row],[quantity]])-(Table1[[#This Row],[unit_price]]*Table1[[#This Row],[discount]]*Table1[[#This Row],[quantity]])</f>
        <v>1259.71</v>
      </c>
      <c r="N554">
        <f>DAY(Table1[[#This Row],[order_date]])</f>
        <v>7</v>
      </c>
      <c r="O554" t="str">
        <f>TEXT(Table1[[#This Row],[order_date]],"mmm")</f>
        <v>Jul</v>
      </c>
      <c r="P554">
        <f>YEAR(Table1[[#This Row],[order_date]])</f>
        <v>2023</v>
      </c>
    </row>
    <row r="555" spans="1:16" x14ac:dyDescent="0.3">
      <c r="A555">
        <v>10554</v>
      </c>
      <c r="B555" s="1">
        <v>45115</v>
      </c>
      <c r="C555">
        <v>1958</v>
      </c>
      <c r="D555" t="s">
        <v>19</v>
      </c>
      <c r="E555" t="s">
        <v>20</v>
      </c>
      <c r="F555">
        <v>7</v>
      </c>
      <c r="G555">
        <v>105.94</v>
      </c>
      <c r="H555">
        <v>0.18</v>
      </c>
      <c r="I555" t="s">
        <v>18</v>
      </c>
      <c r="J555">
        <v>10</v>
      </c>
      <c r="K555">
        <v>1.4</v>
      </c>
      <c r="L555">
        <v>608.1</v>
      </c>
      <c r="M555">
        <f>(Table1[[#This Row],[unit_price]]*Table1[[#This Row],[quantity]])-(Table1[[#This Row],[unit_price]]*Table1[[#This Row],[discount]]*Table1[[#This Row],[quantity]])</f>
        <v>608.09559999999988</v>
      </c>
      <c r="N555">
        <f>DAY(Table1[[#This Row],[order_date]])</f>
        <v>8</v>
      </c>
      <c r="O555" t="str">
        <f>TEXT(Table1[[#This Row],[order_date]],"mmm")</f>
        <v>Jul</v>
      </c>
      <c r="P555">
        <f>YEAR(Table1[[#This Row],[order_date]])</f>
        <v>2023</v>
      </c>
    </row>
    <row r="556" spans="1:16" x14ac:dyDescent="0.3">
      <c r="A556">
        <v>10555</v>
      </c>
      <c r="B556" s="1">
        <v>45116</v>
      </c>
      <c r="C556">
        <v>1853</v>
      </c>
      <c r="D556" t="s">
        <v>15</v>
      </c>
      <c r="E556" t="s">
        <v>17</v>
      </c>
      <c r="F556">
        <v>3</v>
      </c>
      <c r="G556">
        <v>363.63</v>
      </c>
      <c r="H556">
        <v>0.3</v>
      </c>
      <c r="I556" t="s">
        <v>18</v>
      </c>
      <c r="J556">
        <v>11</v>
      </c>
      <c r="K556">
        <v>1.4</v>
      </c>
      <c r="L556">
        <v>763.62</v>
      </c>
      <c r="M556">
        <f>(Table1[[#This Row],[unit_price]]*Table1[[#This Row],[quantity]])-(Table1[[#This Row],[unit_price]]*Table1[[#This Row],[discount]]*Table1[[#This Row],[quantity]])</f>
        <v>763.62299999999982</v>
      </c>
      <c r="N556">
        <f>DAY(Table1[[#This Row],[order_date]])</f>
        <v>9</v>
      </c>
      <c r="O556" t="str">
        <f>TEXT(Table1[[#This Row],[order_date]],"mmm")</f>
        <v>Jul</v>
      </c>
      <c r="P556">
        <f>YEAR(Table1[[#This Row],[order_date]])</f>
        <v>2023</v>
      </c>
    </row>
    <row r="557" spans="1:16" x14ac:dyDescent="0.3">
      <c r="A557">
        <v>10556</v>
      </c>
      <c r="B557" s="1">
        <v>45117</v>
      </c>
      <c r="C557">
        <v>1050</v>
      </c>
      <c r="D557" t="s">
        <v>22</v>
      </c>
      <c r="E557" t="s">
        <v>13</v>
      </c>
      <c r="F557">
        <v>6</v>
      </c>
      <c r="G557">
        <v>161.57</v>
      </c>
      <c r="H557">
        <v>0.15</v>
      </c>
      <c r="I557" t="s">
        <v>14</v>
      </c>
      <c r="J557">
        <v>8</v>
      </c>
      <c r="K557">
        <v>2.7</v>
      </c>
      <c r="L557">
        <v>824.01</v>
      </c>
      <c r="M557">
        <f>(Table1[[#This Row],[unit_price]]*Table1[[#This Row],[quantity]])-(Table1[[#This Row],[unit_price]]*Table1[[#This Row],[discount]]*Table1[[#This Row],[quantity]])</f>
        <v>824.00699999999995</v>
      </c>
      <c r="N557">
        <f>DAY(Table1[[#This Row],[order_date]])</f>
        <v>10</v>
      </c>
      <c r="O557" t="str">
        <f>TEXT(Table1[[#This Row],[order_date]],"mmm")</f>
        <v>Jul</v>
      </c>
      <c r="P557">
        <f>YEAR(Table1[[#This Row],[order_date]])</f>
        <v>2023</v>
      </c>
    </row>
    <row r="558" spans="1:16" x14ac:dyDescent="0.3">
      <c r="A558">
        <v>10557</v>
      </c>
      <c r="B558" s="1">
        <v>45118</v>
      </c>
      <c r="C558">
        <v>1664</v>
      </c>
      <c r="D558" t="s">
        <v>15</v>
      </c>
      <c r="E558" t="s">
        <v>20</v>
      </c>
      <c r="F558">
        <v>5</v>
      </c>
      <c r="G558">
        <v>210.3</v>
      </c>
      <c r="H558">
        <v>0.15</v>
      </c>
      <c r="I558" t="s">
        <v>18</v>
      </c>
      <c r="J558">
        <v>2</v>
      </c>
      <c r="K558">
        <v>1.1000000000000001</v>
      </c>
      <c r="L558">
        <v>893.78</v>
      </c>
      <c r="M558">
        <f>(Table1[[#This Row],[unit_price]]*Table1[[#This Row],[quantity]])-(Table1[[#This Row],[unit_price]]*Table1[[#This Row],[discount]]*Table1[[#This Row],[quantity]])</f>
        <v>893.77499999999998</v>
      </c>
      <c r="N558">
        <f>DAY(Table1[[#This Row],[order_date]])</f>
        <v>11</v>
      </c>
      <c r="O558" t="str">
        <f>TEXT(Table1[[#This Row],[order_date]],"mmm")</f>
        <v>Jul</v>
      </c>
      <c r="P558">
        <f>YEAR(Table1[[#This Row],[order_date]])</f>
        <v>2023</v>
      </c>
    </row>
    <row r="559" spans="1:16" x14ac:dyDescent="0.3">
      <c r="A559">
        <v>10558</v>
      </c>
      <c r="B559" s="1">
        <v>45119</v>
      </c>
      <c r="C559">
        <v>1697</v>
      </c>
      <c r="D559" t="s">
        <v>22</v>
      </c>
      <c r="E559" t="s">
        <v>13</v>
      </c>
      <c r="F559">
        <v>5</v>
      </c>
      <c r="G559">
        <v>290.68</v>
      </c>
      <c r="H559">
        <v>0.32</v>
      </c>
      <c r="I559" t="s">
        <v>16</v>
      </c>
      <c r="J559">
        <v>3</v>
      </c>
      <c r="K559">
        <v>2</v>
      </c>
      <c r="L559">
        <v>988.31</v>
      </c>
      <c r="M559">
        <f>(Table1[[#This Row],[unit_price]]*Table1[[#This Row],[quantity]])-(Table1[[#This Row],[unit_price]]*Table1[[#This Row],[discount]]*Table1[[#This Row],[quantity]])</f>
        <v>988.31200000000013</v>
      </c>
      <c r="N559">
        <f>DAY(Table1[[#This Row],[order_date]])</f>
        <v>12</v>
      </c>
      <c r="O559" t="str">
        <f>TEXT(Table1[[#This Row],[order_date]],"mmm")</f>
        <v>Jul</v>
      </c>
      <c r="P559">
        <f>YEAR(Table1[[#This Row],[order_date]])</f>
        <v>2023</v>
      </c>
    </row>
    <row r="560" spans="1:16" x14ac:dyDescent="0.3">
      <c r="A560">
        <v>10559</v>
      </c>
      <c r="B560" s="1">
        <v>45120</v>
      </c>
      <c r="C560">
        <v>1574</v>
      </c>
      <c r="D560" t="s">
        <v>19</v>
      </c>
      <c r="E560" t="s">
        <v>17</v>
      </c>
      <c r="F560">
        <v>5</v>
      </c>
      <c r="G560">
        <v>30.66</v>
      </c>
      <c r="H560">
        <v>0.2</v>
      </c>
      <c r="I560" t="s">
        <v>14</v>
      </c>
      <c r="J560">
        <v>10</v>
      </c>
      <c r="K560">
        <v>1.8</v>
      </c>
      <c r="L560">
        <v>122.64</v>
      </c>
      <c r="M560">
        <f>(Table1[[#This Row],[unit_price]]*Table1[[#This Row],[quantity]])-(Table1[[#This Row],[unit_price]]*Table1[[#This Row],[discount]]*Table1[[#This Row],[quantity]])</f>
        <v>122.64000000000001</v>
      </c>
      <c r="N560">
        <f>DAY(Table1[[#This Row],[order_date]])</f>
        <v>13</v>
      </c>
      <c r="O560" t="str">
        <f>TEXT(Table1[[#This Row],[order_date]],"mmm")</f>
        <v>Jul</v>
      </c>
      <c r="P560">
        <f>YEAR(Table1[[#This Row],[order_date]])</f>
        <v>2023</v>
      </c>
    </row>
    <row r="561" spans="1:16" x14ac:dyDescent="0.3">
      <c r="A561">
        <v>10560</v>
      </c>
      <c r="B561" s="1">
        <v>45121</v>
      </c>
      <c r="C561">
        <v>1189</v>
      </c>
      <c r="D561" t="s">
        <v>12</v>
      </c>
      <c r="E561" t="s">
        <v>21</v>
      </c>
      <c r="F561">
        <v>4</v>
      </c>
      <c r="G561">
        <v>68.78</v>
      </c>
      <c r="H561">
        <v>0.2</v>
      </c>
      <c r="I561" t="s">
        <v>16</v>
      </c>
      <c r="J561">
        <v>10</v>
      </c>
      <c r="K561">
        <v>3</v>
      </c>
      <c r="L561">
        <v>220.1</v>
      </c>
      <c r="M561">
        <f>(Table1[[#This Row],[unit_price]]*Table1[[#This Row],[quantity]])-(Table1[[#This Row],[unit_price]]*Table1[[#This Row],[discount]]*Table1[[#This Row],[quantity]])</f>
        <v>220.096</v>
      </c>
      <c r="N561">
        <f>DAY(Table1[[#This Row],[order_date]])</f>
        <v>14</v>
      </c>
      <c r="O561" t="str">
        <f>TEXT(Table1[[#This Row],[order_date]],"mmm")</f>
        <v>Jul</v>
      </c>
      <c r="P561">
        <f>YEAR(Table1[[#This Row],[order_date]])</f>
        <v>2023</v>
      </c>
    </row>
    <row r="562" spans="1:16" x14ac:dyDescent="0.3">
      <c r="A562">
        <v>10561</v>
      </c>
      <c r="B562" s="1">
        <v>45122</v>
      </c>
      <c r="C562">
        <v>1124</v>
      </c>
      <c r="D562" t="s">
        <v>22</v>
      </c>
      <c r="E562" t="s">
        <v>20</v>
      </c>
      <c r="F562">
        <v>4</v>
      </c>
      <c r="G562">
        <v>416.27</v>
      </c>
      <c r="H562">
        <v>0.09</v>
      </c>
      <c r="I562" t="s">
        <v>16</v>
      </c>
      <c r="J562">
        <v>7</v>
      </c>
      <c r="K562">
        <v>1</v>
      </c>
      <c r="L562">
        <v>1515.22</v>
      </c>
      <c r="M562">
        <f>(Table1[[#This Row],[unit_price]]*Table1[[#This Row],[quantity]])-(Table1[[#This Row],[unit_price]]*Table1[[#This Row],[discount]]*Table1[[#This Row],[quantity]])</f>
        <v>1515.2228</v>
      </c>
      <c r="N562">
        <f>DAY(Table1[[#This Row],[order_date]])</f>
        <v>15</v>
      </c>
      <c r="O562" t="str">
        <f>TEXT(Table1[[#This Row],[order_date]],"mmm")</f>
        <v>Jul</v>
      </c>
      <c r="P562">
        <f>YEAR(Table1[[#This Row],[order_date]])</f>
        <v>2023</v>
      </c>
    </row>
    <row r="563" spans="1:16" x14ac:dyDescent="0.3">
      <c r="A563">
        <v>10562</v>
      </c>
      <c r="B563" s="1">
        <v>45123</v>
      </c>
      <c r="C563">
        <v>1149</v>
      </c>
      <c r="D563" t="s">
        <v>22</v>
      </c>
      <c r="E563" t="s">
        <v>21</v>
      </c>
      <c r="F563">
        <v>7</v>
      </c>
      <c r="G563">
        <v>265.95</v>
      </c>
      <c r="H563">
        <v>0.21</v>
      </c>
      <c r="I563" t="s">
        <v>16</v>
      </c>
      <c r="J563">
        <v>4</v>
      </c>
      <c r="K563">
        <v>3.7</v>
      </c>
      <c r="L563">
        <v>1470.7</v>
      </c>
      <c r="M563">
        <f>(Table1[[#This Row],[unit_price]]*Table1[[#This Row],[quantity]])-(Table1[[#This Row],[unit_price]]*Table1[[#This Row],[discount]]*Table1[[#This Row],[quantity]])</f>
        <v>1470.7034999999998</v>
      </c>
      <c r="N563">
        <f>DAY(Table1[[#This Row],[order_date]])</f>
        <v>16</v>
      </c>
      <c r="O563" t="str">
        <f>TEXT(Table1[[#This Row],[order_date]],"mmm")</f>
        <v>Jul</v>
      </c>
      <c r="P563">
        <f>YEAR(Table1[[#This Row],[order_date]])</f>
        <v>2023</v>
      </c>
    </row>
    <row r="564" spans="1:16" x14ac:dyDescent="0.3">
      <c r="A564">
        <v>10563</v>
      </c>
      <c r="B564" s="1">
        <v>45124</v>
      </c>
      <c r="C564">
        <v>1313</v>
      </c>
      <c r="D564" t="s">
        <v>22</v>
      </c>
      <c r="E564" t="s">
        <v>13</v>
      </c>
      <c r="F564">
        <v>5</v>
      </c>
      <c r="G564">
        <v>520.9</v>
      </c>
      <c r="H564">
        <v>0.2</v>
      </c>
      <c r="I564" t="s">
        <v>18</v>
      </c>
      <c r="J564">
        <v>6</v>
      </c>
      <c r="K564">
        <v>4.4000000000000004</v>
      </c>
      <c r="L564">
        <v>2083.6</v>
      </c>
      <c r="M564">
        <f>(Table1[[#This Row],[unit_price]]*Table1[[#This Row],[quantity]])-(Table1[[#This Row],[unit_price]]*Table1[[#This Row],[discount]]*Table1[[#This Row],[quantity]])</f>
        <v>2083.6</v>
      </c>
      <c r="N564">
        <f>DAY(Table1[[#This Row],[order_date]])</f>
        <v>17</v>
      </c>
      <c r="O564" t="str">
        <f>TEXT(Table1[[#This Row],[order_date]],"mmm")</f>
        <v>Jul</v>
      </c>
      <c r="P564">
        <f>YEAR(Table1[[#This Row],[order_date]])</f>
        <v>2023</v>
      </c>
    </row>
    <row r="565" spans="1:16" x14ac:dyDescent="0.3">
      <c r="A565">
        <v>10564</v>
      </c>
      <c r="B565" s="1">
        <v>45125</v>
      </c>
      <c r="C565">
        <v>1569</v>
      </c>
      <c r="D565" t="s">
        <v>12</v>
      </c>
      <c r="E565" t="s">
        <v>13</v>
      </c>
      <c r="F565">
        <v>7</v>
      </c>
      <c r="G565">
        <v>421.38</v>
      </c>
      <c r="H565">
        <v>0.14000000000000001</v>
      </c>
      <c r="I565" t="s">
        <v>16</v>
      </c>
      <c r="J565">
        <v>8</v>
      </c>
      <c r="K565">
        <v>3.8</v>
      </c>
      <c r="L565">
        <v>2536.71</v>
      </c>
      <c r="M565">
        <f>(Table1[[#This Row],[unit_price]]*Table1[[#This Row],[quantity]])-(Table1[[#This Row],[unit_price]]*Table1[[#This Row],[discount]]*Table1[[#This Row],[quantity]])</f>
        <v>2536.7075999999997</v>
      </c>
      <c r="N565">
        <f>DAY(Table1[[#This Row],[order_date]])</f>
        <v>18</v>
      </c>
      <c r="O565" t="str">
        <f>TEXT(Table1[[#This Row],[order_date]],"mmm")</f>
        <v>Jul</v>
      </c>
      <c r="P565">
        <f>YEAR(Table1[[#This Row],[order_date]])</f>
        <v>2023</v>
      </c>
    </row>
    <row r="566" spans="1:16" x14ac:dyDescent="0.3">
      <c r="A566">
        <v>10565</v>
      </c>
      <c r="B566" s="1">
        <v>45126</v>
      </c>
      <c r="C566">
        <v>1341</v>
      </c>
      <c r="D566" t="s">
        <v>15</v>
      </c>
      <c r="E566" t="s">
        <v>21</v>
      </c>
      <c r="F566">
        <v>1</v>
      </c>
      <c r="G566">
        <v>19.739999999999998</v>
      </c>
      <c r="H566">
        <v>0.35</v>
      </c>
      <c r="I566" t="s">
        <v>18</v>
      </c>
      <c r="J566">
        <v>8</v>
      </c>
      <c r="K566">
        <v>4.3</v>
      </c>
      <c r="L566">
        <v>12.83</v>
      </c>
      <c r="M566">
        <f>(Table1[[#This Row],[unit_price]]*Table1[[#This Row],[quantity]])-(Table1[[#This Row],[unit_price]]*Table1[[#This Row],[discount]]*Table1[[#This Row],[quantity]])</f>
        <v>12.831</v>
      </c>
      <c r="N566">
        <f>DAY(Table1[[#This Row],[order_date]])</f>
        <v>19</v>
      </c>
      <c r="O566" t="str">
        <f>TEXT(Table1[[#This Row],[order_date]],"mmm")</f>
        <v>Jul</v>
      </c>
      <c r="P566">
        <f>YEAR(Table1[[#This Row],[order_date]])</f>
        <v>2023</v>
      </c>
    </row>
    <row r="567" spans="1:16" x14ac:dyDescent="0.3">
      <c r="A567">
        <v>10566</v>
      </c>
      <c r="B567" s="1">
        <v>45127</v>
      </c>
      <c r="C567">
        <v>1304</v>
      </c>
      <c r="D567" t="s">
        <v>19</v>
      </c>
      <c r="E567" t="s">
        <v>17</v>
      </c>
      <c r="F567">
        <v>5</v>
      </c>
      <c r="G567">
        <v>375.78</v>
      </c>
      <c r="H567">
        <v>0.31</v>
      </c>
      <c r="I567" t="s">
        <v>18</v>
      </c>
      <c r="J567">
        <v>7</v>
      </c>
      <c r="K567">
        <v>3.6</v>
      </c>
      <c r="L567">
        <v>1296.44</v>
      </c>
      <c r="M567">
        <f>(Table1[[#This Row],[unit_price]]*Table1[[#This Row],[quantity]])-(Table1[[#This Row],[unit_price]]*Table1[[#This Row],[discount]]*Table1[[#This Row],[quantity]])</f>
        <v>1296.4409999999998</v>
      </c>
      <c r="N567">
        <f>DAY(Table1[[#This Row],[order_date]])</f>
        <v>20</v>
      </c>
      <c r="O567" t="str">
        <f>TEXT(Table1[[#This Row],[order_date]],"mmm")</f>
        <v>Jul</v>
      </c>
      <c r="P567">
        <f>YEAR(Table1[[#This Row],[order_date]])</f>
        <v>2023</v>
      </c>
    </row>
    <row r="568" spans="1:16" x14ac:dyDescent="0.3">
      <c r="A568">
        <v>10567</v>
      </c>
      <c r="B568" s="1">
        <v>45128</v>
      </c>
      <c r="C568">
        <v>1691</v>
      </c>
      <c r="D568" t="s">
        <v>15</v>
      </c>
      <c r="E568" t="s">
        <v>17</v>
      </c>
      <c r="F568">
        <v>2</v>
      </c>
      <c r="G568">
        <v>69.83</v>
      </c>
      <c r="H568">
        <v>0.26</v>
      </c>
      <c r="I568" t="s">
        <v>14</v>
      </c>
      <c r="J568">
        <v>2</v>
      </c>
      <c r="K568">
        <v>3</v>
      </c>
      <c r="L568">
        <v>103.35</v>
      </c>
      <c r="M568">
        <f>(Table1[[#This Row],[unit_price]]*Table1[[#This Row],[quantity]])-(Table1[[#This Row],[unit_price]]*Table1[[#This Row],[discount]]*Table1[[#This Row],[quantity]])</f>
        <v>103.3484</v>
      </c>
      <c r="N568">
        <f>DAY(Table1[[#This Row],[order_date]])</f>
        <v>21</v>
      </c>
      <c r="O568" t="str">
        <f>TEXT(Table1[[#This Row],[order_date]],"mmm")</f>
        <v>Jul</v>
      </c>
      <c r="P568">
        <f>YEAR(Table1[[#This Row],[order_date]])</f>
        <v>2023</v>
      </c>
    </row>
    <row r="569" spans="1:16" x14ac:dyDescent="0.3">
      <c r="A569">
        <v>10568</v>
      </c>
      <c r="B569" s="1">
        <v>45129</v>
      </c>
      <c r="C569">
        <v>1681</v>
      </c>
      <c r="D569" t="s">
        <v>22</v>
      </c>
      <c r="E569" t="s">
        <v>20</v>
      </c>
      <c r="F569">
        <v>5</v>
      </c>
      <c r="G569">
        <v>471.85</v>
      </c>
      <c r="H569">
        <v>0.19</v>
      </c>
      <c r="I569" t="s">
        <v>16</v>
      </c>
      <c r="J569">
        <v>2</v>
      </c>
      <c r="K569">
        <v>1.9</v>
      </c>
      <c r="L569">
        <v>1910.99</v>
      </c>
      <c r="M569">
        <f>(Table1[[#This Row],[unit_price]]*Table1[[#This Row],[quantity]])-(Table1[[#This Row],[unit_price]]*Table1[[#This Row],[discount]]*Table1[[#This Row],[quantity]])</f>
        <v>1910.9925000000001</v>
      </c>
      <c r="N569">
        <f>DAY(Table1[[#This Row],[order_date]])</f>
        <v>22</v>
      </c>
      <c r="O569" t="str">
        <f>TEXT(Table1[[#This Row],[order_date]],"mmm")</f>
        <v>Jul</v>
      </c>
      <c r="P569">
        <f>YEAR(Table1[[#This Row],[order_date]])</f>
        <v>2023</v>
      </c>
    </row>
    <row r="570" spans="1:16" x14ac:dyDescent="0.3">
      <c r="A570">
        <v>10569</v>
      </c>
      <c r="B570" s="1">
        <v>45130</v>
      </c>
      <c r="C570">
        <v>1837</v>
      </c>
      <c r="D570" t="s">
        <v>22</v>
      </c>
      <c r="E570" t="s">
        <v>20</v>
      </c>
      <c r="F570">
        <v>4</v>
      </c>
      <c r="G570">
        <v>595.03</v>
      </c>
      <c r="H570">
        <v>0.16</v>
      </c>
      <c r="I570" t="s">
        <v>16</v>
      </c>
      <c r="J570">
        <v>3</v>
      </c>
      <c r="K570">
        <v>2.1</v>
      </c>
      <c r="L570">
        <v>1999.3</v>
      </c>
      <c r="M570">
        <f>(Table1[[#This Row],[unit_price]]*Table1[[#This Row],[quantity]])-(Table1[[#This Row],[unit_price]]*Table1[[#This Row],[discount]]*Table1[[#This Row],[quantity]])</f>
        <v>1999.3008</v>
      </c>
      <c r="N570">
        <f>DAY(Table1[[#This Row],[order_date]])</f>
        <v>23</v>
      </c>
      <c r="O570" t="str">
        <f>TEXT(Table1[[#This Row],[order_date]],"mmm")</f>
        <v>Jul</v>
      </c>
      <c r="P570">
        <f>YEAR(Table1[[#This Row],[order_date]])</f>
        <v>2023</v>
      </c>
    </row>
    <row r="571" spans="1:16" x14ac:dyDescent="0.3">
      <c r="A571">
        <v>10570</v>
      </c>
      <c r="B571" s="1">
        <v>45131</v>
      </c>
      <c r="C571">
        <v>1782</v>
      </c>
      <c r="D571" t="s">
        <v>15</v>
      </c>
      <c r="E571" t="s">
        <v>17</v>
      </c>
      <c r="F571">
        <v>4</v>
      </c>
      <c r="G571">
        <v>325.75</v>
      </c>
      <c r="H571">
        <v>0.06</v>
      </c>
      <c r="I571" t="s">
        <v>16</v>
      </c>
      <c r="J571">
        <v>4</v>
      </c>
      <c r="K571">
        <v>2.2999999999999998</v>
      </c>
      <c r="L571">
        <v>1224.82</v>
      </c>
      <c r="M571">
        <f>(Table1[[#This Row],[unit_price]]*Table1[[#This Row],[quantity]])-(Table1[[#This Row],[unit_price]]*Table1[[#This Row],[discount]]*Table1[[#This Row],[quantity]])</f>
        <v>1224.82</v>
      </c>
      <c r="N571">
        <f>DAY(Table1[[#This Row],[order_date]])</f>
        <v>24</v>
      </c>
      <c r="O571" t="str">
        <f>TEXT(Table1[[#This Row],[order_date]],"mmm")</f>
        <v>Jul</v>
      </c>
      <c r="P571">
        <f>YEAR(Table1[[#This Row],[order_date]])</f>
        <v>2023</v>
      </c>
    </row>
    <row r="572" spans="1:16" x14ac:dyDescent="0.3">
      <c r="A572">
        <v>10571</v>
      </c>
      <c r="B572" s="1">
        <v>45132</v>
      </c>
      <c r="C572">
        <v>1053</v>
      </c>
      <c r="D572" t="s">
        <v>19</v>
      </c>
      <c r="E572" t="s">
        <v>17</v>
      </c>
      <c r="F572">
        <v>2</v>
      </c>
      <c r="G572">
        <v>414.43</v>
      </c>
      <c r="H572">
        <v>0.11</v>
      </c>
      <c r="I572" t="s">
        <v>16</v>
      </c>
      <c r="J572">
        <v>1</v>
      </c>
      <c r="K572">
        <v>1.2</v>
      </c>
      <c r="L572">
        <v>737.69</v>
      </c>
      <c r="M572">
        <f>(Table1[[#This Row],[unit_price]]*Table1[[#This Row],[quantity]])-(Table1[[#This Row],[unit_price]]*Table1[[#This Row],[discount]]*Table1[[#This Row],[quantity]])</f>
        <v>737.68540000000007</v>
      </c>
      <c r="N572">
        <f>DAY(Table1[[#This Row],[order_date]])</f>
        <v>25</v>
      </c>
      <c r="O572" t="str">
        <f>TEXT(Table1[[#This Row],[order_date]],"mmm")</f>
        <v>Jul</v>
      </c>
      <c r="P572">
        <f>YEAR(Table1[[#This Row],[order_date]])</f>
        <v>2023</v>
      </c>
    </row>
    <row r="573" spans="1:16" x14ac:dyDescent="0.3">
      <c r="A573">
        <v>10572</v>
      </c>
      <c r="B573" s="1">
        <v>45133</v>
      </c>
      <c r="C573">
        <v>1443</v>
      </c>
      <c r="D573" t="s">
        <v>15</v>
      </c>
      <c r="E573" t="s">
        <v>21</v>
      </c>
      <c r="F573">
        <v>2</v>
      </c>
      <c r="G573">
        <v>153.83000000000001</v>
      </c>
      <c r="H573">
        <v>0.27</v>
      </c>
      <c r="I573" t="s">
        <v>18</v>
      </c>
      <c r="J573">
        <v>5</v>
      </c>
      <c r="K573">
        <v>4.7</v>
      </c>
      <c r="L573">
        <v>224.59</v>
      </c>
      <c r="M573">
        <f>(Table1[[#This Row],[unit_price]]*Table1[[#This Row],[quantity]])-(Table1[[#This Row],[unit_price]]*Table1[[#This Row],[discount]]*Table1[[#This Row],[quantity]])</f>
        <v>224.59180000000001</v>
      </c>
      <c r="N573">
        <f>DAY(Table1[[#This Row],[order_date]])</f>
        <v>26</v>
      </c>
      <c r="O573" t="str">
        <f>TEXT(Table1[[#This Row],[order_date]],"mmm")</f>
        <v>Jul</v>
      </c>
      <c r="P573">
        <f>YEAR(Table1[[#This Row],[order_date]])</f>
        <v>2023</v>
      </c>
    </row>
    <row r="574" spans="1:16" x14ac:dyDescent="0.3">
      <c r="A574">
        <v>10573</v>
      </c>
      <c r="B574" s="1">
        <v>45134</v>
      </c>
      <c r="C574">
        <v>1612</v>
      </c>
      <c r="D574" t="s">
        <v>12</v>
      </c>
      <c r="E574" t="s">
        <v>13</v>
      </c>
      <c r="F574">
        <v>3</v>
      </c>
      <c r="G574">
        <v>270.99</v>
      </c>
      <c r="H574">
        <v>0.16</v>
      </c>
      <c r="I574" t="s">
        <v>18</v>
      </c>
      <c r="J574">
        <v>7</v>
      </c>
      <c r="K574">
        <v>4.5999999999999996</v>
      </c>
      <c r="L574">
        <v>682.89</v>
      </c>
      <c r="M574">
        <f>(Table1[[#This Row],[unit_price]]*Table1[[#This Row],[quantity]])-(Table1[[#This Row],[unit_price]]*Table1[[#This Row],[discount]]*Table1[[#This Row],[quantity]])</f>
        <v>682.89480000000003</v>
      </c>
      <c r="N574">
        <f>DAY(Table1[[#This Row],[order_date]])</f>
        <v>27</v>
      </c>
      <c r="O574" t="str">
        <f>TEXT(Table1[[#This Row],[order_date]],"mmm")</f>
        <v>Jul</v>
      </c>
      <c r="P574">
        <f>YEAR(Table1[[#This Row],[order_date]])</f>
        <v>2023</v>
      </c>
    </row>
    <row r="575" spans="1:16" x14ac:dyDescent="0.3">
      <c r="A575">
        <v>10574</v>
      </c>
      <c r="B575" s="1">
        <v>45135</v>
      </c>
      <c r="C575">
        <v>1992</v>
      </c>
      <c r="D575" t="s">
        <v>15</v>
      </c>
      <c r="E575" t="s">
        <v>13</v>
      </c>
      <c r="F575">
        <v>1</v>
      </c>
      <c r="G575">
        <v>515.82000000000005</v>
      </c>
      <c r="H575">
        <v>0.31</v>
      </c>
      <c r="I575" t="s">
        <v>18</v>
      </c>
      <c r="J575">
        <v>10</v>
      </c>
      <c r="K575">
        <v>1.4</v>
      </c>
      <c r="L575">
        <v>355.92</v>
      </c>
      <c r="M575">
        <f>(Table1[[#This Row],[unit_price]]*Table1[[#This Row],[quantity]])-(Table1[[#This Row],[unit_price]]*Table1[[#This Row],[discount]]*Table1[[#This Row],[quantity]])</f>
        <v>355.91580000000005</v>
      </c>
      <c r="N575">
        <f>DAY(Table1[[#This Row],[order_date]])</f>
        <v>28</v>
      </c>
      <c r="O575" t="str">
        <f>TEXT(Table1[[#This Row],[order_date]],"mmm")</f>
        <v>Jul</v>
      </c>
      <c r="P575">
        <f>YEAR(Table1[[#This Row],[order_date]])</f>
        <v>2023</v>
      </c>
    </row>
    <row r="576" spans="1:16" x14ac:dyDescent="0.3">
      <c r="A576">
        <v>10575</v>
      </c>
      <c r="B576" s="1">
        <v>45136</v>
      </c>
      <c r="C576">
        <v>1263</v>
      </c>
      <c r="D576" t="s">
        <v>15</v>
      </c>
      <c r="E576" t="s">
        <v>20</v>
      </c>
      <c r="F576">
        <v>1</v>
      </c>
      <c r="G576">
        <v>112.94</v>
      </c>
      <c r="H576">
        <v>0.05</v>
      </c>
      <c r="I576" t="s">
        <v>14</v>
      </c>
      <c r="J576">
        <v>11</v>
      </c>
      <c r="K576">
        <v>3.2</v>
      </c>
      <c r="L576">
        <v>107.29</v>
      </c>
      <c r="M576">
        <f>(Table1[[#This Row],[unit_price]]*Table1[[#This Row],[quantity]])-(Table1[[#This Row],[unit_price]]*Table1[[#This Row],[discount]]*Table1[[#This Row],[quantity]])</f>
        <v>107.29299999999999</v>
      </c>
      <c r="N576">
        <f>DAY(Table1[[#This Row],[order_date]])</f>
        <v>29</v>
      </c>
      <c r="O576" t="str">
        <f>TEXT(Table1[[#This Row],[order_date]],"mmm")</f>
        <v>Jul</v>
      </c>
      <c r="P576">
        <f>YEAR(Table1[[#This Row],[order_date]])</f>
        <v>2023</v>
      </c>
    </row>
    <row r="577" spans="1:16" x14ac:dyDescent="0.3">
      <c r="A577">
        <v>10576</v>
      </c>
      <c r="B577" s="1">
        <v>45137</v>
      </c>
      <c r="C577">
        <v>1052</v>
      </c>
      <c r="D577" t="s">
        <v>19</v>
      </c>
      <c r="E577" t="s">
        <v>17</v>
      </c>
      <c r="F577">
        <v>1</v>
      </c>
      <c r="G577">
        <v>170.34</v>
      </c>
      <c r="H577">
        <v>0.18</v>
      </c>
      <c r="I577" t="s">
        <v>14</v>
      </c>
      <c r="J577">
        <v>5</v>
      </c>
      <c r="K577">
        <v>2.9</v>
      </c>
      <c r="L577">
        <v>139.68</v>
      </c>
      <c r="M577">
        <f>(Table1[[#This Row],[unit_price]]*Table1[[#This Row],[quantity]])-(Table1[[#This Row],[unit_price]]*Table1[[#This Row],[discount]]*Table1[[#This Row],[quantity]])</f>
        <v>139.6788</v>
      </c>
      <c r="N577">
        <f>DAY(Table1[[#This Row],[order_date]])</f>
        <v>30</v>
      </c>
      <c r="O577" t="str">
        <f>TEXT(Table1[[#This Row],[order_date]],"mmm")</f>
        <v>Jul</v>
      </c>
      <c r="P577">
        <f>YEAR(Table1[[#This Row],[order_date]])</f>
        <v>2023</v>
      </c>
    </row>
    <row r="578" spans="1:16" x14ac:dyDescent="0.3">
      <c r="A578">
        <v>10577</v>
      </c>
      <c r="B578" s="1">
        <v>45138</v>
      </c>
      <c r="C578">
        <v>1571</v>
      </c>
      <c r="D578" t="s">
        <v>15</v>
      </c>
      <c r="E578" t="s">
        <v>21</v>
      </c>
      <c r="F578">
        <v>6</v>
      </c>
      <c r="G578">
        <v>275.58</v>
      </c>
      <c r="H578">
        <v>0.23</v>
      </c>
      <c r="I578" t="s">
        <v>16</v>
      </c>
      <c r="J578">
        <v>7</v>
      </c>
      <c r="K578">
        <v>3.7</v>
      </c>
      <c r="L578">
        <v>1273.18</v>
      </c>
      <c r="M578">
        <f>(Table1[[#This Row],[unit_price]]*Table1[[#This Row],[quantity]])-(Table1[[#This Row],[unit_price]]*Table1[[#This Row],[discount]]*Table1[[#This Row],[quantity]])</f>
        <v>1273.1795999999999</v>
      </c>
      <c r="N578">
        <f>DAY(Table1[[#This Row],[order_date]])</f>
        <v>31</v>
      </c>
      <c r="O578" t="str">
        <f>TEXT(Table1[[#This Row],[order_date]],"mmm")</f>
        <v>Jul</v>
      </c>
      <c r="P578">
        <f>YEAR(Table1[[#This Row],[order_date]])</f>
        <v>2023</v>
      </c>
    </row>
    <row r="579" spans="1:16" x14ac:dyDescent="0.3">
      <c r="A579">
        <v>10578</v>
      </c>
      <c r="B579" s="1">
        <v>45139</v>
      </c>
      <c r="C579">
        <v>1619</v>
      </c>
      <c r="D579" t="s">
        <v>12</v>
      </c>
      <c r="E579" t="s">
        <v>20</v>
      </c>
      <c r="F579">
        <v>4</v>
      </c>
      <c r="G579">
        <v>431.67</v>
      </c>
      <c r="H579">
        <v>0.18</v>
      </c>
      <c r="I579" t="s">
        <v>14</v>
      </c>
      <c r="J579">
        <v>5</v>
      </c>
      <c r="K579">
        <v>3.4</v>
      </c>
      <c r="L579">
        <v>1415.88</v>
      </c>
      <c r="M579">
        <f>(Table1[[#This Row],[unit_price]]*Table1[[#This Row],[quantity]])-(Table1[[#This Row],[unit_price]]*Table1[[#This Row],[discount]]*Table1[[#This Row],[quantity]])</f>
        <v>1415.8776</v>
      </c>
      <c r="N579">
        <f>DAY(Table1[[#This Row],[order_date]])</f>
        <v>1</v>
      </c>
      <c r="O579" t="str">
        <f>TEXT(Table1[[#This Row],[order_date]],"mmm")</f>
        <v>Aug</v>
      </c>
      <c r="P579">
        <f>YEAR(Table1[[#This Row],[order_date]])</f>
        <v>2023</v>
      </c>
    </row>
    <row r="580" spans="1:16" x14ac:dyDescent="0.3">
      <c r="A580">
        <v>10579</v>
      </c>
      <c r="B580" s="1">
        <v>45140</v>
      </c>
      <c r="C580">
        <v>1004</v>
      </c>
      <c r="D580" t="s">
        <v>22</v>
      </c>
      <c r="E580" t="s">
        <v>21</v>
      </c>
      <c r="F580">
        <v>1</v>
      </c>
      <c r="G580">
        <v>234.89</v>
      </c>
      <c r="H580">
        <v>0.31</v>
      </c>
      <c r="I580" t="s">
        <v>16</v>
      </c>
      <c r="J580">
        <v>11</v>
      </c>
      <c r="K580">
        <v>1.5</v>
      </c>
      <c r="L580">
        <v>162.07</v>
      </c>
      <c r="M580">
        <f>(Table1[[#This Row],[unit_price]]*Table1[[#This Row],[quantity]])-(Table1[[#This Row],[unit_price]]*Table1[[#This Row],[discount]]*Table1[[#This Row],[quantity]])</f>
        <v>162.07409999999999</v>
      </c>
      <c r="N580">
        <f>DAY(Table1[[#This Row],[order_date]])</f>
        <v>2</v>
      </c>
      <c r="O580" t="str">
        <f>TEXT(Table1[[#This Row],[order_date]],"mmm")</f>
        <v>Aug</v>
      </c>
      <c r="P580">
        <f>YEAR(Table1[[#This Row],[order_date]])</f>
        <v>2023</v>
      </c>
    </row>
    <row r="581" spans="1:16" x14ac:dyDescent="0.3">
      <c r="A581">
        <v>10580</v>
      </c>
      <c r="B581" s="1">
        <v>45141</v>
      </c>
      <c r="C581">
        <v>1102</v>
      </c>
      <c r="D581" t="s">
        <v>22</v>
      </c>
      <c r="E581" t="s">
        <v>17</v>
      </c>
      <c r="F581">
        <v>3</v>
      </c>
      <c r="G581">
        <v>557.72</v>
      </c>
      <c r="H581">
        <v>0.35</v>
      </c>
      <c r="I581" t="s">
        <v>18</v>
      </c>
      <c r="J581">
        <v>10</v>
      </c>
      <c r="K581">
        <v>3.6</v>
      </c>
      <c r="L581">
        <v>1087.55</v>
      </c>
      <c r="M581">
        <f>(Table1[[#This Row],[unit_price]]*Table1[[#This Row],[quantity]])-(Table1[[#This Row],[unit_price]]*Table1[[#This Row],[discount]]*Table1[[#This Row],[quantity]])</f>
        <v>1087.5540000000001</v>
      </c>
      <c r="N581">
        <f>DAY(Table1[[#This Row],[order_date]])</f>
        <v>3</v>
      </c>
      <c r="O581" t="str">
        <f>TEXT(Table1[[#This Row],[order_date]],"mmm")</f>
        <v>Aug</v>
      </c>
      <c r="P581">
        <f>YEAR(Table1[[#This Row],[order_date]])</f>
        <v>2023</v>
      </c>
    </row>
    <row r="582" spans="1:16" x14ac:dyDescent="0.3">
      <c r="A582">
        <v>10581</v>
      </c>
      <c r="B582" s="1">
        <v>45142</v>
      </c>
      <c r="C582">
        <v>1195</v>
      </c>
      <c r="D582" t="s">
        <v>15</v>
      </c>
      <c r="E582" t="s">
        <v>17</v>
      </c>
      <c r="F582">
        <v>3</v>
      </c>
      <c r="G582">
        <v>70.260000000000005</v>
      </c>
      <c r="H582">
        <v>0.04</v>
      </c>
      <c r="I582" t="s">
        <v>18</v>
      </c>
      <c r="J582">
        <v>8</v>
      </c>
      <c r="K582">
        <v>3.4</v>
      </c>
      <c r="L582">
        <v>202.35</v>
      </c>
      <c r="M582">
        <f>(Table1[[#This Row],[unit_price]]*Table1[[#This Row],[quantity]])-(Table1[[#This Row],[unit_price]]*Table1[[#This Row],[discount]]*Table1[[#This Row],[quantity]])</f>
        <v>202.34880000000004</v>
      </c>
      <c r="N582">
        <f>DAY(Table1[[#This Row],[order_date]])</f>
        <v>4</v>
      </c>
      <c r="O582" t="str">
        <f>TEXT(Table1[[#This Row],[order_date]],"mmm")</f>
        <v>Aug</v>
      </c>
      <c r="P582">
        <f>YEAR(Table1[[#This Row],[order_date]])</f>
        <v>2023</v>
      </c>
    </row>
    <row r="583" spans="1:16" x14ac:dyDescent="0.3">
      <c r="A583">
        <v>10582</v>
      </c>
      <c r="B583" s="1">
        <v>45143</v>
      </c>
      <c r="C583">
        <v>1773</v>
      </c>
      <c r="D583" t="s">
        <v>15</v>
      </c>
      <c r="E583" t="s">
        <v>17</v>
      </c>
      <c r="F583">
        <v>1</v>
      </c>
      <c r="G583">
        <v>231.92</v>
      </c>
      <c r="H583">
        <v>0.05</v>
      </c>
      <c r="I583" t="s">
        <v>14</v>
      </c>
      <c r="J583">
        <v>7</v>
      </c>
      <c r="K583">
        <v>3.1</v>
      </c>
      <c r="L583">
        <v>220.32</v>
      </c>
      <c r="M583">
        <f>(Table1[[#This Row],[unit_price]]*Table1[[#This Row],[quantity]])-(Table1[[#This Row],[unit_price]]*Table1[[#This Row],[discount]]*Table1[[#This Row],[quantity]])</f>
        <v>220.32399999999998</v>
      </c>
      <c r="N583">
        <f>DAY(Table1[[#This Row],[order_date]])</f>
        <v>5</v>
      </c>
      <c r="O583" t="str">
        <f>TEXT(Table1[[#This Row],[order_date]],"mmm")</f>
        <v>Aug</v>
      </c>
      <c r="P583">
        <f>YEAR(Table1[[#This Row],[order_date]])</f>
        <v>2023</v>
      </c>
    </row>
    <row r="584" spans="1:16" x14ac:dyDescent="0.3">
      <c r="A584">
        <v>10583</v>
      </c>
      <c r="B584" s="1">
        <v>45144</v>
      </c>
      <c r="C584">
        <v>1876</v>
      </c>
      <c r="D584" t="s">
        <v>19</v>
      </c>
      <c r="E584" t="s">
        <v>13</v>
      </c>
      <c r="F584">
        <v>2</v>
      </c>
      <c r="G584">
        <v>429.74</v>
      </c>
      <c r="H584">
        <v>0.05</v>
      </c>
      <c r="I584" t="s">
        <v>18</v>
      </c>
      <c r="J584">
        <v>1</v>
      </c>
      <c r="K584">
        <v>2.6</v>
      </c>
      <c r="L584">
        <v>816.51</v>
      </c>
      <c r="M584">
        <f>(Table1[[#This Row],[unit_price]]*Table1[[#This Row],[quantity]])-(Table1[[#This Row],[unit_price]]*Table1[[#This Row],[discount]]*Table1[[#This Row],[quantity]])</f>
        <v>816.50599999999997</v>
      </c>
      <c r="N584">
        <f>DAY(Table1[[#This Row],[order_date]])</f>
        <v>6</v>
      </c>
      <c r="O584" t="str">
        <f>TEXT(Table1[[#This Row],[order_date]],"mmm")</f>
        <v>Aug</v>
      </c>
      <c r="P584">
        <f>YEAR(Table1[[#This Row],[order_date]])</f>
        <v>2023</v>
      </c>
    </row>
    <row r="585" spans="1:16" x14ac:dyDescent="0.3">
      <c r="A585">
        <v>10584</v>
      </c>
      <c r="B585" s="1">
        <v>45145</v>
      </c>
      <c r="C585">
        <v>1991</v>
      </c>
      <c r="D585" t="s">
        <v>22</v>
      </c>
      <c r="E585" t="s">
        <v>17</v>
      </c>
      <c r="F585">
        <v>3</v>
      </c>
      <c r="G585">
        <v>147.19999999999999</v>
      </c>
      <c r="H585">
        <v>0.24</v>
      </c>
      <c r="I585" t="s">
        <v>18</v>
      </c>
      <c r="J585">
        <v>11</v>
      </c>
      <c r="K585">
        <v>4.8</v>
      </c>
      <c r="L585">
        <v>335.62</v>
      </c>
      <c r="M585">
        <f>(Table1[[#This Row],[unit_price]]*Table1[[#This Row],[quantity]])-(Table1[[#This Row],[unit_price]]*Table1[[#This Row],[discount]]*Table1[[#This Row],[quantity]])</f>
        <v>335.61599999999999</v>
      </c>
      <c r="N585">
        <f>DAY(Table1[[#This Row],[order_date]])</f>
        <v>7</v>
      </c>
      <c r="O585" t="str">
        <f>TEXT(Table1[[#This Row],[order_date]],"mmm")</f>
        <v>Aug</v>
      </c>
      <c r="P585">
        <f>YEAR(Table1[[#This Row],[order_date]])</f>
        <v>2023</v>
      </c>
    </row>
    <row r="586" spans="1:16" x14ac:dyDescent="0.3">
      <c r="A586">
        <v>10585</v>
      </c>
      <c r="B586" s="1">
        <v>45146</v>
      </c>
      <c r="C586">
        <v>1883</v>
      </c>
      <c r="D586" t="s">
        <v>15</v>
      </c>
      <c r="E586" t="s">
        <v>20</v>
      </c>
      <c r="F586">
        <v>7</v>
      </c>
      <c r="G586">
        <v>399</v>
      </c>
      <c r="H586">
        <v>0.13</v>
      </c>
      <c r="I586" t="s">
        <v>14</v>
      </c>
      <c r="J586">
        <v>1</v>
      </c>
      <c r="K586">
        <v>4.4000000000000004</v>
      </c>
      <c r="L586">
        <v>2429.91</v>
      </c>
      <c r="M586">
        <f>(Table1[[#This Row],[unit_price]]*Table1[[#This Row],[quantity]])-(Table1[[#This Row],[unit_price]]*Table1[[#This Row],[discount]]*Table1[[#This Row],[quantity]])</f>
        <v>2429.91</v>
      </c>
      <c r="N586">
        <f>DAY(Table1[[#This Row],[order_date]])</f>
        <v>8</v>
      </c>
      <c r="O586" t="str">
        <f>TEXT(Table1[[#This Row],[order_date]],"mmm")</f>
        <v>Aug</v>
      </c>
      <c r="P586">
        <f>YEAR(Table1[[#This Row],[order_date]])</f>
        <v>2023</v>
      </c>
    </row>
    <row r="587" spans="1:16" x14ac:dyDescent="0.3">
      <c r="A587">
        <v>10586</v>
      </c>
      <c r="B587" s="1">
        <v>45147</v>
      </c>
      <c r="C587">
        <v>1349</v>
      </c>
      <c r="D587" t="s">
        <v>15</v>
      </c>
      <c r="E587" t="s">
        <v>13</v>
      </c>
      <c r="F587">
        <v>2</v>
      </c>
      <c r="G587">
        <v>111.07</v>
      </c>
      <c r="H587">
        <v>0.26</v>
      </c>
      <c r="I587" t="s">
        <v>18</v>
      </c>
      <c r="J587">
        <v>5</v>
      </c>
      <c r="K587">
        <v>3.3</v>
      </c>
      <c r="L587">
        <v>164.38</v>
      </c>
      <c r="M587">
        <f>(Table1[[#This Row],[unit_price]]*Table1[[#This Row],[quantity]])-(Table1[[#This Row],[unit_price]]*Table1[[#This Row],[discount]]*Table1[[#This Row],[quantity]])</f>
        <v>164.3836</v>
      </c>
      <c r="N587">
        <f>DAY(Table1[[#This Row],[order_date]])</f>
        <v>9</v>
      </c>
      <c r="O587" t="str">
        <f>TEXT(Table1[[#This Row],[order_date]],"mmm")</f>
        <v>Aug</v>
      </c>
      <c r="P587">
        <f>YEAR(Table1[[#This Row],[order_date]])</f>
        <v>2023</v>
      </c>
    </row>
    <row r="588" spans="1:16" x14ac:dyDescent="0.3">
      <c r="A588">
        <v>10587</v>
      </c>
      <c r="B588" s="1">
        <v>45148</v>
      </c>
      <c r="C588">
        <v>1046</v>
      </c>
      <c r="D588" t="s">
        <v>15</v>
      </c>
      <c r="E588" t="s">
        <v>21</v>
      </c>
      <c r="F588">
        <v>7</v>
      </c>
      <c r="G588">
        <v>47.75</v>
      </c>
      <c r="H588">
        <v>0.14000000000000001</v>
      </c>
      <c r="I588" t="s">
        <v>18</v>
      </c>
      <c r="J588">
        <v>2</v>
      </c>
      <c r="K588">
        <v>1</v>
      </c>
      <c r="L588">
        <v>287.45999999999998</v>
      </c>
      <c r="M588">
        <f>(Table1[[#This Row],[unit_price]]*Table1[[#This Row],[quantity]])-(Table1[[#This Row],[unit_price]]*Table1[[#This Row],[discount]]*Table1[[#This Row],[quantity]])</f>
        <v>287.45499999999998</v>
      </c>
      <c r="N588">
        <f>DAY(Table1[[#This Row],[order_date]])</f>
        <v>10</v>
      </c>
      <c r="O588" t="str">
        <f>TEXT(Table1[[#This Row],[order_date]],"mmm")</f>
        <v>Aug</v>
      </c>
      <c r="P588">
        <f>YEAR(Table1[[#This Row],[order_date]])</f>
        <v>2023</v>
      </c>
    </row>
    <row r="589" spans="1:16" x14ac:dyDescent="0.3">
      <c r="A589">
        <v>10588</v>
      </c>
      <c r="B589" s="1">
        <v>45149</v>
      </c>
      <c r="C589">
        <v>1866</v>
      </c>
      <c r="D589" t="s">
        <v>12</v>
      </c>
      <c r="E589" t="s">
        <v>20</v>
      </c>
      <c r="F589">
        <v>4</v>
      </c>
      <c r="G589">
        <v>85.79</v>
      </c>
      <c r="H589">
        <v>0.22</v>
      </c>
      <c r="I589" t="s">
        <v>16</v>
      </c>
      <c r="J589">
        <v>9</v>
      </c>
      <c r="K589">
        <v>2.7</v>
      </c>
      <c r="L589">
        <v>267.66000000000003</v>
      </c>
      <c r="M589">
        <f>(Table1[[#This Row],[unit_price]]*Table1[[#This Row],[quantity]])-(Table1[[#This Row],[unit_price]]*Table1[[#This Row],[discount]]*Table1[[#This Row],[quantity]])</f>
        <v>267.66480000000001</v>
      </c>
      <c r="N589">
        <f>DAY(Table1[[#This Row],[order_date]])</f>
        <v>11</v>
      </c>
      <c r="O589" t="str">
        <f>TEXT(Table1[[#This Row],[order_date]],"mmm")</f>
        <v>Aug</v>
      </c>
      <c r="P589">
        <f>YEAR(Table1[[#This Row],[order_date]])</f>
        <v>2023</v>
      </c>
    </row>
    <row r="590" spans="1:16" x14ac:dyDescent="0.3">
      <c r="A590">
        <v>10589</v>
      </c>
      <c r="B590" s="1">
        <v>45150</v>
      </c>
      <c r="C590">
        <v>1822</v>
      </c>
      <c r="D590" t="s">
        <v>19</v>
      </c>
      <c r="E590" t="s">
        <v>20</v>
      </c>
      <c r="F590">
        <v>6</v>
      </c>
      <c r="G590">
        <v>559.04</v>
      </c>
      <c r="H590">
        <v>0.27</v>
      </c>
      <c r="I590" t="s">
        <v>16</v>
      </c>
      <c r="J590">
        <v>2</v>
      </c>
      <c r="K590">
        <v>3.8</v>
      </c>
      <c r="L590">
        <v>2448.6</v>
      </c>
      <c r="M590">
        <f>(Table1[[#This Row],[unit_price]]*Table1[[#This Row],[quantity]])-(Table1[[#This Row],[unit_price]]*Table1[[#This Row],[discount]]*Table1[[#This Row],[quantity]])</f>
        <v>2448.5951999999997</v>
      </c>
      <c r="N590">
        <f>DAY(Table1[[#This Row],[order_date]])</f>
        <v>12</v>
      </c>
      <c r="O590" t="str">
        <f>TEXT(Table1[[#This Row],[order_date]],"mmm")</f>
        <v>Aug</v>
      </c>
      <c r="P590">
        <f>YEAR(Table1[[#This Row],[order_date]])</f>
        <v>2023</v>
      </c>
    </row>
    <row r="591" spans="1:16" x14ac:dyDescent="0.3">
      <c r="A591">
        <v>10590</v>
      </c>
      <c r="B591" s="1">
        <v>45151</v>
      </c>
      <c r="C591">
        <v>1935</v>
      </c>
      <c r="D591" t="s">
        <v>22</v>
      </c>
      <c r="E591" t="s">
        <v>21</v>
      </c>
      <c r="F591">
        <v>3</v>
      </c>
      <c r="G591">
        <v>337.77</v>
      </c>
      <c r="H591">
        <v>0.19</v>
      </c>
      <c r="I591" t="s">
        <v>14</v>
      </c>
      <c r="J591">
        <v>9</v>
      </c>
      <c r="K591">
        <v>1.5</v>
      </c>
      <c r="L591">
        <v>820.78</v>
      </c>
      <c r="M591">
        <f>(Table1[[#This Row],[unit_price]]*Table1[[#This Row],[quantity]])-(Table1[[#This Row],[unit_price]]*Table1[[#This Row],[discount]]*Table1[[#This Row],[quantity]])</f>
        <v>820.78109999999992</v>
      </c>
      <c r="N591">
        <f>DAY(Table1[[#This Row],[order_date]])</f>
        <v>13</v>
      </c>
      <c r="O591" t="str">
        <f>TEXT(Table1[[#This Row],[order_date]],"mmm")</f>
        <v>Aug</v>
      </c>
      <c r="P591">
        <f>YEAR(Table1[[#This Row],[order_date]])</f>
        <v>2023</v>
      </c>
    </row>
    <row r="592" spans="1:16" x14ac:dyDescent="0.3">
      <c r="A592">
        <v>10591</v>
      </c>
      <c r="B592" s="1">
        <v>45152</v>
      </c>
      <c r="C592">
        <v>1819</v>
      </c>
      <c r="D592" t="s">
        <v>19</v>
      </c>
      <c r="E592" t="s">
        <v>13</v>
      </c>
      <c r="F592">
        <v>2</v>
      </c>
      <c r="G592">
        <v>480.86</v>
      </c>
      <c r="H592">
        <v>0.19</v>
      </c>
      <c r="I592" t="s">
        <v>18</v>
      </c>
      <c r="J592">
        <v>10</v>
      </c>
      <c r="K592">
        <v>2.6</v>
      </c>
      <c r="L592">
        <v>778.99</v>
      </c>
      <c r="M592">
        <f>(Table1[[#This Row],[unit_price]]*Table1[[#This Row],[quantity]])-(Table1[[#This Row],[unit_price]]*Table1[[#This Row],[discount]]*Table1[[#This Row],[quantity]])</f>
        <v>778.9932</v>
      </c>
      <c r="N592">
        <f>DAY(Table1[[#This Row],[order_date]])</f>
        <v>14</v>
      </c>
      <c r="O592" t="str">
        <f>TEXT(Table1[[#This Row],[order_date]],"mmm")</f>
        <v>Aug</v>
      </c>
      <c r="P592">
        <f>YEAR(Table1[[#This Row],[order_date]])</f>
        <v>2023</v>
      </c>
    </row>
    <row r="593" spans="1:16" x14ac:dyDescent="0.3">
      <c r="A593">
        <v>10592</v>
      </c>
      <c r="B593" s="1">
        <v>45153</v>
      </c>
      <c r="C593">
        <v>1655</v>
      </c>
      <c r="D593" t="s">
        <v>15</v>
      </c>
      <c r="E593" t="s">
        <v>20</v>
      </c>
      <c r="F593">
        <v>7</v>
      </c>
      <c r="G593">
        <v>209.6</v>
      </c>
      <c r="H593">
        <v>0.03</v>
      </c>
      <c r="I593" t="s">
        <v>18</v>
      </c>
      <c r="J593">
        <v>2</v>
      </c>
      <c r="K593">
        <v>1.8</v>
      </c>
      <c r="L593">
        <v>1423.18</v>
      </c>
      <c r="M593">
        <f>(Table1[[#This Row],[unit_price]]*Table1[[#This Row],[quantity]])-(Table1[[#This Row],[unit_price]]*Table1[[#This Row],[discount]]*Table1[[#This Row],[quantity]])</f>
        <v>1423.184</v>
      </c>
      <c r="N593">
        <f>DAY(Table1[[#This Row],[order_date]])</f>
        <v>15</v>
      </c>
      <c r="O593" t="str">
        <f>TEXT(Table1[[#This Row],[order_date]],"mmm")</f>
        <v>Aug</v>
      </c>
      <c r="P593">
        <f>YEAR(Table1[[#This Row],[order_date]])</f>
        <v>2023</v>
      </c>
    </row>
    <row r="594" spans="1:16" x14ac:dyDescent="0.3">
      <c r="A594">
        <v>10593</v>
      </c>
      <c r="B594" s="1">
        <v>45154</v>
      </c>
      <c r="C594">
        <v>1268</v>
      </c>
      <c r="D594" t="s">
        <v>19</v>
      </c>
      <c r="E594" t="s">
        <v>20</v>
      </c>
      <c r="F594">
        <v>1</v>
      </c>
      <c r="G594">
        <v>361.71</v>
      </c>
      <c r="H594">
        <v>0.14000000000000001</v>
      </c>
      <c r="I594" t="s">
        <v>16</v>
      </c>
      <c r="J594">
        <v>4</v>
      </c>
      <c r="K594">
        <v>2.4</v>
      </c>
      <c r="L594">
        <v>311.07</v>
      </c>
      <c r="M594">
        <f>(Table1[[#This Row],[unit_price]]*Table1[[#This Row],[quantity]])-(Table1[[#This Row],[unit_price]]*Table1[[#This Row],[discount]]*Table1[[#This Row],[quantity]])</f>
        <v>311.07059999999996</v>
      </c>
      <c r="N594">
        <f>DAY(Table1[[#This Row],[order_date]])</f>
        <v>16</v>
      </c>
      <c r="O594" t="str">
        <f>TEXT(Table1[[#This Row],[order_date]],"mmm")</f>
        <v>Aug</v>
      </c>
      <c r="P594">
        <f>YEAR(Table1[[#This Row],[order_date]])</f>
        <v>2023</v>
      </c>
    </row>
    <row r="595" spans="1:16" x14ac:dyDescent="0.3">
      <c r="A595">
        <v>10594</v>
      </c>
      <c r="B595" s="1">
        <v>45155</v>
      </c>
      <c r="C595">
        <v>1369</v>
      </c>
      <c r="D595" t="s">
        <v>19</v>
      </c>
      <c r="E595" t="s">
        <v>20</v>
      </c>
      <c r="F595">
        <v>7</v>
      </c>
      <c r="G595">
        <v>304.55</v>
      </c>
      <c r="H595">
        <v>0.19</v>
      </c>
      <c r="I595" t="s">
        <v>16</v>
      </c>
      <c r="J595">
        <v>3</v>
      </c>
      <c r="K595">
        <v>1.1000000000000001</v>
      </c>
      <c r="L595">
        <v>1726.8</v>
      </c>
      <c r="M595">
        <f>(Table1[[#This Row],[unit_price]]*Table1[[#This Row],[quantity]])-(Table1[[#This Row],[unit_price]]*Table1[[#This Row],[discount]]*Table1[[#This Row],[quantity]])</f>
        <v>1726.7984999999999</v>
      </c>
      <c r="N595">
        <f>DAY(Table1[[#This Row],[order_date]])</f>
        <v>17</v>
      </c>
      <c r="O595" t="str">
        <f>TEXT(Table1[[#This Row],[order_date]],"mmm")</f>
        <v>Aug</v>
      </c>
      <c r="P595">
        <f>YEAR(Table1[[#This Row],[order_date]])</f>
        <v>2023</v>
      </c>
    </row>
    <row r="596" spans="1:16" x14ac:dyDescent="0.3">
      <c r="A596">
        <v>10595</v>
      </c>
      <c r="B596" s="1">
        <v>45156</v>
      </c>
      <c r="C596">
        <v>1635</v>
      </c>
      <c r="D596" t="s">
        <v>15</v>
      </c>
      <c r="E596" t="s">
        <v>13</v>
      </c>
      <c r="F596">
        <v>7</v>
      </c>
      <c r="G596">
        <v>568.26</v>
      </c>
      <c r="H596">
        <v>0.16</v>
      </c>
      <c r="I596" t="s">
        <v>16</v>
      </c>
      <c r="J596">
        <v>6</v>
      </c>
      <c r="K596">
        <v>1.5</v>
      </c>
      <c r="L596">
        <v>3341.37</v>
      </c>
      <c r="M596">
        <f>(Table1[[#This Row],[unit_price]]*Table1[[#This Row],[quantity]])-(Table1[[#This Row],[unit_price]]*Table1[[#This Row],[discount]]*Table1[[#This Row],[quantity]])</f>
        <v>3341.3687999999997</v>
      </c>
      <c r="N596">
        <f>DAY(Table1[[#This Row],[order_date]])</f>
        <v>18</v>
      </c>
      <c r="O596" t="str">
        <f>TEXT(Table1[[#This Row],[order_date]],"mmm")</f>
        <v>Aug</v>
      </c>
      <c r="P596">
        <f>YEAR(Table1[[#This Row],[order_date]])</f>
        <v>2023</v>
      </c>
    </row>
    <row r="597" spans="1:16" x14ac:dyDescent="0.3">
      <c r="A597">
        <v>10596</v>
      </c>
      <c r="B597" s="1">
        <v>45157</v>
      </c>
      <c r="C597">
        <v>1105</v>
      </c>
      <c r="D597" t="s">
        <v>19</v>
      </c>
      <c r="E597" t="s">
        <v>13</v>
      </c>
      <c r="F597">
        <v>4</v>
      </c>
      <c r="G597">
        <v>452.33</v>
      </c>
      <c r="H597">
        <v>0.32</v>
      </c>
      <c r="I597" t="s">
        <v>18</v>
      </c>
      <c r="J597">
        <v>4</v>
      </c>
      <c r="K597">
        <v>2.8</v>
      </c>
      <c r="L597">
        <v>1230.3399999999999</v>
      </c>
      <c r="M597">
        <f>(Table1[[#This Row],[unit_price]]*Table1[[#This Row],[quantity]])-(Table1[[#This Row],[unit_price]]*Table1[[#This Row],[discount]]*Table1[[#This Row],[quantity]])</f>
        <v>1230.3375999999998</v>
      </c>
      <c r="N597">
        <f>DAY(Table1[[#This Row],[order_date]])</f>
        <v>19</v>
      </c>
      <c r="O597" t="str">
        <f>TEXT(Table1[[#This Row],[order_date]],"mmm")</f>
        <v>Aug</v>
      </c>
      <c r="P597">
        <f>YEAR(Table1[[#This Row],[order_date]])</f>
        <v>2023</v>
      </c>
    </row>
    <row r="598" spans="1:16" x14ac:dyDescent="0.3">
      <c r="A598">
        <v>10597</v>
      </c>
      <c r="B598" s="1">
        <v>45158</v>
      </c>
      <c r="C598">
        <v>1669</v>
      </c>
      <c r="D598" t="s">
        <v>15</v>
      </c>
      <c r="E598" t="s">
        <v>13</v>
      </c>
      <c r="F598">
        <v>5</v>
      </c>
      <c r="G598">
        <v>442.37</v>
      </c>
      <c r="H598">
        <v>0.32</v>
      </c>
      <c r="I598" t="s">
        <v>16</v>
      </c>
      <c r="J598">
        <v>9</v>
      </c>
      <c r="K598">
        <v>4.5999999999999996</v>
      </c>
      <c r="L598">
        <v>1504.06</v>
      </c>
      <c r="M598">
        <f>(Table1[[#This Row],[unit_price]]*Table1[[#This Row],[quantity]])-(Table1[[#This Row],[unit_price]]*Table1[[#This Row],[discount]]*Table1[[#This Row],[quantity]])</f>
        <v>1504.058</v>
      </c>
      <c r="N598">
        <f>DAY(Table1[[#This Row],[order_date]])</f>
        <v>20</v>
      </c>
      <c r="O598" t="str">
        <f>TEXT(Table1[[#This Row],[order_date]],"mmm")</f>
        <v>Aug</v>
      </c>
      <c r="P598">
        <f>YEAR(Table1[[#This Row],[order_date]])</f>
        <v>2023</v>
      </c>
    </row>
    <row r="599" spans="1:16" x14ac:dyDescent="0.3">
      <c r="A599">
        <v>10598</v>
      </c>
      <c r="B599" s="1">
        <v>45159</v>
      </c>
      <c r="C599">
        <v>1658</v>
      </c>
      <c r="D599" t="s">
        <v>12</v>
      </c>
      <c r="E599" t="s">
        <v>20</v>
      </c>
      <c r="F599">
        <v>5</v>
      </c>
      <c r="G599">
        <v>42.12</v>
      </c>
      <c r="H599">
        <v>0.28999999999999998</v>
      </c>
      <c r="I599" t="s">
        <v>16</v>
      </c>
      <c r="J599">
        <v>9</v>
      </c>
      <c r="K599">
        <v>3</v>
      </c>
      <c r="L599">
        <v>149.53</v>
      </c>
      <c r="M599">
        <f>(Table1[[#This Row],[unit_price]]*Table1[[#This Row],[quantity]])-(Table1[[#This Row],[unit_price]]*Table1[[#This Row],[discount]]*Table1[[#This Row],[quantity]])</f>
        <v>149.52600000000001</v>
      </c>
      <c r="N599">
        <f>DAY(Table1[[#This Row],[order_date]])</f>
        <v>21</v>
      </c>
      <c r="O599" t="str">
        <f>TEXT(Table1[[#This Row],[order_date]],"mmm")</f>
        <v>Aug</v>
      </c>
      <c r="P599">
        <f>YEAR(Table1[[#This Row],[order_date]])</f>
        <v>2023</v>
      </c>
    </row>
    <row r="600" spans="1:16" x14ac:dyDescent="0.3">
      <c r="A600">
        <v>10599</v>
      </c>
      <c r="B600" s="1">
        <v>45160</v>
      </c>
      <c r="C600">
        <v>1656</v>
      </c>
      <c r="D600" t="s">
        <v>19</v>
      </c>
      <c r="E600" t="s">
        <v>17</v>
      </c>
      <c r="F600">
        <v>1</v>
      </c>
      <c r="G600">
        <v>336.56</v>
      </c>
      <c r="H600">
        <v>0.13</v>
      </c>
      <c r="I600" t="s">
        <v>18</v>
      </c>
      <c r="J600">
        <v>10</v>
      </c>
      <c r="K600">
        <v>2.8</v>
      </c>
      <c r="L600">
        <v>292.81</v>
      </c>
      <c r="M600">
        <f>(Table1[[#This Row],[unit_price]]*Table1[[#This Row],[quantity]])-(Table1[[#This Row],[unit_price]]*Table1[[#This Row],[discount]]*Table1[[#This Row],[quantity]])</f>
        <v>292.80720000000002</v>
      </c>
      <c r="N600">
        <f>DAY(Table1[[#This Row],[order_date]])</f>
        <v>22</v>
      </c>
      <c r="O600" t="str">
        <f>TEXT(Table1[[#This Row],[order_date]],"mmm")</f>
        <v>Aug</v>
      </c>
      <c r="P600">
        <f>YEAR(Table1[[#This Row],[order_date]])</f>
        <v>2023</v>
      </c>
    </row>
    <row r="601" spans="1:16" x14ac:dyDescent="0.3">
      <c r="A601">
        <v>10600</v>
      </c>
      <c r="B601" s="1">
        <v>45161</v>
      </c>
      <c r="C601">
        <v>1119</v>
      </c>
      <c r="D601" t="s">
        <v>22</v>
      </c>
      <c r="E601" t="s">
        <v>21</v>
      </c>
      <c r="F601">
        <v>4</v>
      </c>
      <c r="G601">
        <v>288.19</v>
      </c>
      <c r="H601">
        <v>0.25</v>
      </c>
      <c r="I601" t="s">
        <v>18</v>
      </c>
      <c r="J601">
        <v>9</v>
      </c>
      <c r="K601">
        <v>4.2</v>
      </c>
      <c r="L601">
        <v>864.57</v>
      </c>
      <c r="M601">
        <f>(Table1[[#This Row],[unit_price]]*Table1[[#This Row],[quantity]])-(Table1[[#This Row],[unit_price]]*Table1[[#This Row],[discount]]*Table1[[#This Row],[quantity]])</f>
        <v>864.56999999999994</v>
      </c>
      <c r="N601">
        <f>DAY(Table1[[#This Row],[order_date]])</f>
        <v>23</v>
      </c>
      <c r="O601" t="str">
        <f>TEXT(Table1[[#This Row],[order_date]],"mmm")</f>
        <v>Aug</v>
      </c>
      <c r="P601">
        <f>YEAR(Table1[[#This Row],[order_date]])</f>
        <v>2023</v>
      </c>
    </row>
    <row r="602" spans="1:16" x14ac:dyDescent="0.3">
      <c r="A602">
        <v>10601</v>
      </c>
      <c r="B602" s="1">
        <v>45162</v>
      </c>
      <c r="C602">
        <v>1830</v>
      </c>
      <c r="D602" t="s">
        <v>15</v>
      </c>
      <c r="E602" t="s">
        <v>17</v>
      </c>
      <c r="F602">
        <v>4</v>
      </c>
      <c r="G602">
        <v>557.79</v>
      </c>
      <c r="H602">
        <v>0.14000000000000001</v>
      </c>
      <c r="I602" t="s">
        <v>16</v>
      </c>
      <c r="J602">
        <v>3</v>
      </c>
      <c r="K602">
        <v>2.1</v>
      </c>
      <c r="L602">
        <v>1918.8</v>
      </c>
      <c r="M602">
        <f>(Table1[[#This Row],[unit_price]]*Table1[[#This Row],[quantity]])-(Table1[[#This Row],[unit_price]]*Table1[[#This Row],[discount]]*Table1[[#This Row],[quantity]])</f>
        <v>1918.7975999999999</v>
      </c>
      <c r="N602">
        <f>DAY(Table1[[#This Row],[order_date]])</f>
        <v>24</v>
      </c>
      <c r="O602" t="str">
        <f>TEXT(Table1[[#This Row],[order_date]],"mmm")</f>
        <v>Aug</v>
      </c>
      <c r="P602">
        <f>YEAR(Table1[[#This Row],[order_date]])</f>
        <v>2023</v>
      </c>
    </row>
    <row r="603" spans="1:16" x14ac:dyDescent="0.3">
      <c r="A603">
        <v>10602</v>
      </c>
      <c r="B603" s="1">
        <v>45163</v>
      </c>
      <c r="C603">
        <v>1786</v>
      </c>
      <c r="D603" t="s">
        <v>22</v>
      </c>
      <c r="E603" t="s">
        <v>13</v>
      </c>
      <c r="F603">
        <v>4</v>
      </c>
      <c r="G603">
        <v>165.55</v>
      </c>
      <c r="H603">
        <v>0.08</v>
      </c>
      <c r="I603" t="s">
        <v>18</v>
      </c>
      <c r="J603">
        <v>3</v>
      </c>
      <c r="K603">
        <v>1.4</v>
      </c>
      <c r="L603">
        <v>609.22</v>
      </c>
      <c r="M603">
        <f>(Table1[[#This Row],[unit_price]]*Table1[[#This Row],[quantity]])-(Table1[[#This Row],[unit_price]]*Table1[[#This Row],[discount]]*Table1[[#This Row],[quantity]])</f>
        <v>609.22400000000005</v>
      </c>
      <c r="N603">
        <f>DAY(Table1[[#This Row],[order_date]])</f>
        <v>25</v>
      </c>
      <c r="O603" t="str">
        <f>TEXT(Table1[[#This Row],[order_date]],"mmm")</f>
        <v>Aug</v>
      </c>
      <c r="P603">
        <f>YEAR(Table1[[#This Row],[order_date]])</f>
        <v>2023</v>
      </c>
    </row>
    <row r="604" spans="1:16" x14ac:dyDescent="0.3">
      <c r="A604">
        <v>10603</v>
      </c>
      <c r="B604" s="1">
        <v>45164</v>
      </c>
      <c r="C604">
        <v>1603</v>
      </c>
      <c r="D604" t="s">
        <v>19</v>
      </c>
      <c r="E604" t="s">
        <v>20</v>
      </c>
      <c r="F604">
        <v>4</v>
      </c>
      <c r="G604">
        <v>172.85</v>
      </c>
      <c r="H604">
        <v>0.12</v>
      </c>
      <c r="I604" t="s">
        <v>14</v>
      </c>
      <c r="J604">
        <v>4</v>
      </c>
      <c r="K604">
        <v>1.8</v>
      </c>
      <c r="L604">
        <v>608.42999999999995</v>
      </c>
      <c r="M604">
        <f>(Table1[[#This Row],[unit_price]]*Table1[[#This Row],[quantity]])-(Table1[[#This Row],[unit_price]]*Table1[[#This Row],[discount]]*Table1[[#This Row],[quantity]])</f>
        <v>608.43200000000002</v>
      </c>
      <c r="N604">
        <f>DAY(Table1[[#This Row],[order_date]])</f>
        <v>26</v>
      </c>
      <c r="O604" t="str">
        <f>TEXT(Table1[[#This Row],[order_date]],"mmm")</f>
        <v>Aug</v>
      </c>
      <c r="P604">
        <f>YEAR(Table1[[#This Row],[order_date]])</f>
        <v>2023</v>
      </c>
    </row>
    <row r="605" spans="1:16" x14ac:dyDescent="0.3">
      <c r="A605">
        <v>10604</v>
      </c>
      <c r="B605" s="1">
        <v>45165</v>
      </c>
      <c r="C605">
        <v>1057</v>
      </c>
      <c r="D605" t="s">
        <v>19</v>
      </c>
      <c r="E605" t="s">
        <v>20</v>
      </c>
      <c r="F605">
        <v>5</v>
      </c>
      <c r="G605">
        <v>255.64</v>
      </c>
      <c r="H605">
        <v>0.02</v>
      </c>
      <c r="I605" t="s">
        <v>18</v>
      </c>
      <c r="J605">
        <v>9</v>
      </c>
      <c r="K605">
        <v>4.2</v>
      </c>
      <c r="L605">
        <v>1252.6400000000001</v>
      </c>
      <c r="M605">
        <f>(Table1[[#This Row],[unit_price]]*Table1[[#This Row],[quantity]])-(Table1[[#This Row],[unit_price]]*Table1[[#This Row],[discount]]*Table1[[#This Row],[quantity]])</f>
        <v>1252.6359999999997</v>
      </c>
      <c r="N605">
        <f>DAY(Table1[[#This Row],[order_date]])</f>
        <v>27</v>
      </c>
      <c r="O605" t="str">
        <f>TEXT(Table1[[#This Row],[order_date]],"mmm")</f>
        <v>Aug</v>
      </c>
      <c r="P605">
        <f>YEAR(Table1[[#This Row],[order_date]])</f>
        <v>2023</v>
      </c>
    </row>
    <row r="606" spans="1:16" x14ac:dyDescent="0.3">
      <c r="A606">
        <v>10605</v>
      </c>
      <c r="B606" s="1">
        <v>45166</v>
      </c>
      <c r="C606">
        <v>1950</v>
      </c>
      <c r="D606" t="s">
        <v>19</v>
      </c>
      <c r="E606" t="s">
        <v>17</v>
      </c>
      <c r="F606">
        <v>2</v>
      </c>
      <c r="G606">
        <v>157.37</v>
      </c>
      <c r="H606">
        <v>0.12</v>
      </c>
      <c r="I606" t="s">
        <v>14</v>
      </c>
      <c r="J606">
        <v>6</v>
      </c>
      <c r="K606">
        <v>3.7</v>
      </c>
      <c r="L606">
        <v>276.97000000000003</v>
      </c>
      <c r="M606">
        <f>(Table1[[#This Row],[unit_price]]*Table1[[#This Row],[quantity]])-(Table1[[#This Row],[unit_price]]*Table1[[#This Row],[discount]]*Table1[[#This Row],[quantity]])</f>
        <v>276.97120000000001</v>
      </c>
      <c r="N606">
        <f>DAY(Table1[[#This Row],[order_date]])</f>
        <v>28</v>
      </c>
      <c r="O606" t="str">
        <f>TEXT(Table1[[#This Row],[order_date]],"mmm")</f>
        <v>Aug</v>
      </c>
      <c r="P606">
        <f>YEAR(Table1[[#This Row],[order_date]])</f>
        <v>2023</v>
      </c>
    </row>
    <row r="607" spans="1:16" x14ac:dyDescent="0.3">
      <c r="A607">
        <v>10606</v>
      </c>
      <c r="B607" s="1">
        <v>45167</v>
      </c>
      <c r="C607">
        <v>1345</v>
      </c>
      <c r="D607" t="s">
        <v>19</v>
      </c>
      <c r="E607" t="s">
        <v>17</v>
      </c>
      <c r="F607">
        <v>4</v>
      </c>
      <c r="G607">
        <v>90.57</v>
      </c>
      <c r="H607">
        <v>0.16</v>
      </c>
      <c r="I607" t="s">
        <v>14</v>
      </c>
      <c r="J607">
        <v>9</v>
      </c>
      <c r="K607">
        <v>1.4</v>
      </c>
      <c r="L607">
        <v>304.32</v>
      </c>
      <c r="M607">
        <f>(Table1[[#This Row],[unit_price]]*Table1[[#This Row],[quantity]])-(Table1[[#This Row],[unit_price]]*Table1[[#This Row],[discount]]*Table1[[#This Row],[quantity]])</f>
        <v>304.3152</v>
      </c>
      <c r="N607">
        <f>DAY(Table1[[#This Row],[order_date]])</f>
        <v>29</v>
      </c>
      <c r="O607" t="str">
        <f>TEXT(Table1[[#This Row],[order_date]],"mmm")</f>
        <v>Aug</v>
      </c>
      <c r="P607">
        <f>YEAR(Table1[[#This Row],[order_date]])</f>
        <v>2023</v>
      </c>
    </row>
    <row r="608" spans="1:16" x14ac:dyDescent="0.3">
      <c r="A608">
        <v>10607</v>
      </c>
      <c r="B608" s="1">
        <v>45168</v>
      </c>
      <c r="C608">
        <v>1740</v>
      </c>
      <c r="D608" t="s">
        <v>19</v>
      </c>
      <c r="E608" t="s">
        <v>21</v>
      </c>
      <c r="F608">
        <v>2</v>
      </c>
      <c r="G608">
        <v>516.59</v>
      </c>
      <c r="H608">
        <v>0.33</v>
      </c>
      <c r="I608" t="s">
        <v>16</v>
      </c>
      <c r="J608">
        <v>8</v>
      </c>
      <c r="K608">
        <v>3.7</v>
      </c>
      <c r="L608">
        <v>692.23</v>
      </c>
      <c r="M608">
        <f>(Table1[[#This Row],[unit_price]]*Table1[[#This Row],[quantity]])-(Table1[[#This Row],[unit_price]]*Table1[[#This Row],[discount]]*Table1[[#This Row],[quantity]])</f>
        <v>692.23060000000009</v>
      </c>
      <c r="N608">
        <f>DAY(Table1[[#This Row],[order_date]])</f>
        <v>30</v>
      </c>
      <c r="O608" t="str">
        <f>TEXT(Table1[[#This Row],[order_date]],"mmm")</f>
        <v>Aug</v>
      </c>
      <c r="P608">
        <f>YEAR(Table1[[#This Row],[order_date]])</f>
        <v>2023</v>
      </c>
    </row>
    <row r="609" spans="1:16" x14ac:dyDescent="0.3">
      <c r="A609">
        <v>10608</v>
      </c>
      <c r="B609" s="1">
        <v>45169</v>
      </c>
      <c r="C609">
        <v>1473</v>
      </c>
      <c r="D609" t="s">
        <v>22</v>
      </c>
      <c r="E609" t="s">
        <v>20</v>
      </c>
      <c r="F609">
        <v>7</v>
      </c>
      <c r="G609">
        <v>341.59</v>
      </c>
      <c r="H609">
        <v>0.11</v>
      </c>
      <c r="I609" t="s">
        <v>16</v>
      </c>
      <c r="J609">
        <v>7</v>
      </c>
      <c r="K609">
        <v>4.7</v>
      </c>
      <c r="L609">
        <v>2128.11</v>
      </c>
      <c r="M609">
        <f>(Table1[[#This Row],[unit_price]]*Table1[[#This Row],[quantity]])-(Table1[[#This Row],[unit_price]]*Table1[[#This Row],[discount]]*Table1[[#This Row],[quantity]])</f>
        <v>2128.1056999999996</v>
      </c>
      <c r="N609">
        <f>DAY(Table1[[#This Row],[order_date]])</f>
        <v>31</v>
      </c>
      <c r="O609" t="str">
        <f>TEXT(Table1[[#This Row],[order_date]],"mmm")</f>
        <v>Aug</v>
      </c>
      <c r="P609">
        <f>YEAR(Table1[[#This Row],[order_date]])</f>
        <v>2023</v>
      </c>
    </row>
    <row r="610" spans="1:16" x14ac:dyDescent="0.3">
      <c r="A610">
        <v>10609</v>
      </c>
      <c r="B610" s="1">
        <v>45170</v>
      </c>
      <c r="C610">
        <v>1116</v>
      </c>
      <c r="D610" t="s">
        <v>12</v>
      </c>
      <c r="E610" t="s">
        <v>17</v>
      </c>
      <c r="F610">
        <v>7</v>
      </c>
      <c r="G610">
        <v>518.9</v>
      </c>
      <c r="H610">
        <v>0.32</v>
      </c>
      <c r="I610" t="s">
        <v>18</v>
      </c>
      <c r="J610">
        <v>5</v>
      </c>
      <c r="K610">
        <v>1.2</v>
      </c>
      <c r="L610">
        <v>2469.96</v>
      </c>
      <c r="M610">
        <f>(Table1[[#This Row],[unit_price]]*Table1[[#This Row],[quantity]])-(Table1[[#This Row],[unit_price]]*Table1[[#This Row],[discount]]*Table1[[#This Row],[quantity]])</f>
        <v>2469.9639999999999</v>
      </c>
      <c r="N610">
        <f>DAY(Table1[[#This Row],[order_date]])</f>
        <v>1</v>
      </c>
      <c r="O610" t="str">
        <f>TEXT(Table1[[#This Row],[order_date]],"mmm")</f>
        <v>Sep</v>
      </c>
      <c r="P610">
        <f>YEAR(Table1[[#This Row],[order_date]])</f>
        <v>2023</v>
      </c>
    </row>
    <row r="611" spans="1:16" x14ac:dyDescent="0.3">
      <c r="A611">
        <v>10610</v>
      </c>
      <c r="B611" s="1">
        <v>45171</v>
      </c>
      <c r="C611">
        <v>1829</v>
      </c>
      <c r="D611" t="s">
        <v>22</v>
      </c>
      <c r="E611" t="s">
        <v>21</v>
      </c>
      <c r="F611">
        <v>4</v>
      </c>
      <c r="G611">
        <v>501.21</v>
      </c>
      <c r="H611">
        <v>0.08</v>
      </c>
      <c r="I611" t="s">
        <v>18</v>
      </c>
      <c r="J611">
        <v>9</v>
      </c>
      <c r="K611">
        <v>3.5</v>
      </c>
      <c r="L611">
        <v>1844.45</v>
      </c>
      <c r="M611">
        <f>(Table1[[#This Row],[unit_price]]*Table1[[#This Row],[quantity]])-(Table1[[#This Row],[unit_price]]*Table1[[#This Row],[discount]]*Table1[[#This Row],[quantity]])</f>
        <v>1844.4528</v>
      </c>
      <c r="N611">
        <f>DAY(Table1[[#This Row],[order_date]])</f>
        <v>2</v>
      </c>
      <c r="O611" t="str">
        <f>TEXT(Table1[[#This Row],[order_date]],"mmm")</f>
        <v>Sep</v>
      </c>
      <c r="P611">
        <f>YEAR(Table1[[#This Row],[order_date]])</f>
        <v>2023</v>
      </c>
    </row>
    <row r="612" spans="1:16" x14ac:dyDescent="0.3">
      <c r="A612">
        <v>10611</v>
      </c>
      <c r="B612" s="1">
        <v>45172</v>
      </c>
      <c r="C612">
        <v>1790</v>
      </c>
      <c r="D612" t="s">
        <v>22</v>
      </c>
      <c r="E612" t="s">
        <v>13</v>
      </c>
      <c r="F612">
        <v>3</v>
      </c>
      <c r="G612">
        <v>179.99</v>
      </c>
      <c r="H612">
        <v>7.0000000000000007E-2</v>
      </c>
      <c r="I612" t="s">
        <v>16</v>
      </c>
      <c r="J612">
        <v>4</v>
      </c>
      <c r="K612">
        <v>2.5</v>
      </c>
      <c r="L612">
        <v>502.17</v>
      </c>
      <c r="M612">
        <f>(Table1[[#This Row],[unit_price]]*Table1[[#This Row],[quantity]])-(Table1[[#This Row],[unit_price]]*Table1[[#This Row],[discount]]*Table1[[#This Row],[quantity]])</f>
        <v>502.1721</v>
      </c>
      <c r="N612">
        <f>DAY(Table1[[#This Row],[order_date]])</f>
        <v>3</v>
      </c>
      <c r="O612" t="str">
        <f>TEXT(Table1[[#This Row],[order_date]],"mmm")</f>
        <v>Sep</v>
      </c>
      <c r="P612">
        <f>YEAR(Table1[[#This Row],[order_date]])</f>
        <v>2023</v>
      </c>
    </row>
    <row r="613" spans="1:16" x14ac:dyDescent="0.3">
      <c r="A613">
        <v>10612</v>
      </c>
      <c r="B613" s="1">
        <v>45173</v>
      </c>
      <c r="C613">
        <v>1126</v>
      </c>
      <c r="D613" t="s">
        <v>19</v>
      </c>
      <c r="E613" t="s">
        <v>17</v>
      </c>
      <c r="F613">
        <v>6</v>
      </c>
      <c r="G613">
        <v>335.43</v>
      </c>
      <c r="H613">
        <v>0.18</v>
      </c>
      <c r="I613" t="s">
        <v>16</v>
      </c>
      <c r="J613">
        <v>4</v>
      </c>
      <c r="K613">
        <v>3</v>
      </c>
      <c r="L613">
        <v>1650.32</v>
      </c>
      <c r="M613">
        <f>(Table1[[#This Row],[unit_price]]*Table1[[#This Row],[quantity]])-(Table1[[#This Row],[unit_price]]*Table1[[#This Row],[discount]]*Table1[[#This Row],[quantity]])</f>
        <v>1650.3155999999999</v>
      </c>
      <c r="N613">
        <f>DAY(Table1[[#This Row],[order_date]])</f>
        <v>4</v>
      </c>
      <c r="O613" t="str">
        <f>TEXT(Table1[[#This Row],[order_date]],"mmm")</f>
        <v>Sep</v>
      </c>
      <c r="P613">
        <f>YEAR(Table1[[#This Row],[order_date]])</f>
        <v>2023</v>
      </c>
    </row>
    <row r="614" spans="1:16" x14ac:dyDescent="0.3">
      <c r="A614">
        <v>10613</v>
      </c>
      <c r="B614" s="1">
        <v>45174</v>
      </c>
      <c r="C614">
        <v>1392</v>
      </c>
      <c r="D614" t="s">
        <v>19</v>
      </c>
      <c r="E614" t="s">
        <v>13</v>
      </c>
      <c r="F614">
        <v>3</v>
      </c>
      <c r="G614">
        <v>63.68</v>
      </c>
      <c r="H614">
        <v>0.24</v>
      </c>
      <c r="I614" t="s">
        <v>18</v>
      </c>
      <c r="J614">
        <v>8</v>
      </c>
      <c r="K614">
        <v>3.1</v>
      </c>
      <c r="L614">
        <v>145.19</v>
      </c>
      <c r="M614">
        <f>(Table1[[#This Row],[unit_price]]*Table1[[#This Row],[quantity]])-(Table1[[#This Row],[unit_price]]*Table1[[#This Row],[discount]]*Table1[[#This Row],[quantity]])</f>
        <v>145.19040000000001</v>
      </c>
      <c r="N614">
        <f>DAY(Table1[[#This Row],[order_date]])</f>
        <v>5</v>
      </c>
      <c r="O614" t="str">
        <f>TEXT(Table1[[#This Row],[order_date]],"mmm")</f>
        <v>Sep</v>
      </c>
      <c r="P614">
        <f>YEAR(Table1[[#This Row],[order_date]])</f>
        <v>2023</v>
      </c>
    </row>
    <row r="615" spans="1:16" x14ac:dyDescent="0.3">
      <c r="A615">
        <v>10614</v>
      </c>
      <c r="B615" s="1">
        <v>45175</v>
      </c>
      <c r="C615">
        <v>1907</v>
      </c>
      <c r="D615" t="s">
        <v>19</v>
      </c>
      <c r="E615" t="s">
        <v>21</v>
      </c>
      <c r="F615">
        <v>7</v>
      </c>
      <c r="G615">
        <v>550.41999999999996</v>
      </c>
      <c r="H615">
        <v>0.02</v>
      </c>
      <c r="I615" t="s">
        <v>16</v>
      </c>
      <c r="J615">
        <v>4</v>
      </c>
      <c r="K615">
        <v>4.0999999999999996</v>
      </c>
      <c r="L615">
        <v>3775.88</v>
      </c>
      <c r="M615">
        <f>(Table1[[#This Row],[unit_price]]*Table1[[#This Row],[quantity]])-(Table1[[#This Row],[unit_price]]*Table1[[#This Row],[discount]]*Table1[[#This Row],[quantity]])</f>
        <v>3775.8811999999998</v>
      </c>
      <c r="N615">
        <f>DAY(Table1[[#This Row],[order_date]])</f>
        <v>6</v>
      </c>
      <c r="O615" t="str">
        <f>TEXT(Table1[[#This Row],[order_date]],"mmm")</f>
        <v>Sep</v>
      </c>
      <c r="P615">
        <f>YEAR(Table1[[#This Row],[order_date]])</f>
        <v>2023</v>
      </c>
    </row>
    <row r="616" spans="1:16" x14ac:dyDescent="0.3">
      <c r="A616">
        <v>10615</v>
      </c>
      <c r="B616" s="1">
        <v>45176</v>
      </c>
      <c r="C616">
        <v>1640</v>
      </c>
      <c r="D616" t="s">
        <v>19</v>
      </c>
      <c r="E616" t="s">
        <v>13</v>
      </c>
      <c r="F616">
        <v>6</v>
      </c>
      <c r="G616">
        <v>251.49</v>
      </c>
      <c r="H616">
        <v>0.08</v>
      </c>
      <c r="I616" t="s">
        <v>14</v>
      </c>
      <c r="J616">
        <v>7</v>
      </c>
      <c r="K616">
        <v>3.2</v>
      </c>
      <c r="L616">
        <v>1388.22</v>
      </c>
      <c r="M616">
        <f>(Table1[[#This Row],[unit_price]]*Table1[[#This Row],[quantity]])-(Table1[[#This Row],[unit_price]]*Table1[[#This Row],[discount]]*Table1[[#This Row],[quantity]])</f>
        <v>1388.2248</v>
      </c>
      <c r="N616">
        <f>DAY(Table1[[#This Row],[order_date]])</f>
        <v>7</v>
      </c>
      <c r="O616" t="str">
        <f>TEXT(Table1[[#This Row],[order_date]],"mmm")</f>
        <v>Sep</v>
      </c>
      <c r="P616">
        <f>YEAR(Table1[[#This Row],[order_date]])</f>
        <v>2023</v>
      </c>
    </row>
    <row r="617" spans="1:16" x14ac:dyDescent="0.3">
      <c r="A617">
        <v>10616</v>
      </c>
      <c r="B617" s="1">
        <v>45177</v>
      </c>
      <c r="C617">
        <v>1057</v>
      </c>
      <c r="D617" t="s">
        <v>15</v>
      </c>
      <c r="E617" t="s">
        <v>20</v>
      </c>
      <c r="F617">
        <v>3</v>
      </c>
      <c r="G617">
        <v>245.3</v>
      </c>
      <c r="H617">
        <v>0.16</v>
      </c>
      <c r="I617" t="s">
        <v>16</v>
      </c>
      <c r="J617">
        <v>4</v>
      </c>
      <c r="K617">
        <v>3.4</v>
      </c>
      <c r="L617">
        <v>618.16</v>
      </c>
      <c r="M617">
        <f>(Table1[[#This Row],[unit_price]]*Table1[[#This Row],[quantity]])-(Table1[[#This Row],[unit_price]]*Table1[[#This Row],[discount]]*Table1[[#This Row],[quantity]])</f>
        <v>618.15600000000006</v>
      </c>
      <c r="N617">
        <f>DAY(Table1[[#This Row],[order_date]])</f>
        <v>8</v>
      </c>
      <c r="O617" t="str">
        <f>TEXT(Table1[[#This Row],[order_date]],"mmm")</f>
        <v>Sep</v>
      </c>
      <c r="P617">
        <f>YEAR(Table1[[#This Row],[order_date]])</f>
        <v>2023</v>
      </c>
    </row>
    <row r="618" spans="1:16" x14ac:dyDescent="0.3">
      <c r="A618">
        <v>10617</v>
      </c>
      <c r="B618" s="1">
        <v>45178</v>
      </c>
      <c r="C618">
        <v>1633</v>
      </c>
      <c r="D618" t="s">
        <v>15</v>
      </c>
      <c r="E618" t="s">
        <v>20</v>
      </c>
      <c r="F618">
        <v>4</v>
      </c>
      <c r="G618">
        <v>192.11</v>
      </c>
      <c r="H618">
        <v>0.12</v>
      </c>
      <c r="I618" t="s">
        <v>14</v>
      </c>
      <c r="J618">
        <v>11</v>
      </c>
      <c r="K618">
        <v>2.2999999999999998</v>
      </c>
      <c r="L618">
        <v>676.23</v>
      </c>
      <c r="M618">
        <f>(Table1[[#This Row],[unit_price]]*Table1[[#This Row],[quantity]])-(Table1[[#This Row],[unit_price]]*Table1[[#This Row],[discount]]*Table1[[#This Row],[quantity]])</f>
        <v>676.22720000000004</v>
      </c>
      <c r="N618">
        <f>DAY(Table1[[#This Row],[order_date]])</f>
        <v>9</v>
      </c>
      <c r="O618" t="str">
        <f>TEXT(Table1[[#This Row],[order_date]],"mmm")</f>
        <v>Sep</v>
      </c>
      <c r="P618">
        <f>YEAR(Table1[[#This Row],[order_date]])</f>
        <v>2023</v>
      </c>
    </row>
    <row r="619" spans="1:16" x14ac:dyDescent="0.3">
      <c r="A619">
        <v>10618</v>
      </c>
      <c r="B619" s="1">
        <v>45179</v>
      </c>
      <c r="C619">
        <v>1512</v>
      </c>
      <c r="D619" t="s">
        <v>15</v>
      </c>
      <c r="E619" t="s">
        <v>13</v>
      </c>
      <c r="F619">
        <v>2</v>
      </c>
      <c r="G619">
        <v>284.49</v>
      </c>
      <c r="H619">
        <v>0.25</v>
      </c>
      <c r="I619" t="s">
        <v>16</v>
      </c>
      <c r="J619">
        <v>1</v>
      </c>
      <c r="K619">
        <v>1.5</v>
      </c>
      <c r="L619">
        <v>426.74</v>
      </c>
      <c r="M619">
        <f>(Table1[[#This Row],[unit_price]]*Table1[[#This Row],[quantity]])-(Table1[[#This Row],[unit_price]]*Table1[[#This Row],[discount]]*Table1[[#This Row],[quantity]])</f>
        <v>426.73500000000001</v>
      </c>
      <c r="N619">
        <f>DAY(Table1[[#This Row],[order_date]])</f>
        <v>10</v>
      </c>
      <c r="O619" t="str">
        <f>TEXT(Table1[[#This Row],[order_date]],"mmm")</f>
        <v>Sep</v>
      </c>
      <c r="P619">
        <f>YEAR(Table1[[#This Row],[order_date]])</f>
        <v>2023</v>
      </c>
    </row>
    <row r="620" spans="1:16" x14ac:dyDescent="0.3">
      <c r="A620">
        <v>10619</v>
      </c>
      <c r="B620" s="1">
        <v>45180</v>
      </c>
      <c r="C620">
        <v>1750</v>
      </c>
      <c r="D620" t="s">
        <v>15</v>
      </c>
      <c r="E620" t="s">
        <v>20</v>
      </c>
      <c r="F620">
        <v>6</v>
      </c>
      <c r="G620">
        <v>162.28</v>
      </c>
      <c r="H620">
        <v>0.18</v>
      </c>
      <c r="I620" t="s">
        <v>16</v>
      </c>
      <c r="J620">
        <v>10</v>
      </c>
      <c r="K620">
        <v>3.7</v>
      </c>
      <c r="L620">
        <v>798.42</v>
      </c>
      <c r="M620">
        <f>(Table1[[#This Row],[unit_price]]*Table1[[#This Row],[quantity]])-(Table1[[#This Row],[unit_price]]*Table1[[#This Row],[discount]]*Table1[[#This Row],[quantity]])</f>
        <v>798.41759999999999</v>
      </c>
      <c r="N620">
        <f>DAY(Table1[[#This Row],[order_date]])</f>
        <v>11</v>
      </c>
      <c r="O620" t="str">
        <f>TEXT(Table1[[#This Row],[order_date]],"mmm")</f>
        <v>Sep</v>
      </c>
      <c r="P620">
        <f>YEAR(Table1[[#This Row],[order_date]])</f>
        <v>2023</v>
      </c>
    </row>
    <row r="621" spans="1:16" x14ac:dyDescent="0.3">
      <c r="A621">
        <v>10620</v>
      </c>
      <c r="B621" s="1">
        <v>45181</v>
      </c>
      <c r="C621">
        <v>1801</v>
      </c>
      <c r="D621" t="s">
        <v>22</v>
      </c>
      <c r="E621" t="s">
        <v>21</v>
      </c>
      <c r="F621">
        <v>5</v>
      </c>
      <c r="G621">
        <v>234.29</v>
      </c>
      <c r="H621">
        <v>0.06</v>
      </c>
      <c r="I621" t="s">
        <v>16</v>
      </c>
      <c r="J621">
        <v>9</v>
      </c>
      <c r="K621">
        <v>1</v>
      </c>
      <c r="L621">
        <v>1101.1600000000001</v>
      </c>
      <c r="M621">
        <f>(Table1[[#This Row],[unit_price]]*Table1[[#This Row],[quantity]])-(Table1[[#This Row],[unit_price]]*Table1[[#This Row],[discount]]*Table1[[#This Row],[quantity]])</f>
        <v>1101.163</v>
      </c>
      <c r="N621">
        <f>DAY(Table1[[#This Row],[order_date]])</f>
        <v>12</v>
      </c>
      <c r="O621" t="str">
        <f>TEXT(Table1[[#This Row],[order_date]],"mmm")</f>
        <v>Sep</v>
      </c>
      <c r="P621">
        <f>YEAR(Table1[[#This Row],[order_date]])</f>
        <v>2023</v>
      </c>
    </row>
    <row r="622" spans="1:16" x14ac:dyDescent="0.3">
      <c r="A622">
        <v>10621</v>
      </c>
      <c r="B622" s="1">
        <v>45182</v>
      </c>
      <c r="C622">
        <v>1095</v>
      </c>
      <c r="D622" t="s">
        <v>22</v>
      </c>
      <c r="E622" t="s">
        <v>20</v>
      </c>
      <c r="F622">
        <v>1</v>
      </c>
      <c r="G622">
        <v>482.97</v>
      </c>
      <c r="H622">
        <v>0.31</v>
      </c>
      <c r="I622" t="s">
        <v>14</v>
      </c>
      <c r="J622">
        <v>4</v>
      </c>
      <c r="K622">
        <v>2.2999999999999998</v>
      </c>
      <c r="L622">
        <v>333.25</v>
      </c>
      <c r="M622">
        <f>(Table1[[#This Row],[unit_price]]*Table1[[#This Row],[quantity]])-(Table1[[#This Row],[unit_price]]*Table1[[#This Row],[discount]]*Table1[[#This Row],[quantity]])</f>
        <v>333.24930000000006</v>
      </c>
      <c r="N622">
        <f>DAY(Table1[[#This Row],[order_date]])</f>
        <v>13</v>
      </c>
      <c r="O622" t="str">
        <f>TEXT(Table1[[#This Row],[order_date]],"mmm")</f>
        <v>Sep</v>
      </c>
      <c r="P622">
        <f>YEAR(Table1[[#This Row],[order_date]])</f>
        <v>2023</v>
      </c>
    </row>
    <row r="623" spans="1:16" x14ac:dyDescent="0.3">
      <c r="A623">
        <v>10622</v>
      </c>
      <c r="B623" s="1">
        <v>45183</v>
      </c>
      <c r="C623">
        <v>1637</v>
      </c>
      <c r="D623" t="s">
        <v>19</v>
      </c>
      <c r="E623" t="s">
        <v>13</v>
      </c>
      <c r="F623">
        <v>6</v>
      </c>
      <c r="G623">
        <v>503.04</v>
      </c>
      <c r="H623">
        <v>0.1</v>
      </c>
      <c r="I623" t="s">
        <v>16</v>
      </c>
      <c r="J623">
        <v>3</v>
      </c>
      <c r="K623">
        <v>1.9</v>
      </c>
      <c r="L623">
        <v>2716.42</v>
      </c>
      <c r="M623">
        <f>(Table1[[#This Row],[unit_price]]*Table1[[#This Row],[quantity]])-(Table1[[#This Row],[unit_price]]*Table1[[#This Row],[discount]]*Table1[[#This Row],[quantity]])</f>
        <v>2716.4160000000002</v>
      </c>
      <c r="N623">
        <f>DAY(Table1[[#This Row],[order_date]])</f>
        <v>14</v>
      </c>
      <c r="O623" t="str">
        <f>TEXT(Table1[[#This Row],[order_date]],"mmm")</f>
        <v>Sep</v>
      </c>
      <c r="P623">
        <f>YEAR(Table1[[#This Row],[order_date]])</f>
        <v>2023</v>
      </c>
    </row>
    <row r="624" spans="1:16" x14ac:dyDescent="0.3">
      <c r="A624">
        <v>10623</v>
      </c>
      <c r="B624" s="1">
        <v>45184</v>
      </c>
      <c r="C624">
        <v>1117</v>
      </c>
      <c r="D624" t="s">
        <v>12</v>
      </c>
      <c r="E624" t="s">
        <v>13</v>
      </c>
      <c r="F624">
        <v>6</v>
      </c>
      <c r="G624">
        <v>192.95</v>
      </c>
      <c r="H624">
        <v>0.26</v>
      </c>
      <c r="I624" t="s">
        <v>18</v>
      </c>
      <c r="J624">
        <v>3</v>
      </c>
      <c r="K624">
        <v>2.6</v>
      </c>
      <c r="L624">
        <v>856.7</v>
      </c>
      <c r="M624">
        <f>(Table1[[#This Row],[unit_price]]*Table1[[#This Row],[quantity]])-(Table1[[#This Row],[unit_price]]*Table1[[#This Row],[discount]]*Table1[[#This Row],[quantity]])</f>
        <v>856.69799999999987</v>
      </c>
      <c r="N624">
        <f>DAY(Table1[[#This Row],[order_date]])</f>
        <v>15</v>
      </c>
      <c r="O624" t="str">
        <f>TEXT(Table1[[#This Row],[order_date]],"mmm")</f>
        <v>Sep</v>
      </c>
      <c r="P624">
        <f>YEAR(Table1[[#This Row],[order_date]])</f>
        <v>2023</v>
      </c>
    </row>
    <row r="625" spans="1:16" x14ac:dyDescent="0.3">
      <c r="A625">
        <v>10624</v>
      </c>
      <c r="B625" s="1">
        <v>45185</v>
      </c>
      <c r="C625">
        <v>1559</v>
      </c>
      <c r="D625" t="s">
        <v>12</v>
      </c>
      <c r="E625" t="s">
        <v>13</v>
      </c>
      <c r="F625">
        <v>5</v>
      </c>
      <c r="G625">
        <v>289.37</v>
      </c>
      <c r="H625">
        <v>0.27</v>
      </c>
      <c r="I625" t="s">
        <v>14</v>
      </c>
      <c r="J625">
        <v>9</v>
      </c>
      <c r="K625">
        <v>2.2000000000000002</v>
      </c>
      <c r="L625">
        <v>1056.2</v>
      </c>
      <c r="M625">
        <f>(Table1[[#This Row],[unit_price]]*Table1[[#This Row],[quantity]])-(Table1[[#This Row],[unit_price]]*Table1[[#This Row],[discount]]*Table1[[#This Row],[quantity]])</f>
        <v>1056.2004999999999</v>
      </c>
      <c r="N625">
        <f>DAY(Table1[[#This Row],[order_date]])</f>
        <v>16</v>
      </c>
      <c r="O625" t="str">
        <f>TEXT(Table1[[#This Row],[order_date]],"mmm")</f>
        <v>Sep</v>
      </c>
      <c r="P625">
        <f>YEAR(Table1[[#This Row],[order_date]])</f>
        <v>2023</v>
      </c>
    </row>
    <row r="626" spans="1:16" x14ac:dyDescent="0.3">
      <c r="A626">
        <v>10625</v>
      </c>
      <c r="B626" s="1">
        <v>45186</v>
      </c>
      <c r="C626">
        <v>1600</v>
      </c>
      <c r="D626" t="s">
        <v>19</v>
      </c>
      <c r="E626" t="s">
        <v>17</v>
      </c>
      <c r="F626">
        <v>4</v>
      </c>
      <c r="G626">
        <v>526.17999999999995</v>
      </c>
      <c r="H626">
        <v>0.34</v>
      </c>
      <c r="I626" t="s">
        <v>18</v>
      </c>
      <c r="J626">
        <v>8</v>
      </c>
      <c r="K626">
        <v>3.8</v>
      </c>
      <c r="L626">
        <v>1389.12</v>
      </c>
      <c r="M626">
        <f>(Table1[[#This Row],[unit_price]]*Table1[[#This Row],[quantity]])-(Table1[[#This Row],[unit_price]]*Table1[[#This Row],[discount]]*Table1[[#This Row],[quantity]])</f>
        <v>1389.1151999999997</v>
      </c>
      <c r="N626">
        <f>DAY(Table1[[#This Row],[order_date]])</f>
        <v>17</v>
      </c>
      <c r="O626" t="str">
        <f>TEXT(Table1[[#This Row],[order_date]],"mmm")</f>
        <v>Sep</v>
      </c>
      <c r="P626">
        <f>YEAR(Table1[[#This Row],[order_date]])</f>
        <v>2023</v>
      </c>
    </row>
    <row r="627" spans="1:16" x14ac:dyDescent="0.3">
      <c r="A627">
        <v>10626</v>
      </c>
      <c r="B627" s="1">
        <v>45187</v>
      </c>
      <c r="C627">
        <v>1487</v>
      </c>
      <c r="D627" t="s">
        <v>15</v>
      </c>
      <c r="E627" t="s">
        <v>13</v>
      </c>
      <c r="F627">
        <v>3</v>
      </c>
      <c r="G627">
        <v>45.81</v>
      </c>
      <c r="H627">
        <v>0.17</v>
      </c>
      <c r="I627" t="s">
        <v>16</v>
      </c>
      <c r="J627">
        <v>10</v>
      </c>
      <c r="K627">
        <v>2</v>
      </c>
      <c r="L627">
        <v>114.07</v>
      </c>
      <c r="M627">
        <f>(Table1[[#This Row],[unit_price]]*Table1[[#This Row],[quantity]])-(Table1[[#This Row],[unit_price]]*Table1[[#This Row],[discount]]*Table1[[#This Row],[quantity]])</f>
        <v>114.0669</v>
      </c>
      <c r="N627">
        <f>DAY(Table1[[#This Row],[order_date]])</f>
        <v>18</v>
      </c>
      <c r="O627" t="str">
        <f>TEXT(Table1[[#This Row],[order_date]],"mmm")</f>
        <v>Sep</v>
      </c>
      <c r="P627">
        <f>YEAR(Table1[[#This Row],[order_date]])</f>
        <v>2023</v>
      </c>
    </row>
    <row r="628" spans="1:16" x14ac:dyDescent="0.3">
      <c r="A628">
        <v>10627</v>
      </c>
      <c r="B628" s="1">
        <v>45188</v>
      </c>
      <c r="C628">
        <v>1236</v>
      </c>
      <c r="D628" t="s">
        <v>15</v>
      </c>
      <c r="E628" t="s">
        <v>21</v>
      </c>
      <c r="F628">
        <v>3</v>
      </c>
      <c r="G628">
        <v>535.15</v>
      </c>
      <c r="H628">
        <v>0.22</v>
      </c>
      <c r="I628" t="s">
        <v>14</v>
      </c>
      <c r="J628">
        <v>7</v>
      </c>
      <c r="K628">
        <v>3.2</v>
      </c>
      <c r="L628">
        <v>1252.25</v>
      </c>
      <c r="M628">
        <f>(Table1[[#This Row],[unit_price]]*Table1[[#This Row],[quantity]])-(Table1[[#This Row],[unit_price]]*Table1[[#This Row],[discount]]*Table1[[#This Row],[quantity]])</f>
        <v>1252.2509999999997</v>
      </c>
      <c r="N628">
        <f>DAY(Table1[[#This Row],[order_date]])</f>
        <v>19</v>
      </c>
      <c r="O628" t="str">
        <f>TEXT(Table1[[#This Row],[order_date]],"mmm")</f>
        <v>Sep</v>
      </c>
      <c r="P628">
        <f>YEAR(Table1[[#This Row],[order_date]])</f>
        <v>2023</v>
      </c>
    </row>
    <row r="629" spans="1:16" x14ac:dyDescent="0.3">
      <c r="A629">
        <v>10628</v>
      </c>
      <c r="B629" s="1">
        <v>45189</v>
      </c>
      <c r="C629">
        <v>1884</v>
      </c>
      <c r="D629" t="s">
        <v>12</v>
      </c>
      <c r="E629" t="s">
        <v>20</v>
      </c>
      <c r="F629">
        <v>7</v>
      </c>
      <c r="G629">
        <v>143.22</v>
      </c>
      <c r="H629">
        <v>0.12</v>
      </c>
      <c r="I629" t="s">
        <v>14</v>
      </c>
      <c r="J629">
        <v>7</v>
      </c>
      <c r="K629">
        <v>2.8</v>
      </c>
      <c r="L629">
        <v>882.24</v>
      </c>
      <c r="M629">
        <f>(Table1[[#This Row],[unit_price]]*Table1[[#This Row],[quantity]])-(Table1[[#This Row],[unit_price]]*Table1[[#This Row],[discount]]*Table1[[#This Row],[quantity]])</f>
        <v>882.23519999999996</v>
      </c>
      <c r="N629">
        <f>DAY(Table1[[#This Row],[order_date]])</f>
        <v>20</v>
      </c>
      <c r="O629" t="str">
        <f>TEXT(Table1[[#This Row],[order_date]],"mmm")</f>
        <v>Sep</v>
      </c>
      <c r="P629">
        <f>YEAR(Table1[[#This Row],[order_date]])</f>
        <v>2023</v>
      </c>
    </row>
    <row r="630" spans="1:16" x14ac:dyDescent="0.3">
      <c r="A630">
        <v>10629</v>
      </c>
      <c r="B630" s="1">
        <v>45190</v>
      </c>
      <c r="C630">
        <v>1896</v>
      </c>
      <c r="D630" t="s">
        <v>12</v>
      </c>
      <c r="E630" t="s">
        <v>20</v>
      </c>
      <c r="F630">
        <v>2</v>
      </c>
      <c r="G630">
        <v>411.95</v>
      </c>
      <c r="H630">
        <v>0.24</v>
      </c>
      <c r="I630" t="s">
        <v>16</v>
      </c>
      <c r="J630">
        <v>4</v>
      </c>
      <c r="K630">
        <v>4.2</v>
      </c>
      <c r="L630">
        <v>626.16</v>
      </c>
      <c r="M630">
        <f>(Table1[[#This Row],[unit_price]]*Table1[[#This Row],[quantity]])-(Table1[[#This Row],[unit_price]]*Table1[[#This Row],[discount]]*Table1[[#This Row],[quantity]])</f>
        <v>626.16399999999999</v>
      </c>
      <c r="N630">
        <f>DAY(Table1[[#This Row],[order_date]])</f>
        <v>21</v>
      </c>
      <c r="O630" t="str">
        <f>TEXT(Table1[[#This Row],[order_date]],"mmm")</f>
        <v>Sep</v>
      </c>
      <c r="P630">
        <f>YEAR(Table1[[#This Row],[order_date]])</f>
        <v>2023</v>
      </c>
    </row>
    <row r="631" spans="1:16" x14ac:dyDescent="0.3">
      <c r="A631">
        <v>10630</v>
      </c>
      <c r="B631" s="1">
        <v>45191</v>
      </c>
      <c r="C631">
        <v>1271</v>
      </c>
      <c r="D631" t="s">
        <v>19</v>
      </c>
      <c r="E631" t="s">
        <v>17</v>
      </c>
      <c r="F631">
        <v>4</v>
      </c>
      <c r="G631">
        <v>355.79</v>
      </c>
      <c r="H631">
        <v>0.16</v>
      </c>
      <c r="I631" t="s">
        <v>18</v>
      </c>
      <c r="J631">
        <v>3</v>
      </c>
      <c r="K631">
        <v>2.7</v>
      </c>
      <c r="L631">
        <v>1195.45</v>
      </c>
      <c r="M631">
        <f>(Table1[[#This Row],[unit_price]]*Table1[[#This Row],[quantity]])-(Table1[[#This Row],[unit_price]]*Table1[[#This Row],[discount]]*Table1[[#This Row],[quantity]])</f>
        <v>1195.4544000000001</v>
      </c>
      <c r="N631">
        <f>DAY(Table1[[#This Row],[order_date]])</f>
        <v>22</v>
      </c>
      <c r="O631" t="str">
        <f>TEXT(Table1[[#This Row],[order_date]],"mmm")</f>
        <v>Sep</v>
      </c>
      <c r="P631">
        <f>YEAR(Table1[[#This Row],[order_date]])</f>
        <v>2023</v>
      </c>
    </row>
    <row r="632" spans="1:16" x14ac:dyDescent="0.3">
      <c r="A632">
        <v>10631</v>
      </c>
      <c r="B632" s="1">
        <v>45192</v>
      </c>
      <c r="C632">
        <v>1188</v>
      </c>
      <c r="D632" t="s">
        <v>15</v>
      </c>
      <c r="E632" t="s">
        <v>17</v>
      </c>
      <c r="F632">
        <v>5</v>
      </c>
      <c r="G632">
        <v>338.47</v>
      </c>
      <c r="H632">
        <v>0.15</v>
      </c>
      <c r="I632" t="s">
        <v>14</v>
      </c>
      <c r="J632">
        <v>4</v>
      </c>
      <c r="K632">
        <v>4.5</v>
      </c>
      <c r="L632">
        <v>1438.5</v>
      </c>
      <c r="M632">
        <f>(Table1[[#This Row],[unit_price]]*Table1[[#This Row],[quantity]])-(Table1[[#This Row],[unit_price]]*Table1[[#This Row],[discount]]*Table1[[#This Row],[quantity]])</f>
        <v>1438.4975000000002</v>
      </c>
      <c r="N632">
        <f>DAY(Table1[[#This Row],[order_date]])</f>
        <v>23</v>
      </c>
      <c r="O632" t="str">
        <f>TEXT(Table1[[#This Row],[order_date]],"mmm")</f>
        <v>Sep</v>
      </c>
      <c r="P632">
        <f>YEAR(Table1[[#This Row],[order_date]])</f>
        <v>2023</v>
      </c>
    </row>
    <row r="633" spans="1:16" x14ac:dyDescent="0.3">
      <c r="A633">
        <v>10632</v>
      </c>
      <c r="B633" s="1">
        <v>45193</v>
      </c>
      <c r="C633">
        <v>1998</v>
      </c>
      <c r="D633" t="s">
        <v>15</v>
      </c>
      <c r="E633" t="s">
        <v>21</v>
      </c>
      <c r="F633">
        <v>4</v>
      </c>
      <c r="G633">
        <v>517.73</v>
      </c>
      <c r="H633">
        <v>0.3</v>
      </c>
      <c r="I633" t="s">
        <v>14</v>
      </c>
      <c r="J633">
        <v>6</v>
      </c>
      <c r="K633">
        <v>1</v>
      </c>
      <c r="L633">
        <v>1449.64</v>
      </c>
      <c r="M633">
        <f>(Table1[[#This Row],[unit_price]]*Table1[[#This Row],[quantity]])-(Table1[[#This Row],[unit_price]]*Table1[[#This Row],[discount]]*Table1[[#This Row],[quantity]])</f>
        <v>1449.6440000000002</v>
      </c>
      <c r="N633">
        <f>DAY(Table1[[#This Row],[order_date]])</f>
        <v>24</v>
      </c>
      <c r="O633" t="str">
        <f>TEXT(Table1[[#This Row],[order_date]],"mmm")</f>
        <v>Sep</v>
      </c>
      <c r="P633">
        <f>YEAR(Table1[[#This Row],[order_date]])</f>
        <v>2023</v>
      </c>
    </row>
    <row r="634" spans="1:16" x14ac:dyDescent="0.3">
      <c r="A634">
        <v>10633</v>
      </c>
      <c r="B634" s="1">
        <v>45194</v>
      </c>
      <c r="C634">
        <v>1703</v>
      </c>
      <c r="D634" t="s">
        <v>15</v>
      </c>
      <c r="E634" t="s">
        <v>13</v>
      </c>
      <c r="F634">
        <v>4</v>
      </c>
      <c r="G634">
        <v>74.42</v>
      </c>
      <c r="H634">
        <v>0.02</v>
      </c>
      <c r="I634" t="s">
        <v>16</v>
      </c>
      <c r="J634">
        <v>4</v>
      </c>
      <c r="K634">
        <v>3.4</v>
      </c>
      <c r="L634">
        <v>291.73</v>
      </c>
      <c r="M634">
        <f>(Table1[[#This Row],[unit_price]]*Table1[[#This Row],[quantity]])-(Table1[[#This Row],[unit_price]]*Table1[[#This Row],[discount]]*Table1[[#This Row],[quantity]])</f>
        <v>291.72640000000001</v>
      </c>
      <c r="N634">
        <f>DAY(Table1[[#This Row],[order_date]])</f>
        <v>25</v>
      </c>
      <c r="O634" t="str">
        <f>TEXT(Table1[[#This Row],[order_date]],"mmm")</f>
        <v>Sep</v>
      </c>
      <c r="P634">
        <f>YEAR(Table1[[#This Row],[order_date]])</f>
        <v>2023</v>
      </c>
    </row>
    <row r="635" spans="1:16" x14ac:dyDescent="0.3">
      <c r="A635">
        <v>10634</v>
      </c>
      <c r="B635" s="1">
        <v>45195</v>
      </c>
      <c r="C635">
        <v>1446</v>
      </c>
      <c r="D635" t="s">
        <v>19</v>
      </c>
      <c r="E635" t="s">
        <v>17</v>
      </c>
      <c r="F635">
        <v>3</v>
      </c>
      <c r="G635">
        <v>218.01</v>
      </c>
      <c r="H635">
        <v>0.31</v>
      </c>
      <c r="I635" t="s">
        <v>14</v>
      </c>
      <c r="J635">
        <v>4</v>
      </c>
      <c r="K635">
        <v>1</v>
      </c>
      <c r="L635">
        <v>451.28</v>
      </c>
      <c r="M635">
        <f>(Table1[[#This Row],[unit_price]]*Table1[[#This Row],[quantity]])-(Table1[[#This Row],[unit_price]]*Table1[[#This Row],[discount]]*Table1[[#This Row],[quantity]])</f>
        <v>451.28069999999997</v>
      </c>
      <c r="N635">
        <f>DAY(Table1[[#This Row],[order_date]])</f>
        <v>26</v>
      </c>
      <c r="O635" t="str">
        <f>TEXT(Table1[[#This Row],[order_date]],"mmm")</f>
        <v>Sep</v>
      </c>
      <c r="P635">
        <f>YEAR(Table1[[#This Row],[order_date]])</f>
        <v>2023</v>
      </c>
    </row>
    <row r="636" spans="1:16" x14ac:dyDescent="0.3">
      <c r="A636">
        <v>10635</v>
      </c>
      <c r="B636" s="1">
        <v>45196</v>
      </c>
      <c r="C636">
        <v>1580</v>
      </c>
      <c r="D636" t="s">
        <v>12</v>
      </c>
      <c r="E636" t="s">
        <v>20</v>
      </c>
      <c r="F636">
        <v>5</v>
      </c>
      <c r="G636">
        <v>329.88</v>
      </c>
      <c r="H636">
        <v>0.3</v>
      </c>
      <c r="I636" t="s">
        <v>16</v>
      </c>
      <c r="J636">
        <v>2</v>
      </c>
      <c r="K636">
        <v>3.9</v>
      </c>
      <c r="L636">
        <v>1154.58</v>
      </c>
      <c r="M636">
        <f>(Table1[[#This Row],[unit_price]]*Table1[[#This Row],[quantity]])-(Table1[[#This Row],[unit_price]]*Table1[[#This Row],[discount]]*Table1[[#This Row],[quantity]])</f>
        <v>1154.5800000000002</v>
      </c>
      <c r="N636">
        <f>DAY(Table1[[#This Row],[order_date]])</f>
        <v>27</v>
      </c>
      <c r="O636" t="str">
        <f>TEXT(Table1[[#This Row],[order_date]],"mmm")</f>
        <v>Sep</v>
      </c>
      <c r="P636">
        <f>YEAR(Table1[[#This Row],[order_date]])</f>
        <v>2023</v>
      </c>
    </row>
    <row r="637" spans="1:16" x14ac:dyDescent="0.3">
      <c r="A637">
        <v>10636</v>
      </c>
      <c r="B637" s="1">
        <v>45197</v>
      </c>
      <c r="C637">
        <v>1789</v>
      </c>
      <c r="D637" t="s">
        <v>22</v>
      </c>
      <c r="E637" t="s">
        <v>17</v>
      </c>
      <c r="F637">
        <v>1</v>
      </c>
      <c r="G637">
        <v>489.6</v>
      </c>
      <c r="H637">
        <v>0.18</v>
      </c>
      <c r="I637" t="s">
        <v>16</v>
      </c>
      <c r="J637">
        <v>7</v>
      </c>
      <c r="K637">
        <v>1.9</v>
      </c>
      <c r="L637">
        <v>401.47</v>
      </c>
      <c r="M637">
        <f>(Table1[[#This Row],[unit_price]]*Table1[[#This Row],[quantity]])-(Table1[[#This Row],[unit_price]]*Table1[[#This Row],[discount]]*Table1[[#This Row],[quantity]])</f>
        <v>401.47200000000004</v>
      </c>
      <c r="N637">
        <f>DAY(Table1[[#This Row],[order_date]])</f>
        <v>28</v>
      </c>
      <c r="O637" t="str">
        <f>TEXT(Table1[[#This Row],[order_date]],"mmm")</f>
        <v>Sep</v>
      </c>
      <c r="P637">
        <f>YEAR(Table1[[#This Row],[order_date]])</f>
        <v>2023</v>
      </c>
    </row>
    <row r="638" spans="1:16" x14ac:dyDescent="0.3">
      <c r="A638">
        <v>10637</v>
      </c>
      <c r="B638" s="1">
        <v>45198</v>
      </c>
      <c r="C638">
        <v>1860</v>
      </c>
      <c r="D638" t="s">
        <v>22</v>
      </c>
      <c r="E638" t="s">
        <v>17</v>
      </c>
      <c r="F638">
        <v>6</v>
      </c>
      <c r="G638">
        <v>141.62</v>
      </c>
      <c r="H638">
        <v>0.17</v>
      </c>
      <c r="I638" t="s">
        <v>16</v>
      </c>
      <c r="J638">
        <v>6</v>
      </c>
      <c r="K638">
        <v>2.5</v>
      </c>
      <c r="L638">
        <v>705.27</v>
      </c>
      <c r="M638">
        <f>(Table1[[#This Row],[unit_price]]*Table1[[#This Row],[quantity]])-(Table1[[#This Row],[unit_price]]*Table1[[#This Row],[discount]]*Table1[[#This Row],[quantity]])</f>
        <v>705.26760000000002</v>
      </c>
      <c r="N638">
        <f>DAY(Table1[[#This Row],[order_date]])</f>
        <v>29</v>
      </c>
      <c r="O638" t="str">
        <f>TEXT(Table1[[#This Row],[order_date]],"mmm")</f>
        <v>Sep</v>
      </c>
      <c r="P638">
        <f>YEAR(Table1[[#This Row],[order_date]])</f>
        <v>2023</v>
      </c>
    </row>
    <row r="639" spans="1:16" x14ac:dyDescent="0.3">
      <c r="A639">
        <v>10638</v>
      </c>
      <c r="B639" s="1">
        <v>45199</v>
      </c>
      <c r="C639">
        <v>1246</v>
      </c>
      <c r="D639" t="s">
        <v>12</v>
      </c>
      <c r="E639" t="s">
        <v>13</v>
      </c>
      <c r="F639">
        <v>3</v>
      </c>
      <c r="G639">
        <v>484.71</v>
      </c>
      <c r="H639">
        <v>0.13</v>
      </c>
      <c r="I639" t="s">
        <v>16</v>
      </c>
      <c r="J639">
        <v>2</v>
      </c>
      <c r="K639">
        <v>2.5</v>
      </c>
      <c r="L639">
        <v>1265.0899999999999</v>
      </c>
      <c r="M639">
        <f>(Table1[[#This Row],[unit_price]]*Table1[[#This Row],[quantity]])-(Table1[[#This Row],[unit_price]]*Table1[[#This Row],[discount]]*Table1[[#This Row],[quantity]])</f>
        <v>1265.0930999999998</v>
      </c>
      <c r="N639">
        <f>DAY(Table1[[#This Row],[order_date]])</f>
        <v>30</v>
      </c>
      <c r="O639" t="str">
        <f>TEXT(Table1[[#This Row],[order_date]],"mmm")</f>
        <v>Sep</v>
      </c>
      <c r="P639">
        <f>YEAR(Table1[[#This Row],[order_date]])</f>
        <v>2023</v>
      </c>
    </row>
    <row r="640" spans="1:16" x14ac:dyDescent="0.3">
      <c r="A640">
        <v>10639</v>
      </c>
      <c r="B640" s="1">
        <v>45200</v>
      </c>
      <c r="C640">
        <v>1962</v>
      </c>
      <c r="D640" t="s">
        <v>22</v>
      </c>
      <c r="E640" t="s">
        <v>17</v>
      </c>
      <c r="F640">
        <v>5</v>
      </c>
      <c r="G640">
        <v>248.79</v>
      </c>
      <c r="H640">
        <v>0.35</v>
      </c>
      <c r="I640" t="s">
        <v>18</v>
      </c>
      <c r="J640">
        <v>5</v>
      </c>
      <c r="K640">
        <v>4.4000000000000004</v>
      </c>
      <c r="L640">
        <v>808.57</v>
      </c>
      <c r="M640">
        <f>(Table1[[#This Row],[unit_price]]*Table1[[#This Row],[quantity]])-(Table1[[#This Row],[unit_price]]*Table1[[#This Row],[discount]]*Table1[[#This Row],[quantity]])</f>
        <v>808.56750000000011</v>
      </c>
      <c r="N640">
        <f>DAY(Table1[[#This Row],[order_date]])</f>
        <v>1</v>
      </c>
      <c r="O640" t="str">
        <f>TEXT(Table1[[#This Row],[order_date]],"mmm")</f>
        <v>Oct</v>
      </c>
      <c r="P640">
        <f>YEAR(Table1[[#This Row],[order_date]])</f>
        <v>2023</v>
      </c>
    </row>
    <row r="641" spans="1:16" x14ac:dyDescent="0.3">
      <c r="A641">
        <v>10640</v>
      </c>
      <c r="B641" s="1">
        <v>45201</v>
      </c>
      <c r="C641">
        <v>1075</v>
      </c>
      <c r="D641" t="s">
        <v>15</v>
      </c>
      <c r="E641" t="s">
        <v>21</v>
      </c>
      <c r="F641">
        <v>2</v>
      </c>
      <c r="G641">
        <v>125.51</v>
      </c>
      <c r="H641">
        <v>0.04</v>
      </c>
      <c r="I641" t="s">
        <v>18</v>
      </c>
      <c r="J641">
        <v>6</v>
      </c>
      <c r="K641">
        <v>1.4</v>
      </c>
      <c r="L641">
        <v>240.98</v>
      </c>
      <c r="M641">
        <f>(Table1[[#This Row],[unit_price]]*Table1[[#This Row],[quantity]])-(Table1[[#This Row],[unit_price]]*Table1[[#This Row],[discount]]*Table1[[#This Row],[quantity]])</f>
        <v>240.97920000000002</v>
      </c>
      <c r="N641">
        <f>DAY(Table1[[#This Row],[order_date]])</f>
        <v>2</v>
      </c>
      <c r="O641" t="str">
        <f>TEXT(Table1[[#This Row],[order_date]],"mmm")</f>
        <v>Oct</v>
      </c>
      <c r="P641">
        <f>YEAR(Table1[[#This Row],[order_date]])</f>
        <v>2023</v>
      </c>
    </row>
    <row r="642" spans="1:16" x14ac:dyDescent="0.3">
      <c r="A642">
        <v>10641</v>
      </c>
      <c r="B642" s="1">
        <v>45202</v>
      </c>
      <c r="C642">
        <v>1153</v>
      </c>
      <c r="D642" t="s">
        <v>15</v>
      </c>
      <c r="E642" t="s">
        <v>20</v>
      </c>
      <c r="F642">
        <v>6</v>
      </c>
      <c r="G642">
        <v>459.01</v>
      </c>
      <c r="H642">
        <v>0.21</v>
      </c>
      <c r="I642" t="s">
        <v>16</v>
      </c>
      <c r="J642">
        <v>5</v>
      </c>
      <c r="K642">
        <v>3.7</v>
      </c>
      <c r="L642">
        <v>2175.71</v>
      </c>
      <c r="M642">
        <f>(Table1[[#This Row],[unit_price]]*Table1[[#This Row],[quantity]])-(Table1[[#This Row],[unit_price]]*Table1[[#This Row],[discount]]*Table1[[#This Row],[quantity]])</f>
        <v>2175.7074000000002</v>
      </c>
      <c r="N642">
        <f>DAY(Table1[[#This Row],[order_date]])</f>
        <v>3</v>
      </c>
      <c r="O642" t="str">
        <f>TEXT(Table1[[#This Row],[order_date]],"mmm")</f>
        <v>Oct</v>
      </c>
      <c r="P642">
        <f>YEAR(Table1[[#This Row],[order_date]])</f>
        <v>2023</v>
      </c>
    </row>
    <row r="643" spans="1:16" x14ac:dyDescent="0.3">
      <c r="A643">
        <v>10642</v>
      </c>
      <c r="B643" s="1">
        <v>45203</v>
      </c>
      <c r="C643">
        <v>1655</v>
      </c>
      <c r="D643" t="s">
        <v>19</v>
      </c>
      <c r="E643" t="s">
        <v>13</v>
      </c>
      <c r="F643">
        <v>6</v>
      </c>
      <c r="G643">
        <v>68.180000000000007</v>
      </c>
      <c r="H643">
        <v>0.24</v>
      </c>
      <c r="I643" t="s">
        <v>16</v>
      </c>
      <c r="J643">
        <v>4</v>
      </c>
      <c r="K643">
        <v>4.9000000000000004</v>
      </c>
      <c r="L643">
        <v>310.89999999999998</v>
      </c>
      <c r="M643">
        <f>(Table1[[#This Row],[unit_price]]*Table1[[#This Row],[quantity]])-(Table1[[#This Row],[unit_price]]*Table1[[#This Row],[discount]]*Table1[[#This Row],[quantity]])</f>
        <v>310.9008</v>
      </c>
      <c r="N643">
        <f>DAY(Table1[[#This Row],[order_date]])</f>
        <v>4</v>
      </c>
      <c r="O643" t="str">
        <f>TEXT(Table1[[#This Row],[order_date]],"mmm")</f>
        <v>Oct</v>
      </c>
      <c r="P643">
        <f>YEAR(Table1[[#This Row],[order_date]])</f>
        <v>2023</v>
      </c>
    </row>
    <row r="644" spans="1:16" x14ac:dyDescent="0.3">
      <c r="A644">
        <v>10643</v>
      </c>
      <c r="B644" s="1">
        <v>45204</v>
      </c>
      <c r="C644">
        <v>1434</v>
      </c>
      <c r="D644" t="s">
        <v>22</v>
      </c>
      <c r="E644" t="s">
        <v>20</v>
      </c>
      <c r="F644">
        <v>3</v>
      </c>
      <c r="G644">
        <v>316.14</v>
      </c>
      <c r="H644">
        <v>0.33</v>
      </c>
      <c r="I644" t="s">
        <v>16</v>
      </c>
      <c r="J644">
        <v>11</v>
      </c>
      <c r="K644">
        <v>1.1000000000000001</v>
      </c>
      <c r="L644">
        <v>635.44000000000005</v>
      </c>
      <c r="M644">
        <f>(Table1[[#This Row],[unit_price]]*Table1[[#This Row],[quantity]])-(Table1[[#This Row],[unit_price]]*Table1[[#This Row],[discount]]*Table1[[#This Row],[quantity]])</f>
        <v>635.44139999999993</v>
      </c>
      <c r="N644">
        <f>DAY(Table1[[#This Row],[order_date]])</f>
        <v>5</v>
      </c>
      <c r="O644" t="str">
        <f>TEXT(Table1[[#This Row],[order_date]],"mmm")</f>
        <v>Oct</v>
      </c>
      <c r="P644">
        <f>YEAR(Table1[[#This Row],[order_date]])</f>
        <v>2023</v>
      </c>
    </row>
    <row r="645" spans="1:16" x14ac:dyDescent="0.3">
      <c r="A645">
        <v>10644</v>
      </c>
      <c r="B645" s="1">
        <v>45205</v>
      </c>
      <c r="C645">
        <v>1996</v>
      </c>
      <c r="D645" t="s">
        <v>19</v>
      </c>
      <c r="E645" t="s">
        <v>21</v>
      </c>
      <c r="F645">
        <v>7</v>
      </c>
      <c r="G645">
        <v>52.37</v>
      </c>
      <c r="H645">
        <v>0.27</v>
      </c>
      <c r="I645" t="s">
        <v>14</v>
      </c>
      <c r="J645">
        <v>11</v>
      </c>
      <c r="K645">
        <v>4.9000000000000004</v>
      </c>
      <c r="L645">
        <v>267.61</v>
      </c>
      <c r="M645">
        <f>(Table1[[#This Row],[unit_price]]*Table1[[#This Row],[quantity]])-(Table1[[#This Row],[unit_price]]*Table1[[#This Row],[discount]]*Table1[[#This Row],[quantity]])</f>
        <v>267.61069999999995</v>
      </c>
      <c r="N645">
        <f>DAY(Table1[[#This Row],[order_date]])</f>
        <v>6</v>
      </c>
      <c r="O645" t="str">
        <f>TEXT(Table1[[#This Row],[order_date]],"mmm")</f>
        <v>Oct</v>
      </c>
      <c r="P645">
        <f>YEAR(Table1[[#This Row],[order_date]])</f>
        <v>2023</v>
      </c>
    </row>
    <row r="646" spans="1:16" x14ac:dyDescent="0.3">
      <c r="A646">
        <v>10645</v>
      </c>
      <c r="B646" s="1">
        <v>45206</v>
      </c>
      <c r="C646">
        <v>1085</v>
      </c>
      <c r="D646" t="s">
        <v>22</v>
      </c>
      <c r="E646" t="s">
        <v>21</v>
      </c>
      <c r="F646">
        <v>2</v>
      </c>
      <c r="G646">
        <v>223.5</v>
      </c>
      <c r="H646">
        <v>0.23</v>
      </c>
      <c r="I646" t="s">
        <v>14</v>
      </c>
      <c r="J646">
        <v>9</v>
      </c>
      <c r="K646">
        <v>1.1000000000000001</v>
      </c>
      <c r="L646">
        <v>344.19</v>
      </c>
      <c r="M646">
        <f>(Table1[[#This Row],[unit_price]]*Table1[[#This Row],[quantity]])-(Table1[[#This Row],[unit_price]]*Table1[[#This Row],[discount]]*Table1[[#This Row],[quantity]])</f>
        <v>344.19</v>
      </c>
      <c r="N646">
        <f>DAY(Table1[[#This Row],[order_date]])</f>
        <v>7</v>
      </c>
      <c r="O646" t="str">
        <f>TEXT(Table1[[#This Row],[order_date]],"mmm")</f>
        <v>Oct</v>
      </c>
      <c r="P646">
        <f>YEAR(Table1[[#This Row],[order_date]])</f>
        <v>2023</v>
      </c>
    </row>
    <row r="647" spans="1:16" x14ac:dyDescent="0.3">
      <c r="A647">
        <v>10646</v>
      </c>
      <c r="B647" s="1">
        <v>45207</v>
      </c>
      <c r="C647">
        <v>1696</v>
      </c>
      <c r="D647" t="s">
        <v>19</v>
      </c>
      <c r="E647" t="s">
        <v>17</v>
      </c>
      <c r="F647">
        <v>3</v>
      </c>
      <c r="G647">
        <v>366.63</v>
      </c>
      <c r="H647">
        <v>0.04</v>
      </c>
      <c r="I647" t="s">
        <v>16</v>
      </c>
      <c r="J647">
        <v>3</v>
      </c>
      <c r="K647">
        <v>4.4000000000000004</v>
      </c>
      <c r="L647">
        <v>1055.8900000000001</v>
      </c>
      <c r="M647">
        <f>(Table1[[#This Row],[unit_price]]*Table1[[#This Row],[quantity]])-(Table1[[#This Row],[unit_price]]*Table1[[#This Row],[discount]]*Table1[[#This Row],[quantity]])</f>
        <v>1055.8943999999999</v>
      </c>
      <c r="N647">
        <f>DAY(Table1[[#This Row],[order_date]])</f>
        <v>8</v>
      </c>
      <c r="O647" t="str">
        <f>TEXT(Table1[[#This Row],[order_date]],"mmm")</f>
        <v>Oct</v>
      </c>
      <c r="P647">
        <f>YEAR(Table1[[#This Row],[order_date]])</f>
        <v>2023</v>
      </c>
    </row>
    <row r="648" spans="1:16" x14ac:dyDescent="0.3">
      <c r="A648">
        <v>10647</v>
      </c>
      <c r="B648" s="1">
        <v>45208</v>
      </c>
      <c r="C648">
        <v>1284</v>
      </c>
      <c r="D648" t="s">
        <v>19</v>
      </c>
      <c r="E648" t="s">
        <v>17</v>
      </c>
      <c r="F648">
        <v>4</v>
      </c>
      <c r="G648">
        <v>340.33</v>
      </c>
      <c r="H648">
        <v>0.13</v>
      </c>
      <c r="I648" t="s">
        <v>14</v>
      </c>
      <c r="J648">
        <v>11</v>
      </c>
      <c r="K648">
        <v>4.8</v>
      </c>
      <c r="L648">
        <v>1184.3499999999999</v>
      </c>
      <c r="M648">
        <f>(Table1[[#This Row],[unit_price]]*Table1[[#This Row],[quantity]])-(Table1[[#This Row],[unit_price]]*Table1[[#This Row],[discount]]*Table1[[#This Row],[quantity]])</f>
        <v>1184.3483999999999</v>
      </c>
      <c r="N648">
        <f>DAY(Table1[[#This Row],[order_date]])</f>
        <v>9</v>
      </c>
      <c r="O648" t="str">
        <f>TEXT(Table1[[#This Row],[order_date]],"mmm")</f>
        <v>Oct</v>
      </c>
      <c r="P648">
        <f>YEAR(Table1[[#This Row],[order_date]])</f>
        <v>2023</v>
      </c>
    </row>
    <row r="649" spans="1:16" x14ac:dyDescent="0.3">
      <c r="A649">
        <v>10648</v>
      </c>
      <c r="B649" s="1">
        <v>45209</v>
      </c>
      <c r="C649">
        <v>1973</v>
      </c>
      <c r="D649" t="s">
        <v>19</v>
      </c>
      <c r="E649" t="s">
        <v>17</v>
      </c>
      <c r="F649">
        <v>7</v>
      </c>
      <c r="G649">
        <v>251.72</v>
      </c>
      <c r="H649">
        <v>0.05</v>
      </c>
      <c r="I649" t="s">
        <v>16</v>
      </c>
      <c r="J649">
        <v>2</v>
      </c>
      <c r="K649">
        <v>5</v>
      </c>
      <c r="L649">
        <v>1673.94</v>
      </c>
      <c r="M649">
        <f>(Table1[[#This Row],[unit_price]]*Table1[[#This Row],[quantity]])-(Table1[[#This Row],[unit_price]]*Table1[[#This Row],[discount]]*Table1[[#This Row],[quantity]])</f>
        <v>1673.9379999999999</v>
      </c>
      <c r="N649">
        <f>DAY(Table1[[#This Row],[order_date]])</f>
        <v>10</v>
      </c>
      <c r="O649" t="str">
        <f>TEXT(Table1[[#This Row],[order_date]],"mmm")</f>
        <v>Oct</v>
      </c>
      <c r="P649">
        <f>YEAR(Table1[[#This Row],[order_date]])</f>
        <v>2023</v>
      </c>
    </row>
    <row r="650" spans="1:16" x14ac:dyDescent="0.3">
      <c r="A650">
        <v>10649</v>
      </c>
      <c r="B650" s="1">
        <v>45210</v>
      </c>
      <c r="C650">
        <v>1219</v>
      </c>
      <c r="D650" t="s">
        <v>19</v>
      </c>
      <c r="E650" t="s">
        <v>20</v>
      </c>
      <c r="F650">
        <v>5</v>
      </c>
      <c r="G650">
        <v>265.99</v>
      </c>
      <c r="H650">
        <v>0.31</v>
      </c>
      <c r="I650" t="s">
        <v>18</v>
      </c>
      <c r="J650">
        <v>9</v>
      </c>
      <c r="K650">
        <v>2.8</v>
      </c>
      <c r="L650">
        <v>917.67</v>
      </c>
      <c r="M650">
        <f>(Table1[[#This Row],[unit_price]]*Table1[[#This Row],[quantity]])-(Table1[[#This Row],[unit_price]]*Table1[[#This Row],[discount]]*Table1[[#This Row],[quantity]])</f>
        <v>917.66550000000007</v>
      </c>
      <c r="N650">
        <f>DAY(Table1[[#This Row],[order_date]])</f>
        <v>11</v>
      </c>
      <c r="O650" t="str">
        <f>TEXT(Table1[[#This Row],[order_date]],"mmm")</f>
        <v>Oct</v>
      </c>
      <c r="P650">
        <f>YEAR(Table1[[#This Row],[order_date]])</f>
        <v>2023</v>
      </c>
    </row>
    <row r="651" spans="1:16" x14ac:dyDescent="0.3">
      <c r="A651">
        <v>10650</v>
      </c>
      <c r="B651" s="1">
        <v>45211</v>
      </c>
      <c r="C651">
        <v>1068</v>
      </c>
      <c r="D651" t="s">
        <v>22</v>
      </c>
      <c r="E651" t="s">
        <v>21</v>
      </c>
      <c r="F651">
        <v>2</v>
      </c>
      <c r="G651">
        <v>147.66</v>
      </c>
      <c r="H651">
        <v>0.26</v>
      </c>
      <c r="I651" t="s">
        <v>14</v>
      </c>
      <c r="J651">
        <v>8</v>
      </c>
      <c r="K651">
        <v>4.5</v>
      </c>
      <c r="L651">
        <v>218.54</v>
      </c>
      <c r="M651">
        <f>(Table1[[#This Row],[unit_price]]*Table1[[#This Row],[quantity]])-(Table1[[#This Row],[unit_price]]*Table1[[#This Row],[discount]]*Table1[[#This Row],[quantity]])</f>
        <v>218.53679999999997</v>
      </c>
      <c r="N651">
        <f>DAY(Table1[[#This Row],[order_date]])</f>
        <v>12</v>
      </c>
      <c r="O651" t="str">
        <f>TEXT(Table1[[#This Row],[order_date]],"mmm")</f>
        <v>Oct</v>
      </c>
      <c r="P651">
        <f>YEAR(Table1[[#This Row],[order_date]])</f>
        <v>2023</v>
      </c>
    </row>
    <row r="652" spans="1:16" x14ac:dyDescent="0.3">
      <c r="A652">
        <v>10651</v>
      </c>
      <c r="B652" s="1">
        <v>45212</v>
      </c>
      <c r="C652">
        <v>1046</v>
      </c>
      <c r="D652" t="s">
        <v>22</v>
      </c>
      <c r="E652" t="s">
        <v>13</v>
      </c>
      <c r="F652">
        <v>6</v>
      </c>
      <c r="G652">
        <v>281.69</v>
      </c>
      <c r="H652">
        <v>0.27</v>
      </c>
      <c r="I652" t="s">
        <v>16</v>
      </c>
      <c r="J652">
        <v>9</v>
      </c>
      <c r="K652">
        <v>1.5</v>
      </c>
      <c r="L652">
        <v>1233.8</v>
      </c>
      <c r="M652">
        <f>(Table1[[#This Row],[unit_price]]*Table1[[#This Row],[quantity]])-(Table1[[#This Row],[unit_price]]*Table1[[#This Row],[discount]]*Table1[[#This Row],[quantity]])</f>
        <v>1233.8021999999999</v>
      </c>
      <c r="N652">
        <f>DAY(Table1[[#This Row],[order_date]])</f>
        <v>13</v>
      </c>
      <c r="O652" t="str">
        <f>TEXT(Table1[[#This Row],[order_date]],"mmm")</f>
        <v>Oct</v>
      </c>
      <c r="P652">
        <f>YEAR(Table1[[#This Row],[order_date]])</f>
        <v>2023</v>
      </c>
    </row>
    <row r="653" spans="1:16" x14ac:dyDescent="0.3">
      <c r="A653">
        <v>10652</v>
      </c>
      <c r="B653" s="1">
        <v>45213</v>
      </c>
      <c r="C653">
        <v>1093</v>
      </c>
      <c r="D653" t="s">
        <v>15</v>
      </c>
      <c r="E653" t="s">
        <v>17</v>
      </c>
      <c r="F653">
        <v>3</v>
      </c>
      <c r="G653">
        <v>572.65</v>
      </c>
      <c r="H653">
        <v>0.23</v>
      </c>
      <c r="I653" t="s">
        <v>18</v>
      </c>
      <c r="J653">
        <v>10</v>
      </c>
      <c r="K653">
        <v>2.7</v>
      </c>
      <c r="L653">
        <v>1322.82</v>
      </c>
      <c r="M653">
        <f>(Table1[[#This Row],[unit_price]]*Table1[[#This Row],[quantity]])-(Table1[[#This Row],[unit_price]]*Table1[[#This Row],[discount]]*Table1[[#This Row],[quantity]])</f>
        <v>1322.8214999999998</v>
      </c>
      <c r="N653">
        <f>DAY(Table1[[#This Row],[order_date]])</f>
        <v>14</v>
      </c>
      <c r="O653" t="str">
        <f>TEXT(Table1[[#This Row],[order_date]],"mmm")</f>
        <v>Oct</v>
      </c>
      <c r="P653">
        <f>YEAR(Table1[[#This Row],[order_date]])</f>
        <v>2023</v>
      </c>
    </row>
    <row r="654" spans="1:16" x14ac:dyDescent="0.3">
      <c r="A654">
        <v>10653</v>
      </c>
      <c r="B654" s="1">
        <v>45214</v>
      </c>
      <c r="C654">
        <v>1749</v>
      </c>
      <c r="D654" t="s">
        <v>19</v>
      </c>
      <c r="E654" t="s">
        <v>20</v>
      </c>
      <c r="F654">
        <v>6</v>
      </c>
      <c r="G654">
        <v>512.51</v>
      </c>
      <c r="H654">
        <v>0.18</v>
      </c>
      <c r="I654" t="s">
        <v>16</v>
      </c>
      <c r="J654">
        <v>11</v>
      </c>
      <c r="K654">
        <v>2.2000000000000002</v>
      </c>
      <c r="L654">
        <v>2521.5500000000002</v>
      </c>
      <c r="M654">
        <f>(Table1[[#This Row],[unit_price]]*Table1[[#This Row],[quantity]])-(Table1[[#This Row],[unit_price]]*Table1[[#This Row],[discount]]*Table1[[#This Row],[quantity]])</f>
        <v>2521.5491999999999</v>
      </c>
      <c r="N654">
        <f>DAY(Table1[[#This Row],[order_date]])</f>
        <v>15</v>
      </c>
      <c r="O654" t="str">
        <f>TEXT(Table1[[#This Row],[order_date]],"mmm")</f>
        <v>Oct</v>
      </c>
      <c r="P654">
        <f>YEAR(Table1[[#This Row],[order_date]])</f>
        <v>2023</v>
      </c>
    </row>
    <row r="655" spans="1:16" x14ac:dyDescent="0.3">
      <c r="A655">
        <v>10654</v>
      </c>
      <c r="B655" s="1">
        <v>45215</v>
      </c>
      <c r="C655">
        <v>1957</v>
      </c>
      <c r="D655" t="s">
        <v>19</v>
      </c>
      <c r="E655" t="s">
        <v>17</v>
      </c>
      <c r="F655">
        <v>2</v>
      </c>
      <c r="G655">
        <v>99.96</v>
      </c>
      <c r="H655">
        <v>0.05</v>
      </c>
      <c r="I655" t="s">
        <v>16</v>
      </c>
      <c r="J655">
        <v>3</v>
      </c>
      <c r="K655">
        <v>2.6</v>
      </c>
      <c r="L655">
        <v>189.92</v>
      </c>
      <c r="M655">
        <f>(Table1[[#This Row],[unit_price]]*Table1[[#This Row],[quantity]])-(Table1[[#This Row],[unit_price]]*Table1[[#This Row],[discount]]*Table1[[#This Row],[quantity]])</f>
        <v>189.92399999999998</v>
      </c>
      <c r="N655">
        <f>DAY(Table1[[#This Row],[order_date]])</f>
        <v>16</v>
      </c>
      <c r="O655" t="str">
        <f>TEXT(Table1[[#This Row],[order_date]],"mmm")</f>
        <v>Oct</v>
      </c>
      <c r="P655">
        <f>YEAR(Table1[[#This Row],[order_date]])</f>
        <v>2023</v>
      </c>
    </row>
    <row r="656" spans="1:16" x14ac:dyDescent="0.3">
      <c r="A656">
        <v>10655</v>
      </c>
      <c r="B656" s="1">
        <v>45216</v>
      </c>
      <c r="C656">
        <v>1452</v>
      </c>
      <c r="D656" t="s">
        <v>19</v>
      </c>
      <c r="E656" t="s">
        <v>21</v>
      </c>
      <c r="F656">
        <v>6</v>
      </c>
      <c r="G656">
        <v>32.42</v>
      </c>
      <c r="H656">
        <v>0.12</v>
      </c>
      <c r="I656" t="s">
        <v>18</v>
      </c>
      <c r="J656">
        <v>1</v>
      </c>
      <c r="K656">
        <v>3.8</v>
      </c>
      <c r="L656">
        <v>171.18</v>
      </c>
      <c r="M656">
        <f>(Table1[[#This Row],[unit_price]]*Table1[[#This Row],[quantity]])-(Table1[[#This Row],[unit_price]]*Table1[[#This Row],[discount]]*Table1[[#This Row],[quantity]])</f>
        <v>171.17760000000001</v>
      </c>
      <c r="N656">
        <f>DAY(Table1[[#This Row],[order_date]])</f>
        <v>17</v>
      </c>
      <c r="O656" t="str">
        <f>TEXT(Table1[[#This Row],[order_date]],"mmm")</f>
        <v>Oct</v>
      </c>
      <c r="P656">
        <f>YEAR(Table1[[#This Row],[order_date]])</f>
        <v>2023</v>
      </c>
    </row>
    <row r="657" spans="1:16" x14ac:dyDescent="0.3">
      <c r="A657">
        <v>10656</v>
      </c>
      <c r="B657" s="1">
        <v>45217</v>
      </c>
      <c r="C657">
        <v>1203</v>
      </c>
      <c r="D657" t="s">
        <v>19</v>
      </c>
      <c r="E657" t="s">
        <v>13</v>
      </c>
      <c r="F657">
        <v>3</v>
      </c>
      <c r="G657">
        <v>561.11</v>
      </c>
      <c r="H657">
        <v>0.05</v>
      </c>
      <c r="I657" t="s">
        <v>14</v>
      </c>
      <c r="J657">
        <v>11</v>
      </c>
      <c r="K657">
        <v>1.3</v>
      </c>
      <c r="L657">
        <v>1599.16</v>
      </c>
      <c r="M657">
        <f>(Table1[[#This Row],[unit_price]]*Table1[[#This Row],[quantity]])-(Table1[[#This Row],[unit_price]]*Table1[[#This Row],[discount]]*Table1[[#This Row],[quantity]])</f>
        <v>1599.1634999999999</v>
      </c>
      <c r="N657">
        <f>DAY(Table1[[#This Row],[order_date]])</f>
        <v>18</v>
      </c>
      <c r="O657" t="str">
        <f>TEXT(Table1[[#This Row],[order_date]],"mmm")</f>
        <v>Oct</v>
      </c>
      <c r="P657">
        <f>YEAR(Table1[[#This Row],[order_date]])</f>
        <v>2023</v>
      </c>
    </row>
    <row r="658" spans="1:16" x14ac:dyDescent="0.3">
      <c r="A658">
        <v>10657</v>
      </c>
      <c r="B658" s="1">
        <v>45218</v>
      </c>
      <c r="C658">
        <v>1911</v>
      </c>
      <c r="D658" t="s">
        <v>12</v>
      </c>
      <c r="E658" t="s">
        <v>21</v>
      </c>
      <c r="F658">
        <v>7</v>
      </c>
      <c r="G658">
        <v>323.14999999999998</v>
      </c>
      <c r="H658">
        <v>0.25</v>
      </c>
      <c r="I658" t="s">
        <v>18</v>
      </c>
      <c r="J658">
        <v>1</v>
      </c>
      <c r="K658">
        <v>5</v>
      </c>
      <c r="L658">
        <v>1696.54</v>
      </c>
      <c r="M658">
        <f>(Table1[[#This Row],[unit_price]]*Table1[[#This Row],[quantity]])-(Table1[[#This Row],[unit_price]]*Table1[[#This Row],[discount]]*Table1[[#This Row],[quantity]])</f>
        <v>1696.5374999999999</v>
      </c>
      <c r="N658">
        <f>DAY(Table1[[#This Row],[order_date]])</f>
        <v>19</v>
      </c>
      <c r="O658" t="str">
        <f>TEXT(Table1[[#This Row],[order_date]],"mmm")</f>
        <v>Oct</v>
      </c>
      <c r="P658">
        <f>YEAR(Table1[[#This Row],[order_date]])</f>
        <v>2023</v>
      </c>
    </row>
    <row r="659" spans="1:16" x14ac:dyDescent="0.3">
      <c r="A659">
        <v>10658</v>
      </c>
      <c r="B659" s="1">
        <v>45219</v>
      </c>
      <c r="C659">
        <v>1217</v>
      </c>
      <c r="D659" t="s">
        <v>19</v>
      </c>
      <c r="E659" t="s">
        <v>20</v>
      </c>
      <c r="F659">
        <v>3</v>
      </c>
      <c r="G659">
        <v>329.64</v>
      </c>
      <c r="H659">
        <v>0.06</v>
      </c>
      <c r="I659" t="s">
        <v>14</v>
      </c>
      <c r="J659">
        <v>3</v>
      </c>
      <c r="K659">
        <v>3.5</v>
      </c>
      <c r="L659">
        <v>929.58</v>
      </c>
      <c r="M659">
        <f>(Table1[[#This Row],[unit_price]]*Table1[[#This Row],[quantity]])-(Table1[[#This Row],[unit_price]]*Table1[[#This Row],[discount]]*Table1[[#This Row],[quantity]])</f>
        <v>929.58479999999997</v>
      </c>
      <c r="N659">
        <f>DAY(Table1[[#This Row],[order_date]])</f>
        <v>20</v>
      </c>
      <c r="O659" t="str">
        <f>TEXT(Table1[[#This Row],[order_date]],"mmm")</f>
        <v>Oct</v>
      </c>
      <c r="P659">
        <f>YEAR(Table1[[#This Row],[order_date]])</f>
        <v>2023</v>
      </c>
    </row>
    <row r="660" spans="1:16" x14ac:dyDescent="0.3">
      <c r="A660">
        <v>10659</v>
      </c>
      <c r="B660" s="1">
        <v>45220</v>
      </c>
      <c r="C660">
        <v>1473</v>
      </c>
      <c r="D660" t="s">
        <v>15</v>
      </c>
      <c r="E660" t="s">
        <v>17</v>
      </c>
      <c r="F660">
        <v>1</v>
      </c>
      <c r="G660">
        <v>471.72</v>
      </c>
      <c r="H660">
        <v>0.25</v>
      </c>
      <c r="I660" t="s">
        <v>14</v>
      </c>
      <c r="J660">
        <v>4</v>
      </c>
      <c r="K660">
        <v>4.5</v>
      </c>
      <c r="L660">
        <v>353.79</v>
      </c>
      <c r="M660">
        <f>(Table1[[#This Row],[unit_price]]*Table1[[#This Row],[quantity]])-(Table1[[#This Row],[unit_price]]*Table1[[#This Row],[discount]]*Table1[[#This Row],[quantity]])</f>
        <v>353.79</v>
      </c>
      <c r="N660">
        <f>DAY(Table1[[#This Row],[order_date]])</f>
        <v>21</v>
      </c>
      <c r="O660" t="str">
        <f>TEXT(Table1[[#This Row],[order_date]],"mmm")</f>
        <v>Oct</v>
      </c>
      <c r="P660">
        <f>YEAR(Table1[[#This Row],[order_date]])</f>
        <v>2023</v>
      </c>
    </row>
    <row r="661" spans="1:16" x14ac:dyDescent="0.3">
      <c r="A661">
        <v>10660</v>
      </c>
      <c r="B661" s="1">
        <v>45221</v>
      </c>
      <c r="C661">
        <v>1431</v>
      </c>
      <c r="D661" t="s">
        <v>19</v>
      </c>
      <c r="E661" t="s">
        <v>21</v>
      </c>
      <c r="F661">
        <v>6</v>
      </c>
      <c r="G661">
        <v>199.09</v>
      </c>
      <c r="H661">
        <v>0.24</v>
      </c>
      <c r="I661" t="s">
        <v>16</v>
      </c>
      <c r="J661">
        <v>2</v>
      </c>
      <c r="K661">
        <v>4.3</v>
      </c>
      <c r="L661">
        <v>907.85</v>
      </c>
      <c r="M661">
        <f>(Table1[[#This Row],[unit_price]]*Table1[[#This Row],[quantity]])-(Table1[[#This Row],[unit_price]]*Table1[[#This Row],[discount]]*Table1[[#This Row],[quantity]])</f>
        <v>907.85040000000004</v>
      </c>
      <c r="N661">
        <f>DAY(Table1[[#This Row],[order_date]])</f>
        <v>22</v>
      </c>
      <c r="O661" t="str">
        <f>TEXT(Table1[[#This Row],[order_date]],"mmm")</f>
        <v>Oct</v>
      </c>
      <c r="P661">
        <f>YEAR(Table1[[#This Row],[order_date]])</f>
        <v>2023</v>
      </c>
    </row>
    <row r="662" spans="1:16" x14ac:dyDescent="0.3">
      <c r="A662">
        <v>10661</v>
      </c>
      <c r="B662" s="1">
        <v>45222</v>
      </c>
      <c r="C662">
        <v>1340</v>
      </c>
      <c r="D662" t="s">
        <v>19</v>
      </c>
      <c r="E662" t="s">
        <v>20</v>
      </c>
      <c r="F662">
        <v>1</v>
      </c>
      <c r="G662">
        <v>296.92</v>
      </c>
      <c r="H662">
        <v>0.16</v>
      </c>
      <c r="I662" t="s">
        <v>16</v>
      </c>
      <c r="J662">
        <v>8</v>
      </c>
      <c r="K662">
        <v>4.0999999999999996</v>
      </c>
      <c r="L662">
        <v>249.41</v>
      </c>
      <c r="M662">
        <f>(Table1[[#This Row],[unit_price]]*Table1[[#This Row],[quantity]])-(Table1[[#This Row],[unit_price]]*Table1[[#This Row],[discount]]*Table1[[#This Row],[quantity]])</f>
        <v>249.4128</v>
      </c>
      <c r="N662">
        <f>DAY(Table1[[#This Row],[order_date]])</f>
        <v>23</v>
      </c>
      <c r="O662" t="str">
        <f>TEXT(Table1[[#This Row],[order_date]],"mmm")</f>
        <v>Oct</v>
      </c>
      <c r="P662">
        <f>YEAR(Table1[[#This Row],[order_date]])</f>
        <v>2023</v>
      </c>
    </row>
    <row r="663" spans="1:16" x14ac:dyDescent="0.3">
      <c r="A663">
        <v>10662</v>
      </c>
      <c r="B663" s="1">
        <v>45223</v>
      </c>
      <c r="C663">
        <v>1550</v>
      </c>
      <c r="D663" t="s">
        <v>15</v>
      </c>
      <c r="E663" t="s">
        <v>17</v>
      </c>
      <c r="F663">
        <v>7</v>
      </c>
      <c r="G663">
        <v>581.66999999999996</v>
      </c>
      <c r="H663">
        <v>0.05</v>
      </c>
      <c r="I663" t="s">
        <v>18</v>
      </c>
      <c r="J663">
        <v>3</v>
      </c>
      <c r="K663">
        <v>1.2</v>
      </c>
      <c r="L663">
        <v>3868.11</v>
      </c>
      <c r="M663">
        <f>(Table1[[#This Row],[unit_price]]*Table1[[#This Row],[quantity]])-(Table1[[#This Row],[unit_price]]*Table1[[#This Row],[discount]]*Table1[[#This Row],[quantity]])</f>
        <v>3868.1054999999997</v>
      </c>
      <c r="N663">
        <f>DAY(Table1[[#This Row],[order_date]])</f>
        <v>24</v>
      </c>
      <c r="O663" t="str">
        <f>TEXT(Table1[[#This Row],[order_date]],"mmm")</f>
        <v>Oct</v>
      </c>
      <c r="P663">
        <f>YEAR(Table1[[#This Row],[order_date]])</f>
        <v>2023</v>
      </c>
    </row>
    <row r="664" spans="1:16" x14ac:dyDescent="0.3">
      <c r="A664">
        <v>10663</v>
      </c>
      <c r="B664" s="1">
        <v>45224</v>
      </c>
      <c r="C664">
        <v>1611</v>
      </c>
      <c r="D664" t="s">
        <v>15</v>
      </c>
      <c r="E664" t="s">
        <v>13</v>
      </c>
      <c r="F664">
        <v>1</v>
      </c>
      <c r="G664">
        <v>408.21</v>
      </c>
      <c r="H664">
        <v>0.11</v>
      </c>
      <c r="I664" t="s">
        <v>18</v>
      </c>
      <c r="J664">
        <v>4</v>
      </c>
      <c r="K664">
        <v>3.1</v>
      </c>
      <c r="L664">
        <v>363.31</v>
      </c>
      <c r="M664">
        <f>(Table1[[#This Row],[unit_price]]*Table1[[#This Row],[quantity]])-(Table1[[#This Row],[unit_price]]*Table1[[#This Row],[discount]]*Table1[[#This Row],[quantity]])</f>
        <v>363.30689999999998</v>
      </c>
      <c r="N664">
        <f>DAY(Table1[[#This Row],[order_date]])</f>
        <v>25</v>
      </c>
      <c r="O664" t="str">
        <f>TEXT(Table1[[#This Row],[order_date]],"mmm")</f>
        <v>Oct</v>
      </c>
      <c r="P664">
        <f>YEAR(Table1[[#This Row],[order_date]])</f>
        <v>2023</v>
      </c>
    </row>
    <row r="665" spans="1:16" x14ac:dyDescent="0.3">
      <c r="A665">
        <v>10664</v>
      </c>
      <c r="B665" s="1">
        <v>45225</v>
      </c>
      <c r="C665">
        <v>1288</v>
      </c>
      <c r="D665" t="s">
        <v>19</v>
      </c>
      <c r="E665" t="s">
        <v>21</v>
      </c>
      <c r="F665">
        <v>6</v>
      </c>
      <c r="G665">
        <v>104.94</v>
      </c>
      <c r="H665">
        <v>0.11</v>
      </c>
      <c r="I665" t="s">
        <v>16</v>
      </c>
      <c r="J665">
        <v>6</v>
      </c>
      <c r="K665">
        <v>2.2999999999999998</v>
      </c>
      <c r="L665">
        <v>560.38</v>
      </c>
      <c r="M665">
        <f>(Table1[[#This Row],[unit_price]]*Table1[[#This Row],[quantity]])-(Table1[[#This Row],[unit_price]]*Table1[[#This Row],[discount]]*Table1[[#This Row],[quantity]])</f>
        <v>560.37959999999998</v>
      </c>
      <c r="N665">
        <f>DAY(Table1[[#This Row],[order_date]])</f>
        <v>26</v>
      </c>
      <c r="O665" t="str">
        <f>TEXT(Table1[[#This Row],[order_date]],"mmm")</f>
        <v>Oct</v>
      </c>
      <c r="P665">
        <f>YEAR(Table1[[#This Row],[order_date]])</f>
        <v>2023</v>
      </c>
    </row>
    <row r="666" spans="1:16" x14ac:dyDescent="0.3">
      <c r="A666">
        <v>10665</v>
      </c>
      <c r="B666" s="1">
        <v>45226</v>
      </c>
      <c r="C666">
        <v>1253</v>
      </c>
      <c r="D666" t="s">
        <v>19</v>
      </c>
      <c r="E666" t="s">
        <v>17</v>
      </c>
      <c r="F666">
        <v>2</v>
      </c>
      <c r="G666">
        <v>92.94</v>
      </c>
      <c r="H666">
        <v>0.25</v>
      </c>
      <c r="I666" t="s">
        <v>14</v>
      </c>
      <c r="J666">
        <v>10</v>
      </c>
      <c r="K666">
        <v>1.5</v>
      </c>
      <c r="L666">
        <v>139.41</v>
      </c>
      <c r="M666">
        <f>(Table1[[#This Row],[unit_price]]*Table1[[#This Row],[quantity]])-(Table1[[#This Row],[unit_price]]*Table1[[#This Row],[discount]]*Table1[[#This Row],[quantity]])</f>
        <v>139.41</v>
      </c>
      <c r="N666">
        <f>DAY(Table1[[#This Row],[order_date]])</f>
        <v>27</v>
      </c>
      <c r="O666" t="str">
        <f>TEXT(Table1[[#This Row],[order_date]],"mmm")</f>
        <v>Oct</v>
      </c>
      <c r="P666">
        <f>YEAR(Table1[[#This Row],[order_date]])</f>
        <v>2023</v>
      </c>
    </row>
    <row r="667" spans="1:16" x14ac:dyDescent="0.3">
      <c r="A667">
        <v>10666</v>
      </c>
      <c r="B667" s="1">
        <v>45227</v>
      </c>
      <c r="C667">
        <v>1733</v>
      </c>
      <c r="D667" t="s">
        <v>15</v>
      </c>
      <c r="E667" t="s">
        <v>17</v>
      </c>
      <c r="F667">
        <v>4</v>
      </c>
      <c r="G667">
        <v>134.49</v>
      </c>
      <c r="H667">
        <v>0.04</v>
      </c>
      <c r="I667" t="s">
        <v>18</v>
      </c>
      <c r="J667">
        <v>6</v>
      </c>
      <c r="K667">
        <v>2.4</v>
      </c>
      <c r="L667">
        <v>516.44000000000005</v>
      </c>
      <c r="M667">
        <f>(Table1[[#This Row],[unit_price]]*Table1[[#This Row],[quantity]])-(Table1[[#This Row],[unit_price]]*Table1[[#This Row],[discount]]*Table1[[#This Row],[quantity]])</f>
        <v>516.44159999999999</v>
      </c>
      <c r="N667">
        <f>DAY(Table1[[#This Row],[order_date]])</f>
        <v>28</v>
      </c>
      <c r="O667" t="str">
        <f>TEXT(Table1[[#This Row],[order_date]],"mmm")</f>
        <v>Oct</v>
      </c>
      <c r="P667">
        <f>YEAR(Table1[[#This Row],[order_date]])</f>
        <v>2023</v>
      </c>
    </row>
    <row r="668" spans="1:16" x14ac:dyDescent="0.3">
      <c r="A668">
        <v>10667</v>
      </c>
      <c r="B668" s="1">
        <v>45228</v>
      </c>
      <c r="C668">
        <v>1356</v>
      </c>
      <c r="D668" t="s">
        <v>19</v>
      </c>
      <c r="E668" t="s">
        <v>17</v>
      </c>
      <c r="F668">
        <v>7</v>
      </c>
      <c r="G668">
        <v>463.53</v>
      </c>
      <c r="H668">
        <v>0.28999999999999998</v>
      </c>
      <c r="I668" t="s">
        <v>16</v>
      </c>
      <c r="J668">
        <v>2</v>
      </c>
      <c r="K668">
        <v>3.6</v>
      </c>
      <c r="L668">
        <v>2303.7399999999998</v>
      </c>
      <c r="M668">
        <f>(Table1[[#This Row],[unit_price]]*Table1[[#This Row],[quantity]])-(Table1[[#This Row],[unit_price]]*Table1[[#This Row],[discount]]*Table1[[#This Row],[quantity]])</f>
        <v>2303.7440999999999</v>
      </c>
      <c r="N668">
        <f>DAY(Table1[[#This Row],[order_date]])</f>
        <v>29</v>
      </c>
      <c r="O668" t="str">
        <f>TEXT(Table1[[#This Row],[order_date]],"mmm")</f>
        <v>Oct</v>
      </c>
      <c r="P668">
        <f>YEAR(Table1[[#This Row],[order_date]])</f>
        <v>2023</v>
      </c>
    </row>
    <row r="669" spans="1:16" x14ac:dyDescent="0.3">
      <c r="A669">
        <v>10668</v>
      </c>
      <c r="B669" s="1">
        <v>45229</v>
      </c>
      <c r="C669">
        <v>1022</v>
      </c>
      <c r="D669" t="s">
        <v>19</v>
      </c>
      <c r="E669" t="s">
        <v>17</v>
      </c>
      <c r="F669">
        <v>3</v>
      </c>
      <c r="G669">
        <v>187.8</v>
      </c>
      <c r="H669">
        <v>0.27</v>
      </c>
      <c r="I669" t="s">
        <v>18</v>
      </c>
      <c r="J669">
        <v>6</v>
      </c>
      <c r="K669">
        <v>1.9</v>
      </c>
      <c r="L669">
        <v>411.28</v>
      </c>
      <c r="M669">
        <f>(Table1[[#This Row],[unit_price]]*Table1[[#This Row],[quantity]])-(Table1[[#This Row],[unit_price]]*Table1[[#This Row],[discount]]*Table1[[#This Row],[quantity]])</f>
        <v>411.2820000000001</v>
      </c>
      <c r="N669">
        <f>DAY(Table1[[#This Row],[order_date]])</f>
        <v>30</v>
      </c>
      <c r="O669" t="str">
        <f>TEXT(Table1[[#This Row],[order_date]],"mmm")</f>
        <v>Oct</v>
      </c>
      <c r="P669">
        <f>YEAR(Table1[[#This Row],[order_date]])</f>
        <v>2023</v>
      </c>
    </row>
    <row r="670" spans="1:16" x14ac:dyDescent="0.3">
      <c r="A670">
        <v>10669</v>
      </c>
      <c r="B670" s="1">
        <v>45230</v>
      </c>
      <c r="C670">
        <v>1761</v>
      </c>
      <c r="D670" t="s">
        <v>12</v>
      </c>
      <c r="E670" t="s">
        <v>21</v>
      </c>
      <c r="F670">
        <v>5</v>
      </c>
      <c r="G670">
        <v>27.51</v>
      </c>
      <c r="H670">
        <v>7.0000000000000007E-2</v>
      </c>
      <c r="I670" t="s">
        <v>16</v>
      </c>
      <c r="J670">
        <v>4</v>
      </c>
      <c r="K670">
        <v>2.8</v>
      </c>
      <c r="L670">
        <v>127.92</v>
      </c>
      <c r="M670">
        <f>(Table1[[#This Row],[unit_price]]*Table1[[#This Row],[quantity]])-(Table1[[#This Row],[unit_price]]*Table1[[#This Row],[discount]]*Table1[[#This Row],[quantity]])</f>
        <v>127.92150000000001</v>
      </c>
      <c r="N670">
        <f>DAY(Table1[[#This Row],[order_date]])</f>
        <v>31</v>
      </c>
      <c r="O670" t="str">
        <f>TEXT(Table1[[#This Row],[order_date]],"mmm")</f>
        <v>Oct</v>
      </c>
      <c r="P670">
        <f>YEAR(Table1[[#This Row],[order_date]])</f>
        <v>2023</v>
      </c>
    </row>
    <row r="671" spans="1:16" x14ac:dyDescent="0.3">
      <c r="A671">
        <v>10670</v>
      </c>
      <c r="B671" s="1">
        <v>45231</v>
      </c>
      <c r="C671">
        <v>1521</v>
      </c>
      <c r="D671" t="s">
        <v>15</v>
      </c>
      <c r="E671" t="s">
        <v>17</v>
      </c>
      <c r="F671">
        <v>7</v>
      </c>
      <c r="G671">
        <v>567.34</v>
      </c>
      <c r="H671">
        <v>0.25</v>
      </c>
      <c r="I671" t="s">
        <v>18</v>
      </c>
      <c r="J671">
        <v>5</v>
      </c>
      <c r="K671">
        <v>2.6</v>
      </c>
      <c r="L671">
        <v>2978.54</v>
      </c>
      <c r="M671">
        <f>(Table1[[#This Row],[unit_price]]*Table1[[#This Row],[quantity]])-(Table1[[#This Row],[unit_price]]*Table1[[#This Row],[discount]]*Table1[[#This Row],[quantity]])</f>
        <v>2978.5349999999999</v>
      </c>
      <c r="N671">
        <f>DAY(Table1[[#This Row],[order_date]])</f>
        <v>1</v>
      </c>
      <c r="O671" t="str">
        <f>TEXT(Table1[[#This Row],[order_date]],"mmm")</f>
        <v>Nov</v>
      </c>
      <c r="P671">
        <f>YEAR(Table1[[#This Row],[order_date]])</f>
        <v>2023</v>
      </c>
    </row>
    <row r="672" spans="1:16" x14ac:dyDescent="0.3">
      <c r="A672">
        <v>10671</v>
      </c>
      <c r="B672" s="1">
        <v>45232</v>
      </c>
      <c r="C672">
        <v>1757</v>
      </c>
      <c r="D672" t="s">
        <v>15</v>
      </c>
      <c r="E672" t="s">
        <v>20</v>
      </c>
      <c r="F672">
        <v>1</v>
      </c>
      <c r="G672">
        <v>114.28</v>
      </c>
      <c r="H672">
        <v>0.23</v>
      </c>
      <c r="I672" t="s">
        <v>14</v>
      </c>
      <c r="J672">
        <v>7</v>
      </c>
      <c r="K672">
        <v>1.2</v>
      </c>
      <c r="L672">
        <v>88</v>
      </c>
      <c r="M672">
        <f>(Table1[[#This Row],[unit_price]]*Table1[[#This Row],[quantity]])-(Table1[[#This Row],[unit_price]]*Table1[[#This Row],[discount]]*Table1[[#This Row],[quantity]])</f>
        <v>87.995599999999996</v>
      </c>
      <c r="N672">
        <f>DAY(Table1[[#This Row],[order_date]])</f>
        <v>2</v>
      </c>
      <c r="O672" t="str">
        <f>TEXT(Table1[[#This Row],[order_date]],"mmm")</f>
        <v>Nov</v>
      </c>
      <c r="P672">
        <f>YEAR(Table1[[#This Row],[order_date]])</f>
        <v>2023</v>
      </c>
    </row>
    <row r="673" spans="1:16" x14ac:dyDescent="0.3">
      <c r="A673">
        <v>10672</v>
      </c>
      <c r="B673" s="1">
        <v>45233</v>
      </c>
      <c r="C673">
        <v>1836</v>
      </c>
      <c r="D673" t="s">
        <v>15</v>
      </c>
      <c r="E673" t="s">
        <v>21</v>
      </c>
      <c r="F673">
        <v>2</v>
      </c>
      <c r="G673">
        <v>20.59</v>
      </c>
      <c r="H673">
        <v>0.26</v>
      </c>
      <c r="I673" t="s">
        <v>14</v>
      </c>
      <c r="J673">
        <v>7</v>
      </c>
      <c r="K673">
        <v>3.5</v>
      </c>
      <c r="L673">
        <v>30.47</v>
      </c>
      <c r="M673">
        <f>(Table1[[#This Row],[unit_price]]*Table1[[#This Row],[quantity]])-(Table1[[#This Row],[unit_price]]*Table1[[#This Row],[discount]]*Table1[[#This Row],[quantity]])</f>
        <v>30.473199999999999</v>
      </c>
      <c r="N673">
        <f>DAY(Table1[[#This Row],[order_date]])</f>
        <v>3</v>
      </c>
      <c r="O673" t="str">
        <f>TEXT(Table1[[#This Row],[order_date]],"mmm")</f>
        <v>Nov</v>
      </c>
      <c r="P673">
        <f>YEAR(Table1[[#This Row],[order_date]])</f>
        <v>2023</v>
      </c>
    </row>
    <row r="674" spans="1:16" x14ac:dyDescent="0.3">
      <c r="A674">
        <v>10673</v>
      </c>
      <c r="B674" s="1">
        <v>45234</v>
      </c>
      <c r="C674">
        <v>1099</v>
      </c>
      <c r="D674" t="s">
        <v>15</v>
      </c>
      <c r="E674" t="s">
        <v>17</v>
      </c>
      <c r="F674">
        <v>6</v>
      </c>
      <c r="G674">
        <v>153.72</v>
      </c>
      <c r="H674">
        <v>7.0000000000000007E-2</v>
      </c>
      <c r="I674" t="s">
        <v>16</v>
      </c>
      <c r="J674">
        <v>6</v>
      </c>
      <c r="K674">
        <v>3.5</v>
      </c>
      <c r="L674">
        <v>857.76</v>
      </c>
      <c r="M674">
        <f>(Table1[[#This Row],[unit_price]]*Table1[[#This Row],[quantity]])-(Table1[[#This Row],[unit_price]]*Table1[[#This Row],[discount]]*Table1[[#This Row],[quantity]])</f>
        <v>857.75759999999991</v>
      </c>
      <c r="N674">
        <f>DAY(Table1[[#This Row],[order_date]])</f>
        <v>4</v>
      </c>
      <c r="O674" t="str">
        <f>TEXT(Table1[[#This Row],[order_date]],"mmm")</f>
        <v>Nov</v>
      </c>
      <c r="P674">
        <f>YEAR(Table1[[#This Row],[order_date]])</f>
        <v>2023</v>
      </c>
    </row>
    <row r="675" spans="1:16" x14ac:dyDescent="0.3">
      <c r="A675">
        <v>10674</v>
      </c>
      <c r="B675" s="1">
        <v>45235</v>
      </c>
      <c r="C675">
        <v>1801</v>
      </c>
      <c r="D675" t="s">
        <v>15</v>
      </c>
      <c r="E675" t="s">
        <v>21</v>
      </c>
      <c r="F675">
        <v>2</v>
      </c>
      <c r="G675">
        <v>152.49</v>
      </c>
      <c r="H675">
        <v>0.06</v>
      </c>
      <c r="I675" t="s">
        <v>18</v>
      </c>
      <c r="J675">
        <v>10</v>
      </c>
      <c r="K675">
        <v>4.9000000000000004</v>
      </c>
      <c r="L675">
        <v>286.68</v>
      </c>
      <c r="M675">
        <f>(Table1[[#This Row],[unit_price]]*Table1[[#This Row],[quantity]])-(Table1[[#This Row],[unit_price]]*Table1[[#This Row],[discount]]*Table1[[#This Row],[quantity]])</f>
        <v>286.68119999999999</v>
      </c>
      <c r="N675">
        <f>DAY(Table1[[#This Row],[order_date]])</f>
        <v>5</v>
      </c>
      <c r="O675" t="str">
        <f>TEXT(Table1[[#This Row],[order_date]],"mmm")</f>
        <v>Nov</v>
      </c>
      <c r="P675">
        <f>YEAR(Table1[[#This Row],[order_date]])</f>
        <v>2023</v>
      </c>
    </row>
    <row r="676" spans="1:16" x14ac:dyDescent="0.3">
      <c r="A676">
        <v>10675</v>
      </c>
      <c r="B676" s="1">
        <v>45236</v>
      </c>
      <c r="C676">
        <v>1179</v>
      </c>
      <c r="D676" t="s">
        <v>22</v>
      </c>
      <c r="E676" t="s">
        <v>20</v>
      </c>
      <c r="F676">
        <v>2</v>
      </c>
      <c r="G676">
        <v>261.87</v>
      </c>
      <c r="H676">
        <v>0.08</v>
      </c>
      <c r="I676" t="s">
        <v>18</v>
      </c>
      <c r="J676">
        <v>6</v>
      </c>
      <c r="K676">
        <v>2.2000000000000002</v>
      </c>
      <c r="L676">
        <v>481.84</v>
      </c>
      <c r="M676">
        <f>(Table1[[#This Row],[unit_price]]*Table1[[#This Row],[quantity]])-(Table1[[#This Row],[unit_price]]*Table1[[#This Row],[discount]]*Table1[[#This Row],[quantity]])</f>
        <v>481.8408</v>
      </c>
      <c r="N676">
        <f>DAY(Table1[[#This Row],[order_date]])</f>
        <v>6</v>
      </c>
      <c r="O676" t="str">
        <f>TEXT(Table1[[#This Row],[order_date]],"mmm")</f>
        <v>Nov</v>
      </c>
      <c r="P676">
        <f>YEAR(Table1[[#This Row],[order_date]])</f>
        <v>2023</v>
      </c>
    </row>
    <row r="677" spans="1:16" x14ac:dyDescent="0.3">
      <c r="A677">
        <v>10676</v>
      </c>
      <c r="B677" s="1">
        <v>45237</v>
      </c>
      <c r="C677">
        <v>1222</v>
      </c>
      <c r="D677" t="s">
        <v>22</v>
      </c>
      <c r="E677" t="s">
        <v>20</v>
      </c>
      <c r="F677">
        <v>6</v>
      </c>
      <c r="G677">
        <v>553.42999999999995</v>
      </c>
      <c r="H677">
        <v>0.13</v>
      </c>
      <c r="I677" t="s">
        <v>16</v>
      </c>
      <c r="J677">
        <v>6</v>
      </c>
      <c r="K677">
        <v>2.7</v>
      </c>
      <c r="L677">
        <v>2888.9</v>
      </c>
      <c r="M677">
        <f>(Table1[[#This Row],[unit_price]]*Table1[[#This Row],[quantity]])-(Table1[[#This Row],[unit_price]]*Table1[[#This Row],[discount]]*Table1[[#This Row],[quantity]])</f>
        <v>2888.9045999999998</v>
      </c>
      <c r="N677">
        <f>DAY(Table1[[#This Row],[order_date]])</f>
        <v>7</v>
      </c>
      <c r="O677" t="str">
        <f>TEXT(Table1[[#This Row],[order_date]],"mmm")</f>
        <v>Nov</v>
      </c>
      <c r="P677">
        <f>YEAR(Table1[[#This Row],[order_date]])</f>
        <v>2023</v>
      </c>
    </row>
    <row r="678" spans="1:16" x14ac:dyDescent="0.3">
      <c r="A678">
        <v>10677</v>
      </c>
      <c r="B678" s="1">
        <v>45238</v>
      </c>
      <c r="C678">
        <v>1905</v>
      </c>
      <c r="D678" t="s">
        <v>19</v>
      </c>
      <c r="E678" t="s">
        <v>21</v>
      </c>
      <c r="F678">
        <v>5</v>
      </c>
      <c r="G678">
        <v>529.32000000000005</v>
      </c>
      <c r="H678">
        <v>0.28000000000000003</v>
      </c>
      <c r="I678" t="s">
        <v>16</v>
      </c>
      <c r="J678">
        <v>4</v>
      </c>
      <c r="K678">
        <v>2.6</v>
      </c>
      <c r="L678">
        <v>1905.55</v>
      </c>
      <c r="M678">
        <f>(Table1[[#This Row],[unit_price]]*Table1[[#This Row],[quantity]])-(Table1[[#This Row],[unit_price]]*Table1[[#This Row],[discount]]*Table1[[#This Row],[quantity]])</f>
        <v>1905.5520000000001</v>
      </c>
      <c r="N678">
        <f>DAY(Table1[[#This Row],[order_date]])</f>
        <v>8</v>
      </c>
      <c r="O678" t="str">
        <f>TEXT(Table1[[#This Row],[order_date]],"mmm")</f>
        <v>Nov</v>
      </c>
      <c r="P678">
        <f>YEAR(Table1[[#This Row],[order_date]])</f>
        <v>2023</v>
      </c>
    </row>
    <row r="679" spans="1:16" x14ac:dyDescent="0.3">
      <c r="A679">
        <v>10678</v>
      </c>
      <c r="B679" s="1">
        <v>45239</v>
      </c>
      <c r="C679">
        <v>1761</v>
      </c>
      <c r="D679" t="s">
        <v>15</v>
      </c>
      <c r="E679" t="s">
        <v>17</v>
      </c>
      <c r="F679">
        <v>6</v>
      </c>
      <c r="G679">
        <v>282.27999999999997</v>
      </c>
      <c r="H679">
        <v>0.26</v>
      </c>
      <c r="I679" t="s">
        <v>18</v>
      </c>
      <c r="J679">
        <v>3</v>
      </c>
      <c r="K679">
        <v>4.7</v>
      </c>
      <c r="L679">
        <v>1253.32</v>
      </c>
      <c r="M679">
        <f>(Table1[[#This Row],[unit_price]]*Table1[[#This Row],[quantity]])-(Table1[[#This Row],[unit_price]]*Table1[[#This Row],[discount]]*Table1[[#This Row],[quantity]])</f>
        <v>1253.3231999999998</v>
      </c>
      <c r="N679">
        <f>DAY(Table1[[#This Row],[order_date]])</f>
        <v>9</v>
      </c>
      <c r="O679" t="str">
        <f>TEXT(Table1[[#This Row],[order_date]],"mmm")</f>
        <v>Nov</v>
      </c>
      <c r="P679">
        <f>YEAR(Table1[[#This Row],[order_date]])</f>
        <v>2023</v>
      </c>
    </row>
    <row r="680" spans="1:16" x14ac:dyDescent="0.3">
      <c r="A680">
        <v>10679</v>
      </c>
      <c r="B680" s="1">
        <v>45240</v>
      </c>
      <c r="C680">
        <v>1658</v>
      </c>
      <c r="D680" t="s">
        <v>15</v>
      </c>
      <c r="E680" t="s">
        <v>17</v>
      </c>
      <c r="F680">
        <v>5</v>
      </c>
      <c r="G680">
        <v>255.38</v>
      </c>
      <c r="H680">
        <v>0.32</v>
      </c>
      <c r="I680" t="s">
        <v>18</v>
      </c>
      <c r="J680">
        <v>1</v>
      </c>
      <c r="K680">
        <v>2.6</v>
      </c>
      <c r="L680">
        <v>868.29</v>
      </c>
      <c r="M680">
        <f>(Table1[[#This Row],[unit_price]]*Table1[[#This Row],[quantity]])-(Table1[[#This Row],[unit_price]]*Table1[[#This Row],[discount]]*Table1[[#This Row],[quantity]])</f>
        <v>868.29200000000014</v>
      </c>
      <c r="N680">
        <f>DAY(Table1[[#This Row],[order_date]])</f>
        <v>10</v>
      </c>
      <c r="O680" t="str">
        <f>TEXT(Table1[[#This Row],[order_date]],"mmm")</f>
        <v>Nov</v>
      </c>
      <c r="P680">
        <f>YEAR(Table1[[#This Row],[order_date]])</f>
        <v>2023</v>
      </c>
    </row>
    <row r="681" spans="1:16" x14ac:dyDescent="0.3">
      <c r="A681">
        <v>10680</v>
      </c>
      <c r="B681" s="1">
        <v>45241</v>
      </c>
      <c r="C681">
        <v>1441</v>
      </c>
      <c r="D681" t="s">
        <v>12</v>
      </c>
      <c r="E681" t="s">
        <v>20</v>
      </c>
      <c r="F681">
        <v>6</v>
      </c>
      <c r="G681">
        <v>339.68</v>
      </c>
      <c r="H681">
        <v>0.02</v>
      </c>
      <c r="I681" t="s">
        <v>16</v>
      </c>
      <c r="J681">
        <v>3</v>
      </c>
      <c r="K681">
        <v>2.8</v>
      </c>
      <c r="L681">
        <v>1997.32</v>
      </c>
      <c r="M681">
        <f>(Table1[[#This Row],[unit_price]]*Table1[[#This Row],[quantity]])-(Table1[[#This Row],[unit_price]]*Table1[[#This Row],[discount]]*Table1[[#This Row],[quantity]])</f>
        <v>1997.3183999999999</v>
      </c>
      <c r="N681">
        <f>DAY(Table1[[#This Row],[order_date]])</f>
        <v>11</v>
      </c>
      <c r="O681" t="str">
        <f>TEXT(Table1[[#This Row],[order_date]],"mmm")</f>
        <v>Nov</v>
      </c>
      <c r="P681">
        <f>YEAR(Table1[[#This Row],[order_date]])</f>
        <v>2023</v>
      </c>
    </row>
    <row r="682" spans="1:16" x14ac:dyDescent="0.3">
      <c r="A682">
        <v>10681</v>
      </c>
      <c r="B682" s="1">
        <v>45242</v>
      </c>
      <c r="C682">
        <v>1607</v>
      </c>
      <c r="D682" t="s">
        <v>15</v>
      </c>
      <c r="E682" t="s">
        <v>17</v>
      </c>
      <c r="F682">
        <v>1</v>
      </c>
      <c r="G682">
        <v>157.41999999999999</v>
      </c>
      <c r="H682">
        <v>0</v>
      </c>
      <c r="I682" t="s">
        <v>16</v>
      </c>
      <c r="J682">
        <v>3</v>
      </c>
      <c r="K682">
        <v>2</v>
      </c>
      <c r="L682">
        <v>157.41999999999999</v>
      </c>
      <c r="M682">
        <f>(Table1[[#This Row],[unit_price]]*Table1[[#This Row],[quantity]])-(Table1[[#This Row],[unit_price]]*Table1[[#This Row],[discount]]*Table1[[#This Row],[quantity]])</f>
        <v>157.41999999999999</v>
      </c>
      <c r="N682">
        <f>DAY(Table1[[#This Row],[order_date]])</f>
        <v>12</v>
      </c>
      <c r="O682" t="str">
        <f>TEXT(Table1[[#This Row],[order_date]],"mmm")</f>
        <v>Nov</v>
      </c>
      <c r="P682">
        <f>YEAR(Table1[[#This Row],[order_date]])</f>
        <v>2023</v>
      </c>
    </row>
    <row r="683" spans="1:16" x14ac:dyDescent="0.3">
      <c r="A683">
        <v>10682</v>
      </c>
      <c r="B683" s="1">
        <v>45243</v>
      </c>
      <c r="C683">
        <v>1768</v>
      </c>
      <c r="D683" t="s">
        <v>15</v>
      </c>
      <c r="E683" t="s">
        <v>20</v>
      </c>
      <c r="F683">
        <v>5</v>
      </c>
      <c r="G683">
        <v>45.53</v>
      </c>
      <c r="H683">
        <v>0.24</v>
      </c>
      <c r="I683" t="s">
        <v>16</v>
      </c>
      <c r="J683">
        <v>9</v>
      </c>
      <c r="K683">
        <v>1</v>
      </c>
      <c r="L683">
        <v>173.01</v>
      </c>
      <c r="M683">
        <f>(Table1[[#This Row],[unit_price]]*Table1[[#This Row],[quantity]])-(Table1[[#This Row],[unit_price]]*Table1[[#This Row],[discount]]*Table1[[#This Row],[quantity]])</f>
        <v>173.01400000000001</v>
      </c>
      <c r="N683">
        <f>DAY(Table1[[#This Row],[order_date]])</f>
        <v>13</v>
      </c>
      <c r="O683" t="str">
        <f>TEXT(Table1[[#This Row],[order_date]],"mmm")</f>
        <v>Nov</v>
      </c>
      <c r="P683">
        <f>YEAR(Table1[[#This Row],[order_date]])</f>
        <v>2023</v>
      </c>
    </row>
    <row r="684" spans="1:16" x14ac:dyDescent="0.3">
      <c r="A684">
        <v>10683</v>
      </c>
      <c r="B684" s="1">
        <v>45244</v>
      </c>
      <c r="C684">
        <v>1324</v>
      </c>
      <c r="D684" t="s">
        <v>19</v>
      </c>
      <c r="E684" t="s">
        <v>17</v>
      </c>
      <c r="F684">
        <v>1</v>
      </c>
      <c r="G684">
        <v>564.45000000000005</v>
      </c>
      <c r="H684">
        <v>0.1</v>
      </c>
      <c r="I684" t="s">
        <v>16</v>
      </c>
      <c r="J684">
        <v>3</v>
      </c>
      <c r="K684">
        <v>1.4</v>
      </c>
      <c r="L684">
        <v>508.01</v>
      </c>
      <c r="M684">
        <f>(Table1[[#This Row],[unit_price]]*Table1[[#This Row],[quantity]])-(Table1[[#This Row],[unit_price]]*Table1[[#This Row],[discount]]*Table1[[#This Row],[quantity]])</f>
        <v>508.00500000000005</v>
      </c>
      <c r="N684">
        <f>DAY(Table1[[#This Row],[order_date]])</f>
        <v>14</v>
      </c>
      <c r="O684" t="str">
        <f>TEXT(Table1[[#This Row],[order_date]],"mmm")</f>
        <v>Nov</v>
      </c>
      <c r="P684">
        <f>YEAR(Table1[[#This Row],[order_date]])</f>
        <v>2023</v>
      </c>
    </row>
    <row r="685" spans="1:16" x14ac:dyDescent="0.3">
      <c r="A685">
        <v>10684</v>
      </c>
      <c r="B685" s="1">
        <v>45245</v>
      </c>
      <c r="C685">
        <v>1515</v>
      </c>
      <c r="D685" t="s">
        <v>15</v>
      </c>
      <c r="E685" t="s">
        <v>20</v>
      </c>
      <c r="F685">
        <v>7</v>
      </c>
      <c r="G685">
        <v>124.22</v>
      </c>
      <c r="H685">
        <v>0.12</v>
      </c>
      <c r="I685" t="s">
        <v>18</v>
      </c>
      <c r="J685">
        <v>8</v>
      </c>
      <c r="K685">
        <v>3.8</v>
      </c>
      <c r="L685">
        <v>765.2</v>
      </c>
      <c r="M685">
        <f>(Table1[[#This Row],[unit_price]]*Table1[[#This Row],[quantity]])-(Table1[[#This Row],[unit_price]]*Table1[[#This Row],[discount]]*Table1[[#This Row],[quantity]])</f>
        <v>765.1952</v>
      </c>
      <c r="N685">
        <f>DAY(Table1[[#This Row],[order_date]])</f>
        <v>15</v>
      </c>
      <c r="O685" t="str">
        <f>TEXT(Table1[[#This Row],[order_date]],"mmm")</f>
        <v>Nov</v>
      </c>
      <c r="P685">
        <f>YEAR(Table1[[#This Row],[order_date]])</f>
        <v>2023</v>
      </c>
    </row>
    <row r="686" spans="1:16" x14ac:dyDescent="0.3">
      <c r="A686">
        <v>10685</v>
      </c>
      <c r="B686" s="1">
        <v>45246</v>
      </c>
      <c r="C686">
        <v>1015</v>
      </c>
      <c r="D686" t="s">
        <v>19</v>
      </c>
      <c r="E686" t="s">
        <v>13</v>
      </c>
      <c r="F686">
        <v>5</v>
      </c>
      <c r="G686">
        <v>131.06</v>
      </c>
      <c r="H686">
        <v>0.19</v>
      </c>
      <c r="I686" t="s">
        <v>16</v>
      </c>
      <c r="J686">
        <v>8</v>
      </c>
      <c r="K686">
        <v>3.7</v>
      </c>
      <c r="L686">
        <v>530.79</v>
      </c>
      <c r="M686">
        <f>(Table1[[#This Row],[unit_price]]*Table1[[#This Row],[quantity]])-(Table1[[#This Row],[unit_price]]*Table1[[#This Row],[discount]]*Table1[[#This Row],[quantity]])</f>
        <v>530.79299999999989</v>
      </c>
      <c r="N686">
        <f>DAY(Table1[[#This Row],[order_date]])</f>
        <v>16</v>
      </c>
      <c r="O686" t="str">
        <f>TEXT(Table1[[#This Row],[order_date]],"mmm")</f>
        <v>Nov</v>
      </c>
      <c r="P686">
        <f>YEAR(Table1[[#This Row],[order_date]])</f>
        <v>2023</v>
      </c>
    </row>
    <row r="687" spans="1:16" x14ac:dyDescent="0.3">
      <c r="A687">
        <v>10686</v>
      </c>
      <c r="B687" s="1">
        <v>45247</v>
      </c>
      <c r="C687">
        <v>1791</v>
      </c>
      <c r="D687" t="s">
        <v>19</v>
      </c>
      <c r="E687" t="s">
        <v>17</v>
      </c>
      <c r="F687">
        <v>5</v>
      </c>
      <c r="G687">
        <v>291.39</v>
      </c>
      <c r="H687">
        <v>0.04</v>
      </c>
      <c r="I687" t="s">
        <v>16</v>
      </c>
      <c r="J687">
        <v>3</v>
      </c>
      <c r="K687">
        <v>2.2999999999999998</v>
      </c>
      <c r="L687">
        <v>1398.67</v>
      </c>
      <c r="M687">
        <f>(Table1[[#This Row],[unit_price]]*Table1[[#This Row],[quantity]])-(Table1[[#This Row],[unit_price]]*Table1[[#This Row],[discount]]*Table1[[#This Row],[quantity]])</f>
        <v>1398.6719999999998</v>
      </c>
      <c r="N687">
        <f>DAY(Table1[[#This Row],[order_date]])</f>
        <v>17</v>
      </c>
      <c r="O687" t="str">
        <f>TEXT(Table1[[#This Row],[order_date]],"mmm")</f>
        <v>Nov</v>
      </c>
      <c r="P687">
        <f>YEAR(Table1[[#This Row],[order_date]])</f>
        <v>2023</v>
      </c>
    </row>
    <row r="688" spans="1:16" x14ac:dyDescent="0.3">
      <c r="A688">
        <v>10687</v>
      </c>
      <c r="B688" s="1">
        <v>45248</v>
      </c>
      <c r="C688">
        <v>1335</v>
      </c>
      <c r="D688" t="s">
        <v>19</v>
      </c>
      <c r="E688" t="s">
        <v>17</v>
      </c>
      <c r="F688">
        <v>6</v>
      </c>
      <c r="G688">
        <v>302.58999999999997</v>
      </c>
      <c r="H688">
        <v>0.22</v>
      </c>
      <c r="I688" t="s">
        <v>14</v>
      </c>
      <c r="J688">
        <v>10</v>
      </c>
      <c r="K688">
        <v>2.9</v>
      </c>
      <c r="L688">
        <v>1416.12</v>
      </c>
      <c r="M688">
        <f>(Table1[[#This Row],[unit_price]]*Table1[[#This Row],[quantity]])-(Table1[[#This Row],[unit_price]]*Table1[[#This Row],[discount]]*Table1[[#This Row],[quantity]])</f>
        <v>1416.1212</v>
      </c>
      <c r="N688">
        <f>DAY(Table1[[#This Row],[order_date]])</f>
        <v>18</v>
      </c>
      <c r="O688" t="str">
        <f>TEXT(Table1[[#This Row],[order_date]],"mmm")</f>
        <v>Nov</v>
      </c>
      <c r="P688">
        <f>YEAR(Table1[[#This Row],[order_date]])</f>
        <v>2023</v>
      </c>
    </row>
    <row r="689" spans="1:16" x14ac:dyDescent="0.3">
      <c r="A689">
        <v>10688</v>
      </c>
      <c r="B689" s="1">
        <v>45249</v>
      </c>
      <c r="C689">
        <v>1758</v>
      </c>
      <c r="D689" t="s">
        <v>22</v>
      </c>
      <c r="E689" t="s">
        <v>17</v>
      </c>
      <c r="F689">
        <v>5</v>
      </c>
      <c r="G689">
        <v>25.78</v>
      </c>
      <c r="H689">
        <v>0.11</v>
      </c>
      <c r="I689" t="s">
        <v>16</v>
      </c>
      <c r="J689">
        <v>10</v>
      </c>
      <c r="K689">
        <v>2.2000000000000002</v>
      </c>
      <c r="L689">
        <v>114.72</v>
      </c>
      <c r="M689">
        <f>(Table1[[#This Row],[unit_price]]*Table1[[#This Row],[quantity]])-(Table1[[#This Row],[unit_price]]*Table1[[#This Row],[discount]]*Table1[[#This Row],[quantity]])</f>
        <v>114.721</v>
      </c>
      <c r="N689">
        <f>DAY(Table1[[#This Row],[order_date]])</f>
        <v>19</v>
      </c>
      <c r="O689" t="str">
        <f>TEXT(Table1[[#This Row],[order_date]],"mmm")</f>
        <v>Nov</v>
      </c>
      <c r="P689">
        <f>YEAR(Table1[[#This Row],[order_date]])</f>
        <v>2023</v>
      </c>
    </row>
    <row r="690" spans="1:16" x14ac:dyDescent="0.3">
      <c r="A690">
        <v>10689</v>
      </c>
      <c r="B690" s="1">
        <v>45250</v>
      </c>
      <c r="C690">
        <v>1257</v>
      </c>
      <c r="D690" t="s">
        <v>19</v>
      </c>
      <c r="E690" t="s">
        <v>21</v>
      </c>
      <c r="F690">
        <v>1</v>
      </c>
      <c r="G690">
        <v>101.55</v>
      </c>
      <c r="H690">
        <v>0.22</v>
      </c>
      <c r="I690" t="s">
        <v>18</v>
      </c>
      <c r="J690">
        <v>6</v>
      </c>
      <c r="K690">
        <v>3.9</v>
      </c>
      <c r="L690">
        <v>79.209999999999994</v>
      </c>
      <c r="M690">
        <f>(Table1[[#This Row],[unit_price]]*Table1[[#This Row],[quantity]])-(Table1[[#This Row],[unit_price]]*Table1[[#This Row],[discount]]*Table1[[#This Row],[quantity]])</f>
        <v>79.209000000000003</v>
      </c>
      <c r="N690">
        <f>DAY(Table1[[#This Row],[order_date]])</f>
        <v>20</v>
      </c>
      <c r="O690" t="str">
        <f>TEXT(Table1[[#This Row],[order_date]],"mmm")</f>
        <v>Nov</v>
      </c>
      <c r="P690">
        <f>YEAR(Table1[[#This Row],[order_date]])</f>
        <v>2023</v>
      </c>
    </row>
    <row r="691" spans="1:16" x14ac:dyDescent="0.3">
      <c r="A691">
        <v>10690</v>
      </c>
      <c r="B691" s="1">
        <v>45251</v>
      </c>
      <c r="C691">
        <v>1496</v>
      </c>
      <c r="D691" t="s">
        <v>15</v>
      </c>
      <c r="E691" t="s">
        <v>17</v>
      </c>
      <c r="F691">
        <v>7</v>
      </c>
      <c r="G691">
        <v>236.22</v>
      </c>
      <c r="H691">
        <v>0.28999999999999998</v>
      </c>
      <c r="I691" t="s">
        <v>14</v>
      </c>
      <c r="J691">
        <v>8</v>
      </c>
      <c r="K691">
        <v>4.4000000000000004</v>
      </c>
      <c r="L691">
        <v>1174.01</v>
      </c>
      <c r="M691">
        <f>(Table1[[#This Row],[unit_price]]*Table1[[#This Row],[quantity]])-(Table1[[#This Row],[unit_price]]*Table1[[#This Row],[discount]]*Table1[[#This Row],[quantity]])</f>
        <v>1174.0134</v>
      </c>
      <c r="N691">
        <f>DAY(Table1[[#This Row],[order_date]])</f>
        <v>21</v>
      </c>
      <c r="O691" t="str">
        <f>TEXT(Table1[[#This Row],[order_date]],"mmm")</f>
        <v>Nov</v>
      </c>
      <c r="P691">
        <f>YEAR(Table1[[#This Row],[order_date]])</f>
        <v>2023</v>
      </c>
    </row>
    <row r="692" spans="1:16" x14ac:dyDescent="0.3">
      <c r="A692">
        <v>10691</v>
      </c>
      <c r="B692" s="1">
        <v>45252</v>
      </c>
      <c r="C692">
        <v>1987</v>
      </c>
      <c r="D692" t="s">
        <v>12</v>
      </c>
      <c r="E692" t="s">
        <v>21</v>
      </c>
      <c r="F692">
        <v>6</v>
      </c>
      <c r="G692">
        <v>414.98</v>
      </c>
      <c r="H692">
        <v>0.06</v>
      </c>
      <c r="I692" t="s">
        <v>18</v>
      </c>
      <c r="J692">
        <v>8</v>
      </c>
      <c r="K692">
        <v>4.5999999999999996</v>
      </c>
      <c r="L692">
        <v>2340.4899999999998</v>
      </c>
      <c r="M692">
        <f>(Table1[[#This Row],[unit_price]]*Table1[[#This Row],[quantity]])-(Table1[[#This Row],[unit_price]]*Table1[[#This Row],[discount]]*Table1[[#This Row],[quantity]])</f>
        <v>2340.4872</v>
      </c>
      <c r="N692">
        <f>DAY(Table1[[#This Row],[order_date]])</f>
        <v>22</v>
      </c>
      <c r="O692" t="str">
        <f>TEXT(Table1[[#This Row],[order_date]],"mmm")</f>
        <v>Nov</v>
      </c>
      <c r="P692">
        <f>YEAR(Table1[[#This Row],[order_date]])</f>
        <v>2023</v>
      </c>
    </row>
    <row r="693" spans="1:16" x14ac:dyDescent="0.3">
      <c r="A693">
        <v>10692</v>
      </c>
      <c r="B693" s="1">
        <v>45253</v>
      </c>
      <c r="C693">
        <v>1895</v>
      </c>
      <c r="D693" t="s">
        <v>19</v>
      </c>
      <c r="E693" t="s">
        <v>21</v>
      </c>
      <c r="F693">
        <v>3</v>
      </c>
      <c r="G693">
        <v>148.62</v>
      </c>
      <c r="H693">
        <v>0.33</v>
      </c>
      <c r="I693" t="s">
        <v>18</v>
      </c>
      <c r="J693">
        <v>10</v>
      </c>
      <c r="K693">
        <v>1.7</v>
      </c>
      <c r="L693">
        <v>298.73</v>
      </c>
      <c r="M693">
        <f>(Table1[[#This Row],[unit_price]]*Table1[[#This Row],[quantity]])-(Table1[[#This Row],[unit_price]]*Table1[[#This Row],[discount]]*Table1[[#This Row],[quantity]])</f>
        <v>298.72620000000001</v>
      </c>
      <c r="N693">
        <f>DAY(Table1[[#This Row],[order_date]])</f>
        <v>23</v>
      </c>
      <c r="O693" t="str">
        <f>TEXT(Table1[[#This Row],[order_date]],"mmm")</f>
        <v>Nov</v>
      </c>
      <c r="P693">
        <f>YEAR(Table1[[#This Row],[order_date]])</f>
        <v>2023</v>
      </c>
    </row>
    <row r="694" spans="1:16" x14ac:dyDescent="0.3">
      <c r="A694">
        <v>10693</v>
      </c>
      <c r="B694" s="1">
        <v>45254</v>
      </c>
      <c r="C694">
        <v>1159</v>
      </c>
      <c r="D694" t="s">
        <v>15</v>
      </c>
      <c r="E694" t="s">
        <v>20</v>
      </c>
      <c r="F694">
        <v>7</v>
      </c>
      <c r="G694">
        <v>262.45999999999998</v>
      </c>
      <c r="H694">
        <v>0.19</v>
      </c>
      <c r="I694" t="s">
        <v>16</v>
      </c>
      <c r="J694">
        <v>10</v>
      </c>
      <c r="K694">
        <v>3.8</v>
      </c>
      <c r="L694">
        <v>1488.15</v>
      </c>
      <c r="M694">
        <f>(Table1[[#This Row],[unit_price]]*Table1[[#This Row],[quantity]])-(Table1[[#This Row],[unit_price]]*Table1[[#This Row],[discount]]*Table1[[#This Row],[quantity]])</f>
        <v>1488.1481999999999</v>
      </c>
      <c r="N694">
        <f>DAY(Table1[[#This Row],[order_date]])</f>
        <v>24</v>
      </c>
      <c r="O694" t="str">
        <f>TEXT(Table1[[#This Row],[order_date]],"mmm")</f>
        <v>Nov</v>
      </c>
      <c r="P694">
        <f>YEAR(Table1[[#This Row],[order_date]])</f>
        <v>2023</v>
      </c>
    </row>
    <row r="695" spans="1:16" x14ac:dyDescent="0.3">
      <c r="A695">
        <v>10694</v>
      </c>
      <c r="B695" s="1">
        <v>45255</v>
      </c>
      <c r="C695">
        <v>1474</v>
      </c>
      <c r="D695" t="s">
        <v>15</v>
      </c>
      <c r="E695" t="s">
        <v>21</v>
      </c>
      <c r="F695">
        <v>7</v>
      </c>
      <c r="G695">
        <v>341.05</v>
      </c>
      <c r="H695">
        <v>0.32</v>
      </c>
      <c r="I695" t="s">
        <v>16</v>
      </c>
      <c r="J695">
        <v>9</v>
      </c>
      <c r="K695">
        <v>4.9000000000000004</v>
      </c>
      <c r="L695">
        <v>1623.4</v>
      </c>
      <c r="M695">
        <f>(Table1[[#This Row],[unit_price]]*Table1[[#This Row],[quantity]])-(Table1[[#This Row],[unit_price]]*Table1[[#This Row],[discount]]*Table1[[#This Row],[quantity]])</f>
        <v>1623.3979999999997</v>
      </c>
      <c r="N695">
        <f>DAY(Table1[[#This Row],[order_date]])</f>
        <v>25</v>
      </c>
      <c r="O695" t="str">
        <f>TEXT(Table1[[#This Row],[order_date]],"mmm")</f>
        <v>Nov</v>
      </c>
      <c r="P695">
        <f>YEAR(Table1[[#This Row],[order_date]])</f>
        <v>2023</v>
      </c>
    </row>
    <row r="696" spans="1:16" x14ac:dyDescent="0.3">
      <c r="A696">
        <v>10695</v>
      </c>
      <c r="B696" s="1">
        <v>45256</v>
      </c>
      <c r="C696">
        <v>1851</v>
      </c>
      <c r="D696" t="s">
        <v>19</v>
      </c>
      <c r="E696" t="s">
        <v>21</v>
      </c>
      <c r="F696">
        <v>1</v>
      </c>
      <c r="G696">
        <v>534.83000000000004</v>
      </c>
      <c r="H696">
        <v>7.0000000000000007E-2</v>
      </c>
      <c r="I696" t="s">
        <v>18</v>
      </c>
      <c r="J696">
        <v>9</v>
      </c>
      <c r="K696">
        <v>3.6</v>
      </c>
      <c r="L696">
        <v>497.39</v>
      </c>
      <c r="M696">
        <f>(Table1[[#This Row],[unit_price]]*Table1[[#This Row],[quantity]])-(Table1[[#This Row],[unit_price]]*Table1[[#This Row],[discount]]*Table1[[#This Row],[quantity]])</f>
        <v>497.39190000000002</v>
      </c>
      <c r="N696">
        <f>DAY(Table1[[#This Row],[order_date]])</f>
        <v>26</v>
      </c>
      <c r="O696" t="str">
        <f>TEXT(Table1[[#This Row],[order_date]],"mmm")</f>
        <v>Nov</v>
      </c>
      <c r="P696">
        <f>YEAR(Table1[[#This Row],[order_date]])</f>
        <v>2023</v>
      </c>
    </row>
    <row r="697" spans="1:16" x14ac:dyDescent="0.3">
      <c r="A697">
        <v>10696</v>
      </c>
      <c r="B697" s="1">
        <v>45257</v>
      </c>
      <c r="C697">
        <v>1663</v>
      </c>
      <c r="D697" t="s">
        <v>22</v>
      </c>
      <c r="E697" t="s">
        <v>13</v>
      </c>
      <c r="F697">
        <v>7</v>
      </c>
      <c r="G697">
        <v>205.75</v>
      </c>
      <c r="H697">
        <v>0.21</v>
      </c>
      <c r="I697" t="s">
        <v>18</v>
      </c>
      <c r="J697">
        <v>8</v>
      </c>
      <c r="K697">
        <v>2.4</v>
      </c>
      <c r="L697">
        <v>1137.8</v>
      </c>
      <c r="M697">
        <f>(Table1[[#This Row],[unit_price]]*Table1[[#This Row],[quantity]])-(Table1[[#This Row],[unit_price]]*Table1[[#This Row],[discount]]*Table1[[#This Row],[quantity]])</f>
        <v>1137.7975000000001</v>
      </c>
      <c r="N697">
        <f>DAY(Table1[[#This Row],[order_date]])</f>
        <v>27</v>
      </c>
      <c r="O697" t="str">
        <f>TEXT(Table1[[#This Row],[order_date]],"mmm")</f>
        <v>Nov</v>
      </c>
      <c r="P697">
        <f>YEAR(Table1[[#This Row],[order_date]])</f>
        <v>2023</v>
      </c>
    </row>
    <row r="698" spans="1:16" x14ac:dyDescent="0.3">
      <c r="A698">
        <v>10697</v>
      </c>
      <c r="B698" s="1">
        <v>45258</v>
      </c>
      <c r="C698">
        <v>1907</v>
      </c>
      <c r="D698" t="s">
        <v>19</v>
      </c>
      <c r="E698" t="s">
        <v>17</v>
      </c>
      <c r="F698">
        <v>3</v>
      </c>
      <c r="G698">
        <v>93.13</v>
      </c>
      <c r="H698">
        <v>0.14000000000000001</v>
      </c>
      <c r="I698" t="s">
        <v>16</v>
      </c>
      <c r="J698">
        <v>7</v>
      </c>
      <c r="K698">
        <v>3.5</v>
      </c>
      <c r="L698">
        <v>240.28</v>
      </c>
      <c r="M698">
        <f>(Table1[[#This Row],[unit_price]]*Table1[[#This Row],[quantity]])-(Table1[[#This Row],[unit_price]]*Table1[[#This Row],[discount]]*Table1[[#This Row],[quantity]])</f>
        <v>240.27539999999999</v>
      </c>
      <c r="N698">
        <f>DAY(Table1[[#This Row],[order_date]])</f>
        <v>28</v>
      </c>
      <c r="O698" t="str">
        <f>TEXT(Table1[[#This Row],[order_date]],"mmm")</f>
        <v>Nov</v>
      </c>
      <c r="P698">
        <f>YEAR(Table1[[#This Row],[order_date]])</f>
        <v>2023</v>
      </c>
    </row>
    <row r="699" spans="1:16" x14ac:dyDescent="0.3">
      <c r="A699">
        <v>10698</v>
      </c>
      <c r="B699" s="1">
        <v>45259</v>
      </c>
      <c r="C699">
        <v>1689</v>
      </c>
      <c r="D699" t="s">
        <v>15</v>
      </c>
      <c r="E699" t="s">
        <v>21</v>
      </c>
      <c r="F699">
        <v>2</v>
      </c>
      <c r="G699">
        <v>301.22000000000003</v>
      </c>
      <c r="H699">
        <v>0.27</v>
      </c>
      <c r="I699" t="s">
        <v>18</v>
      </c>
      <c r="J699">
        <v>10</v>
      </c>
      <c r="K699">
        <v>3.8</v>
      </c>
      <c r="L699">
        <v>439.78</v>
      </c>
      <c r="M699">
        <f>(Table1[[#This Row],[unit_price]]*Table1[[#This Row],[quantity]])-(Table1[[#This Row],[unit_price]]*Table1[[#This Row],[discount]]*Table1[[#This Row],[quantity]])</f>
        <v>439.78120000000001</v>
      </c>
      <c r="N699">
        <f>DAY(Table1[[#This Row],[order_date]])</f>
        <v>29</v>
      </c>
      <c r="O699" t="str">
        <f>TEXT(Table1[[#This Row],[order_date]],"mmm")</f>
        <v>Nov</v>
      </c>
      <c r="P699">
        <f>YEAR(Table1[[#This Row],[order_date]])</f>
        <v>2023</v>
      </c>
    </row>
    <row r="700" spans="1:16" x14ac:dyDescent="0.3">
      <c r="A700">
        <v>10699</v>
      </c>
      <c r="B700" s="1">
        <v>45260</v>
      </c>
      <c r="C700">
        <v>1674</v>
      </c>
      <c r="D700" t="s">
        <v>15</v>
      </c>
      <c r="E700" t="s">
        <v>17</v>
      </c>
      <c r="F700">
        <v>6</v>
      </c>
      <c r="G700">
        <v>451.83</v>
      </c>
      <c r="H700">
        <v>0.21</v>
      </c>
      <c r="I700" t="s">
        <v>14</v>
      </c>
      <c r="J700">
        <v>3</v>
      </c>
      <c r="K700">
        <v>2.6</v>
      </c>
      <c r="L700">
        <v>2141.67</v>
      </c>
      <c r="M700">
        <f>(Table1[[#This Row],[unit_price]]*Table1[[#This Row],[quantity]])-(Table1[[#This Row],[unit_price]]*Table1[[#This Row],[discount]]*Table1[[#This Row],[quantity]])</f>
        <v>2141.6741999999999</v>
      </c>
      <c r="N700">
        <f>DAY(Table1[[#This Row],[order_date]])</f>
        <v>30</v>
      </c>
      <c r="O700" t="str">
        <f>TEXT(Table1[[#This Row],[order_date]],"mmm")</f>
        <v>Nov</v>
      </c>
      <c r="P700">
        <f>YEAR(Table1[[#This Row],[order_date]])</f>
        <v>2023</v>
      </c>
    </row>
    <row r="701" spans="1:16" x14ac:dyDescent="0.3">
      <c r="A701">
        <v>10700</v>
      </c>
      <c r="B701" s="1">
        <v>45261</v>
      </c>
      <c r="C701">
        <v>1379</v>
      </c>
      <c r="D701" t="s">
        <v>15</v>
      </c>
      <c r="E701" t="s">
        <v>21</v>
      </c>
      <c r="F701">
        <v>2</v>
      </c>
      <c r="G701">
        <v>79.27</v>
      </c>
      <c r="H701">
        <v>0.17</v>
      </c>
      <c r="I701" t="s">
        <v>16</v>
      </c>
      <c r="J701">
        <v>7</v>
      </c>
      <c r="K701">
        <v>1.4</v>
      </c>
      <c r="L701">
        <v>131.59</v>
      </c>
      <c r="M701">
        <f>(Table1[[#This Row],[unit_price]]*Table1[[#This Row],[quantity]])-(Table1[[#This Row],[unit_price]]*Table1[[#This Row],[discount]]*Table1[[#This Row],[quantity]])</f>
        <v>131.5882</v>
      </c>
      <c r="N701">
        <f>DAY(Table1[[#This Row],[order_date]])</f>
        <v>1</v>
      </c>
      <c r="O701" t="str">
        <f>TEXT(Table1[[#This Row],[order_date]],"mmm")</f>
        <v>Dec</v>
      </c>
      <c r="P701">
        <f>YEAR(Table1[[#This Row],[order_date]])</f>
        <v>2023</v>
      </c>
    </row>
    <row r="702" spans="1:16" x14ac:dyDescent="0.3">
      <c r="A702">
        <v>10701</v>
      </c>
      <c r="B702" s="1">
        <v>45262</v>
      </c>
      <c r="C702">
        <v>1544</v>
      </c>
      <c r="D702" t="s">
        <v>22</v>
      </c>
      <c r="E702" t="s">
        <v>20</v>
      </c>
      <c r="F702">
        <v>6</v>
      </c>
      <c r="G702">
        <v>263.44</v>
      </c>
      <c r="H702">
        <v>0.32</v>
      </c>
      <c r="I702" t="s">
        <v>18</v>
      </c>
      <c r="J702">
        <v>4</v>
      </c>
      <c r="K702">
        <v>3.4</v>
      </c>
      <c r="L702">
        <v>1074.8399999999999</v>
      </c>
      <c r="M702">
        <f>(Table1[[#This Row],[unit_price]]*Table1[[#This Row],[quantity]])-(Table1[[#This Row],[unit_price]]*Table1[[#This Row],[discount]]*Table1[[#This Row],[quantity]])</f>
        <v>1074.8352</v>
      </c>
      <c r="N702">
        <f>DAY(Table1[[#This Row],[order_date]])</f>
        <v>2</v>
      </c>
      <c r="O702" t="str">
        <f>TEXT(Table1[[#This Row],[order_date]],"mmm")</f>
        <v>Dec</v>
      </c>
      <c r="P702">
        <f>YEAR(Table1[[#This Row],[order_date]])</f>
        <v>2023</v>
      </c>
    </row>
    <row r="703" spans="1:16" x14ac:dyDescent="0.3">
      <c r="A703">
        <v>10702</v>
      </c>
      <c r="B703" s="1">
        <v>45263</v>
      </c>
      <c r="C703">
        <v>1928</v>
      </c>
      <c r="D703" t="s">
        <v>19</v>
      </c>
      <c r="E703" t="s">
        <v>13</v>
      </c>
      <c r="F703">
        <v>7</v>
      </c>
      <c r="G703">
        <v>25.4</v>
      </c>
      <c r="H703">
        <v>0.13</v>
      </c>
      <c r="I703" t="s">
        <v>18</v>
      </c>
      <c r="J703">
        <v>2</v>
      </c>
      <c r="K703">
        <v>4.2</v>
      </c>
      <c r="L703">
        <v>154.69</v>
      </c>
      <c r="M703">
        <f>(Table1[[#This Row],[unit_price]]*Table1[[#This Row],[quantity]])-(Table1[[#This Row],[unit_price]]*Table1[[#This Row],[discount]]*Table1[[#This Row],[quantity]])</f>
        <v>154.68599999999998</v>
      </c>
      <c r="N703">
        <f>DAY(Table1[[#This Row],[order_date]])</f>
        <v>3</v>
      </c>
      <c r="O703" t="str">
        <f>TEXT(Table1[[#This Row],[order_date]],"mmm")</f>
        <v>Dec</v>
      </c>
      <c r="P703">
        <f>YEAR(Table1[[#This Row],[order_date]])</f>
        <v>2023</v>
      </c>
    </row>
    <row r="704" spans="1:16" x14ac:dyDescent="0.3">
      <c r="A704">
        <v>10703</v>
      </c>
      <c r="B704" s="1">
        <v>45264</v>
      </c>
      <c r="C704">
        <v>1956</v>
      </c>
      <c r="D704" t="s">
        <v>19</v>
      </c>
      <c r="E704" t="s">
        <v>21</v>
      </c>
      <c r="F704">
        <v>6</v>
      </c>
      <c r="G704">
        <v>34.630000000000003</v>
      </c>
      <c r="H704">
        <v>0.08</v>
      </c>
      <c r="I704" t="s">
        <v>14</v>
      </c>
      <c r="J704">
        <v>8</v>
      </c>
      <c r="K704">
        <v>5</v>
      </c>
      <c r="L704">
        <v>191.16</v>
      </c>
      <c r="M704">
        <f>(Table1[[#This Row],[unit_price]]*Table1[[#This Row],[quantity]])-(Table1[[#This Row],[unit_price]]*Table1[[#This Row],[discount]]*Table1[[#This Row],[quantity]])</f>
        <v>191.15760000000003</v>
      </c>
      <c r="N704">
        <f>DAY(Table1[[#This Row],[order_date]])</f>
        <v>4</v>
      </c>
      <c r="O704" t="str">
        <f>TEXT(Table1[[#This Row],[order_date]],"mmm")</f>
        <v>Dec</v>
      </c>
      <c r="P704">
        <f>YEAR(Table1[[#This Row],[order_date]])</f>
        <v>2023</v>
      </c>
    </row>
    <row r="705" spans="1:16" x14ac:dyDescent="0.3">
      <c r="A705">
        <v>10704</v>
      </c>
      <c r="B705" s="1">
        <v>45265</v>
      </c>
      <c r="C705">
        <v>1690</v>
      </c>
      <c r="D705" t="s">
        <v>22</v>
      </c>
      <c r="E705" t="s">
        <v>17</v>
      </c>
      <c r="F705">
        <v>1</v>
      </c>
      <c r="G705">
        <v>297.52999999999997</v>
      </c>
      <c r="H705">
        <v>0.21</v>
      </c>
      <c r="I705" t="s">
        <v>14</v>
      </c>
      <c r="J705">
        <v>2</v>
      </c>
      <c r="K705">
        <v>1.9</v>
      </c>
      <c r="L705">
        <v>235.05</v>
      </c>
      <c r="M705">
        <f>(Table1[[#This Row],[unit_price]]*Table1[[#This Row],[quantity]])-(Table1[[#This Row],[unit_price]]*Table1[[#This Row],[discount]]*Table1[[#This Row],[quantity]])</f>
        <v>235.0487</v>
      </c>
      <c r="N705">
        <f>DAY(Table1[[#This Row],[order_date]])</f>
        <v>5</v>
      </c>
      <c r="O705" t="str">
        <f>TEXT(Table1[[#This Row],[order_date]],"mmm")</f>
        <v>Dec</v>
      </c>
      <c r="P705">
        <f>YEAR(Table1[[#This Row],[order_date]])</f>
        <v>2023</v>
      </c>
    </row>
    <row r="706" spans="1:16" x14ac:dyDescent="0.3">
      <c r="A706">
        <v>10705</v>
      </c>
      <c r="B706" s="1">
        <v>45266</v>
      </c>
      <c r="C706">
        <v>1426</v>
      </c>
      <c r="D706" t="s">
        <v>15</v>
      </c>
      <c r="E706" t="s">
        <v>20</v>
      </c>
      <c r="F706">
        <v>3</v>
      </c>
      <c r="G706">
        <v>189.45</v>
      </c>
      <c r="H706">
        <v>0.22</v>
      </c>
      <c r="I706" t="s">
        <v>18</v>
      </c>
      <c r="J706">
        <v>1</v>
      </c>
      <c r="K706">
        <v>3.8</v>
      </c>
      <c r="L706">
        <v>443.31</v>
      </c>
      <c r="M706">
        <f>(Table1[[#This Row],[unit_price]]*Table1[[#This Row],[quantity]])-(Table1[[#This Row],[unit_price]]*Table1[[#This Row],[discount]]*Table1[[#This Row],[quantity]])</f>
        <v>443.31299999999993</v>
      </c>
      <c r="N706">
        <f>DAY(Table1[[#This Row],[order_date]])</f>
        <v>6</v>
      </c>
      <c r="O706" t="str">
        <f>TEXT(Table1[[#This Row],[order_date]],"mmm")</f>
        <v>Dec</v>
      </c>
      <c r="P706">
        <f>YEAR(Table1[[#This Row],[order_date]])</f>
        <v>2023</v>
      </c>
    </row>
    <row r="707" spans="1:16" x14ac:dyDescent="0.3">
      <c r="A707">
        <v>10706</v>
      </c>
      <c r="B707" s="1">
        <v>45267</v>
      </c>
      <c r="C707">
        <v>1612</v>
      </c>
      <c r="D707" t="s">
        <v>22</v>
      </c>
      <c r="E707" t="s">
        <v>17</v>
      </c>
      <c r="F707">
        <v>6</v>
      </c>
      <c r="G707">
        <v>509.39</v>
      </c>
      <c r="H707">
        <v>0.15</v>
      </c>
      <c r="I707" t="s">
        <v>16</v>
      </c>
      <c r="J707">
        <v>5</v>
      </c>
      <c r="K707">
        <v>1.1000000000000001</v>
      </c>
      <c r="L707">
        <v>2597.89</v>
      </c>
      <c r="M707">
        <f>(Table1[[#This Row],[unit_price]]*Table1[[#This Row],[quantity]])-(Table1[[#This Row],[unit_price]]*Table1[[#This Row],[discount]]*Table1[[#This Row],[quantity]])</f>
        <v>2597.8890000000001</v>
      </c>
      <c r="N707">
        <f>DAY(Table1[[#This Row],[order_date]])</f>
        <v>7</v>
      </c>
      <c r="O707" t="str">
        <f>TEXT(Table1[[#This Row],[order_date]],"mmm")</f>
        <v>Dec</v>
      </c>
      <c r="P707">
        <f>YEAR(Table1[[#This Row],[order_date]])</f>
        <v>2023</v>
      </c>
    </row>
    <row r="708" spans="1:16" x14ac:dyDescent="0.3">
      <c r="A708">
        <v>10707</v>
      </c>
      <c r="B708" s="1">
        <v>45268</v>
      </c>
      <c r="C708">
        <v>1267</v>
      </c>
      <c r="D708" t="s">
        <v>22</v>
      </c>
      <c r="E708" t="s">
        <v>20</v>
      </c>
      <c r="F708">
        <v>3</v>
      </c>
      <c r="G708">
        <v>367.26</v>
      </c>
      <c r="H708">
        <v>0.17</v>
      </c>
      <c r="I708" t="s">
        <v>16</v>
      </c>
      <c r="J708">
        <v>10</v>
      </c>
      <c r="K708">
        <v>4.9000000000000004</v>
      </c>
      <c r="L708">
        <v>914.48</v>
      </c>
      <c r="M708">
        <f>(Table1[[#This Row],[unit_price]]*Table1[[#This Row],[quantity]])-(Table1[[#This Row],[unit_price]]*Table1[[#This Row],[discount]]*Table1[[#This Row],[quantity]])</f>
        <v>914.47739999999999</v>
      </c>
      <c r="N708">
        <f>DAY(Table1[[#This Row],[order_date]])</f>
        <v>8</v>
      </c>
      <c r="O708" t="str">
        <f>TEXT(Table1[[#This Row],[order_date]],"mmm")</f>
        <v>Dec</v>
      </c>
      <c r="P708">
        <f>YEAR(Table1[[#This Row],[order_date]])</f>
        <v>2023</v>
      </c>
    </row>
    <row r="709" spans="1:16" x14ac:dyDescent="0.3">
      <c r="A709">
        <v>10708</v>
      </c>
      <c r="B709" s="1">
        <v>45269</v>
      </c>
      <c r="C709">
        <v>1834</v>
      </c>
      <c r="D709" t="s">
        <v>22</v>
      </c>
      <c r="E709" t="s">
        <v>13</v>
      </c>
      <c r="F709">
        <v>6</v>
      </c>
      <c r="G709">
        <v>280.55</v>
      </c>
      <c r="H709">
        <v>0.34</v>
      </c>
      <c r="I709" t="s">
        <v>16</v>
      </c>
      <c r="J709">
        <v>9</v>
      </c>
      <c r="K709">
        <v>1.1000000000000001</v>
      </c>
      <c r="L709">
        <v>1110.98</v>
      </c>
      <c r="M709">
        <f>(Table1[[#This Row],[unit_price]]*Table1[[#This Row],[quantity]])-(Table1[[#This Row],[unit_price]]*Table1[[#This Row],[discount]]*Table1[[#This Row],[quantity]])</f>
        <v>1110.9780000000001</v>
      </c>
      <c r="N709">
        <f>DAY(Table1[[#This Row],[order_date]])</f>
        <v>9</v>
      </c>
      <c r="O709" t="str">
        <f>TEXT(Table1[[#This Row],[order_date]],"mmm")</f>
        <v>Dec</v>
      </c>
      <c r="P709">
        <f>YEAR(Table1[[#This Row],[order_date]])</f>
        <v>2023</v>
      </c>
    </row>
    <row r="710" spans="1:16" x14ac:dyDescent="0.3">
      <c r="A710">
        <v>10709</v>
      </c>
      <c r="B710" s="1">
        <v>45270</v>
      </c>
      <c r="C710">
        <v>1576</v>
      </c>
      <c r="D710" t="s">
        <v>15</v>
      </c>
      <c r="E710" t="s">
        <v>20</v>
      </c>
      <c r="F710">
        <v>3</v>
      </c>
      <c r="G710">
        <v>253.64</v>
      </c>
      <c r="H710">
        <v>0.26</v>
      </c>
      <c r="I710" t="s">
        <v>18</v>
      </c>
      <c r="J710">
        <v>5</v>
      </c>
      <c r="K710">
        <v>2.4</v>
      </c>
      <c r="L710">
        <v>563.08000000000004</v>
      </c>
      <c r="M710">
        <f>(Table1[[#This Row],[unit_price]]*Table1[[#This Row],[quantity]])-(Table1[[#This Row],[unit_price]]*Table1[[#This Row],[discount]]*Table1[[#This Row],[quantity]])</f>
        <v>563.08079999999995</v>
      </c>
      <c r="N710">
        <f>DAY(Table1[[#This Row],[order_date]])</f>
        <v>10</v>
      </c>
      <c r="O710" t="str">
        <f>TEXT(Table1[[#This Row],[order_date]],"mmm")</f>
        <v>Dec</v>
      </c>
      <c r="P710">
        <f>YEAR(Table1[[#This Row],[order_date]])</f>
        <v>2023</v>
      </c>
    </row>
    <row r="711" spans="1:16" x14ac:dyDescent="0.3">
      <c r="A711">
        <v>10710</v>
      </c>
      <c r="B711" s="1">
        <v>45271</v>
      </c>
      <c r="C711">
        <v>1416</v>
      </c>
      <c r="D711" t="s">
        <v>19</v>
      </c>
      <c r="E711" t="s">
        <v>17</v>
      </c>
      <c r="F711">
        <v>2</v>
      </c>
      <c r="G711">
        <v>305.89</v>
      </c>
      <c r="H711">
        <v>0.04</v>
      </c>
      <c r="I711" t="s">
        <v>18</v>
      </c>
      <c r="J711">
        <v>11</v>
      </c>
      <c r="K711">
        <v>1.3</v>
      </c>
      <c r="L711">
        <v>587.30999999999995</v>
      </c>
      <c r="M711">
        <f>(Table1[[#This Row],[unit_price]]*Table1[[#This Row],[quantity]])-(Table1[[#This Row],[unit_price]]*Table1[[#This Row],[discount]]*Table1[[#This Row],[quantity]])</f>
        <v>587.30880000000002</v>
      </c>
      <c r="N711">
        <f>DAY(Table1[[#This Row],[order_date]])</f>
        <v>11</v>
      </c>
      <c r="O711" t="str">
        <f>TEXT(Table1[[#This Row],[order_date]],"mmm")</f>
        <v>Dec</v>
      </c>
      <c r="P711">
        <f>YEAR(Table1[[#This Row],[order_date]])</f>
        <v>2023</v>
      </c>
    </row>
    <row r="712" spans="1:16" x14ac:dyDescent="0.3">
      <c r="A712">
        <v>10711</v>
      </c>
      <c r="B712" s="1">
        <v>45272</v>
      </c>
      <c r="C712">
        <v>1167</v>
      </c>
      <c r="D712" t="s">
        <v>22</v>
      </c>
      <c r="E712" t="s">
        <v>17</v>
      </c>
      <c r="F712">
        <v>1</v>
      </c>
      <c r="G712">
        <v>38.659999999999997</v>
      </c>
      <c r="H712">
        <v>7.0000000000000007E-2</v>
      </c>
      <c r="I712" t="s">
        <v>14</v>
      </c>
      <c r="J712">
        <v>2</v>
      </c>
      <c r="K712">
        <v>3.5</v>
      </c>
      <c r="L712">
        <v>35.950000000000003</v>
      </c>
      <c r="M712">
        <f>(Table1[[#This Row],[unit_price]]*Table1[[#This Row],[quantity]])-(Table1[[#This Row],[unit_price]]*Table1[[#This Row],[discount]]*Table1[[#This Row],[quantity]])</f>
        <v>35.953799999999994</v>
      </c>
      <c r="N712">
        <f>DAY(Table1[[#This Row],[order_date]])</f>
        <v>12</v>
      </c>
      <c r="O712" t="str">
        <f>TEXT(Table1[[#This Row],[order_date]],"mmm")</f>
        <v>Dec</v>
      </c>
      <c r="P712">
        <f>YEAR(Table1[[#This Row],[order_date]])</f>
        <v>2023</v>
      </c>
    </row>
    <row r="713" spans="1:16" x14ac:dyDescent="0.3">
      <c r="A713">
        <v>10712</v>
      </c>
      <c r="B713" s="1">
        <v>45273</v>
      </c>
      <c r="C713">
        <v>1841</v>
      </c>
      <c r="D713" t="s">
        <v>15</v>
      </c>
      <c r="E713" t="s">
        <v>21</v>
      </c>
      <c r="F713">
        <v>6</v>
      </c>
      <c r="G713">
        <v>537.28</v>
      </c>
      <c r="H713">
        <v>0.34</v>
      </c>
      <c r="I713" t="s">
        <v>18</v>
      </c>
      <c r="J713">
        <v>10</v>
      </c>
      <c r="K713">
        <v>2.4</v>
      </c>
      <c r="L713">
        <v>2127.63</v>
      </c>
      <c r="M713">
        <f>(Table1[[#This Row],[unit_price]]*Table1[[#This Row],[quantity]])-(Table1[[#This Row],[unit_price]]*Table1[[#This Row],[discount]]*Table1[[#This Row],[quantity]])</f>
        <v>2127.6287999999995</v>
      </c>
      <c r="N713">
        <f>DAY(Table1[[#This Row],[order_date]])</f>
        <v>13</v>
      </c>
      <c r="O713" t="str">
        <f>TEXT(Table1[[#This Row],[order_date]],"mmm")</f>
        <v>Dec</v>
      </c>
      <c r="P713">
        <f>YEAR(Table1[[#This Row],[order_date]])</f>
        <v>2023</v>
      </c>
    </row>
    <row r="714" spans="1:16" x14ac:dyDescent="0.3">
      <c r="A714">
        <v>10713</v>
      </c>
      <c r="B714" s="1">
        <v>45274</v>
      </c>
      <c r="C714">
        <v>1042</v>
      </c>
      <c r="D714" t="s">
        <v>19</v>
      </c>
      <c r="E714" t="s">
        <v>20</v>
      </c>
      <c r="F714">
        <v>4</v>
      </c>
      <c r="G714">
        <v>599.01</v>
      </c>
      <c r="H714">
        <v>0.25</v>
      </c>
      <c r="I714" t="s">
        <v>18</v>
      </c>
      <c r="J714">
        <v>4</v>
      </c>
      <c r="K714">
        <v>3.9</v>
      </c>
      <c r="L714">
        <v>1797.03</v>
      </c>
      <c r="M714">
        <f>(Table1[[#This Row],[unit_price]]*Table1[[#This Row],[quantity]])-(Table1[[#This Row],[unit_price]]*Table1[[#This Row],[discount]]*Table1[[#This Row],[quantity]])</f>
        <v>1797.03</v>
      </c>
      <c r="N714">
        <f>DAY(Table1[[#This Row],[order_date]])</f>
        <v>14</v>
      </c>
      <c r="O714" t="str">
        <f>TEXT(Table1[[#This Row],[order_date]],"mmm")</f>
        <v>Dec</v>
      </c>
      <c r="P714">
        <f>YEAR(Table1[[#This Row],[order_date]])</f>
        <v>2023</v>
      </c>
    </row>
    <row r="715" spans="1:16" x14ac:dyDescent="0.3">
      <c r="A715">
        <v>10714</v>
      </c>
      <c r="B715" s="1">
        <v>45275</v>
      </c>
      <c r="C715">
        <v>1555</v>
      </c>
      <c r="D715" t="s">
        <v>12</v>
      </c>
      <c r="E715" t="s">
        <v>17</v>
      </c>
      <c r="F715">
        <v>3</v>
      </c>
      <c r="G715">
        <v>121.17</v>
      </c>
      <c r="H715">
        <v>0.32</v>
      </c>
      <c r="I715" t="s">
        <v>18</v>
      </c>
      <c r="J715">
        <v>8</v>
      </c>
      <c r="K715">
        <v>2.9</v>
      </c>
      <c r="L715">
        <v>247.19</v>
      </c>
      <c r="M715">
        <f>(Table1[[#This Row],[unit_price]]*Table1[[#This Row],[quantity]])-(Table1[[#This Row],[unit_price]]*Table1[[#This Row],[discount]]*Table1[[#This Row],[quantity]])</f>
        <v>247.18680000000001</v>
      </c>
      <c r="N715">
        <f>DAY(Table1[[#This Row],[order_date]])</f>
        <v>15</v>
      </c>
      <c r="O715" t="str">
        <f>TEXT(Table1[[#This Row],[order_date]],"mmm")</f>
        <v>Dec</v>
      </c>
      <c r="P715">
        <f>YEAR(Table1[[#This Row],[order_date]])</f>
        <v>2023</v>
      </c>
    </row>
    <row r="716" spans="1:16" x14ac:dyDescent="0.3">
      <c r="A716">
        <v>10715</v>
      </c>
      <c r="B716" s="1">
        <v>45276</v>
      </c>
      <c r="C716">
        <v>1284</v>
      </c>
      <c r="D716" t="s">
        <v>12</v>
      </c>
      <c r="E716" t="s">
        <v>21</v>
      </c>
      <c r="F716">
        <v>3</v>
      </c>
      <c r="G716">
        <v>85.42</v>
      </c>
      <c r="H716">
        <v>0.11</v>
      </c>
      <c r="I716" t="s">
        <v>16</v>
      </c>
      <c r="J716">
        <v>7</v>
      </c>
      <c r="K716">
        <v>2.7</v>
      </c>
      <c r="L716">
        <v>228.07</v>
      </c>
      <c r="M716">
        <f>(Table1[[#This Row],[unit_price]]*Table1[[#This Row],[quantity]])-(Table1[[#This Row],[unit_price]]*Table1[[#This Row],[discount]]*Table1[[#This Row],[quantity]])</f>
        <v>228.07139999999998</v>
      </c>
      <c r="N716">
        <f>DAY(Table1[[#This Row],[order_date]])</f>
        <v>16</v>
      </c>
      <c r="O716" t="str">
        <f>TEXT(Table1[[#This Row],[order_date]],"mmm")</f>
        <v>Dec</v>
      </c>
      <c r="P716">
        <f>YEAR(Table1[[#This Row],[order_date]])</f>
        <v>2023</v>
      </c>
    </row>
    <row r="717" spans="1:16" x14ac:dyDescent="0.3">
      <c r="A717">
        <v>10716</v>
      </c>
      <c r="B717" s="1">
        <v>45277</v>
      </c>
      <c r="C717">
        <v>1396</v>
      </c>
      <c r="D717" t="s">
        <v>15</v>
      </c>
      <c r="E717" t="s">
        <v>13</v>
      </c>
      <c r="F717">
        <v>4</v>
      </c>
      <c r="G717">
        <v>98.99</v>
      </c>
      <c r="H717">
        <v>0.26</v>
      </c>
      <c r="I717" t="s">
        <v>18</v>
      </c>
      <c r="J717">
        <v>5</v>
      </c>
      <c r="K717">
        <v>2.4</v>
      </c>
      <c r="L717">
        <v>293.01</v>
      </c>
      <c r="M717">
        <f>(Table1[[#This Row],[unit_price]]*Table1[[#This Row],[quantity]])-(Table1[[#This Row],[unit_price]]*Table1[[#This Row],[discount]]*Table1[[#This Row],[quantity]])</f>
        <v>293.0104</v>
      </c>
      <c r="N717">
        <f>DAY(Table1[[#This Row],[order_date]])</f>
        <v>17</v>
      </c>
      <c r="O717" t="str">
        <f>TEXT(Table1[[#This Row],[order_date]],"mmm")</f>
        <v>Dec</v>
      </c>
      <c r="P717">
        <f>YEAR(Table1[[#This Row],[order_date]])</f>
        <v>2023</v>
      </c>
    </row>
    <row r="718" spans="1:16" x14ac:dyDescent="0.3">
      <c r="A718">
        <v>10717</v>
      </c>
      <c r="B718" s="1">
        <v>45278</v>
      </c>
      <c r="C718">
        <v>1011</v>
      </c>
      <c r="D718" t="s">
        <v>19</v>
      </c>
      <c r="E718" t="s">
        <v>17</v>
      </c>
      <c r="F718">
        <v>1</v>
      </c>
      <c r="G718">
        <v>401.7</v>
      </c>
      <c r="H718">
        <v>0.25</v>
      </c>
      <c r="I718" t="s">
        <v>18</v>
      </c>
      <c r="J718">
        <v>4</v>
      </c>
      <c r="K718">
        <v>1.3</v>
      </c>
      <c r="L718">
        <v>301.27</v>
      </c>
      <c r="M718">
        <f>(Table1[[#This Row],[unit_price]]*Table1[[#This Row],[quantity]])-(Table1[[#This Row],[unit_price]]*Table1[[#This Row],[discount]]*Table1[[#This Row],[quantity]])</f>
        <v>301.27499999999998</v>
      </c>
      <c r="N718">
        <f>DAY(Table1[[#This Row],[order_date]])</f>
        <v>18</v>
      </c>
      <c r="O718" t="str">
        <f>TEXT(Table1[[#This Row],[order_date]],"mmm")</f>
        <v>Dec</v>
      </c>
      <c r="P718">
        <f>YEAR(Table1[[#This Row],[order_date]])</f>
        <v>2023</v>
      </c>
    </row>
    <row r="719" spans="1:16" x14ac:dyDescent="0.3">
      <c r="A719">
        <v>10718</v>
      </c>
      <c r="B719" s="1">
        <v>45279</v>
      </c>
      <c r="C719">
        <v>1606</v>
      </c>
      <c r="D719" t="s">
        <v>15</v>
      </c>
      <c r="E719" t="s">
        <v>21</v>
      </c>
      <c r="F719">
        <v>3</v>
      </c>
      <c r="G719">
        <v>401.94</v>
      </c>
      <c r="H719">
        <v>0.1</v>
      </c>
      <c r="I719" t="s">
        <v>14</v>
      </c>
      <c r="J719">
        <v>5</v>
      </c>
      <c r="K719">
        <v>1.8</v>
      </c>
      <c r="L719">
        <v>1085.24</v>
      </c>
      <c r="M719">
        <f>(Table1[[#This Row],[unit_price]]*Table1[[#This Row],[quantity]])-(Table1[[#This Row],[unit_price]]*Table1[[#This Row],[discount]]*Table1[[#This Row],[quantity]])</f>
        <v>1085.2379999999998</v>
      </c>
      <c r="N719">
        <f>DAY(Table1[[#This Row],[order_date]])</f>
        <v>19</v>
      </c>
      <c r="O719" t="str">
        <f>TEXT(Table1[[#This Row],[order_date]],"mmm")</f>
        <v>Dec</v>
      </c>
      <c r="P719">
        <f>YEAR(Table1[[#This Row],[order_date]])</f>
        <v>2023</v>
      </c>
    </row>
    <row r="720" spans="1:16" x14ac:dyDescent="0.3">
      <c r="A720">
        <v>10719</v>
      </c>
      <c r="B720" s="1">
        <v>45280</v>
      </c>
      <c r="C720">
        <v>1301</v>
      </c>
      <c r="D720" t="s">
        <v>22</v>
      </c>
      <c r="E720" t="s">
        <v>17</v>
      </c>
      <c r="F720">
        <v>1</v>
      </c>
      <c r="G720">
        <v>511.04</v>
      </c>
      <c r="H720">
        <v>0.19</v>
      </c>
      <c r="I720" t="s">
        <v>16</v>
      </c>
      <c r="J720">
        <v>7</v>
      </c>
      <c r="K720">
        <v>3.6</v>
      </c>
      <c r="L720">
        <v>413.94</v>
      </c>
      <c r="M720">
        <f>(Table1[[#This Row],[unit_price]]*Table1[[#This Row],[quantity]])-(Table1[[#This Row],[unit_price]]*Table1[[#This Row],[discount]]*Table1[[#This Row],[quantity]])</f>
        <v>413.94240000000002</v>
      </c>
      <c r="N720">
        <f>DAY(Table1[[#This Row],[order_date]])</f>
        <v>20</v>
      </c>
      <c r="O720" t="str">
        <f>TEXT(Table1[[#This Row],[order_date]],"mmm")</f>
        <v>Dec</v>
      </c>
      <c r="P720">
        <f>YEAR(Table1[[#This Row],[order_date]])</f>
        <v>2023</v>
      </c>
    </row>
    <row r="721" spans="1:16" x14ac:dyDescent="0.3">
      <c r="A721">
        <v>10720</v>
      </c>
      <c r="B721" s="1">
        <v>45281</v>
      </c>
      <c r="C721">
        <v>1897</v>
      </c>
      <c r="D721" t="s">
        <v>12</v>
      </c>
      <c r="E721" t="s">
        <v>20</v>
      </c>
      <c r="F721">
        <v>3</v>
      </c>
      <c r="G721">
        <v>454.82</v>
      </c>
      <c r="H721">
        <v>0.22</v>
      </c>
      <c r="I721" t="s">
        <v>14</v>
      </c>
      <c r="J721">
        <v>5</v>
      </c>
      <c r="K721">
        <v>3</v>
      </c>
      <c r="L721">
        <v>1064.28</v>
      </c>
      <c r="M721">
        <f>(Table1[[#This Row],[unit_price]]*Table1[[#This Row],[quantity]])-(Table1[[#This Row],[unit_price]]*Table1[[#This Row],[discount]]*Table1[[#This Row],[quantity]])</f>
        <v>1064.2788</v>
      </c>
      <c r="N721">
        <f>DAY(Table1[[#This Row],[order_date]])</f>
        <v>21</v>
      </c>
      <c r="O721" t="str">
        <f>TEXT(Table1[[#This Row],[order_date]],"mmm")</f>
        <v>Dec</v>
      </c>
      <c r="P721">
        <f>YEAR(Table1[[#This Row],[order_date]])</f>
        <v>2023</v>
      </c>
    </row>
    <row r="722" spans="1:16" x14ac:dyDescent="0.3">
      <c r="A722">
        <v>10721</v>
      </c>
      <c r="B722" s="1">
        <v>45282</v>
      </c>
      <c r="C722">
        <v>1252</v>
      </c>
      <c r="D722" t="s">
        <v>19</v>
      </c>
      <c r="E722" t="s">
        <v>21</v>
      </c>
      <c r="F722">
        <v>7</v>
      </c>
      <c r="G722">
        <v>278.07</v>
      </c>
      <c r="H722">
        <v>0.17</v>
      </c>
      <c r="I722" t="s">
        <v>18</v>
      </c>
      <c r="J722">
        <v>8</v>
      </c>
      <c r="K722">
        <v>1.3</v>
      </c>
      <c r="L722">
        <v>1615.59</v>
      </c>
      <c r="M722">
        <f>(Table1[[#This Row],[unit_price]]*Table1[[#This Row],[quantity]])-(Table1[[#This Row],[unit_price]]*Table1[[#This Row],[discount]]*Table1[[#This Row],[quantity]])</f>
        <v>1615.5867000000001</v>
      </c>
      <c r="N722">
        <f>DAY(Table1[[#This Row],[order_date]])</f>
        <v>22</v>
      </c>
      <c r="O722" t="str">
        <f>TEXT(Table1[[#This Row],[order_date]],"mmm")</f>
        <v>Dec</v>
      </c>
      <c r="P722">
        <f>YEAR(Table1[[#This Row],[order_date]])</f>
        <v>2023</v>
      </c>
    </row>
    <row r="723" spans="1:16" x14ac:dyDescent="0.3">
      <c r="A723">
        <v>10722</v>
      </c>
      <c r="B723" s="1">
        <v>45283</v>
      </c>
      <c r="C723">
        <v>1498</v>
      </c>
      <c r="D723" t="s">
        <v>19</v>
      </c>
      <c r="E723" t="s">
        <v>20</v>
      </c>
      <c r="F723">
        <v>5</v>
      </c>
      <c r="G723">
        <v>373.52</v>
      </c>
      <c r="H723">
        <v>0.28999999999999998</v>
      </c>
      <c r="I723" t="s">
        <v>16</v>
      </c>
      <c r="J723">
        <v>7</v>
      </c>
      <c r="K723">
        <v>3.2</v>
      </c>
      <c r="L723">
        <v>1326</v>
      </c>
      <c r="M723">
        <f>(Table1[[#This Row],[unit_price]]*Table1[[#This Row],[quantity]])-(Table1[[#This Row],[unit_price]]*Table1[[#This Row],[discount]]*Table1[[#This Row],[quantity]])</f>
        <v>1325.9960000000001</v>
      </c>
      <c r="N723">
        <f>DAY(Table1[[#This Row],[order_date]])</f>
        <v>23</v>
      </c>
      <c r="O723" t="str">
        <f>TEXT(Table1[[#This Row],[order_date]],"mmm")</f>
        <v>Dec</v>
      </c>
      <c r="P723">
        <f>YEAR(Table1[[#This Row],[order_date]])</f>
        <v>2023</v>
      </c>
    </row>
    <row r="724" spans="1:16" x14ac:dyDescent="0.3">
      <c r="A724">
        <v>10723</v>
      </c>
      <c r="B724" s="1">
        <v>45284</v>
      </c>
      <c r="C724">
        <v>1753</v>
      </c>
      <c r="D724" t="s">
        <v>12</v>
      </c>
      <c r="E724" t="s">
        <v>13</v>
      </c>
      <c r="F724">
        <v>7</v>
      </c>
      <c r="G724">
        <v>417.65</v>
      </c>
      <c r="H724">
        <v>0.28999999999999998</v>
      </c>
      <c r="I724" t="s">
        <v>16</v>
      </c>
      <c r="J724">
        <v>7</v>
      </c>
      <c r="K724">
        <v>1.2</v>
      </c>
      <c r="L724">
        <v>2075.7199999999998</v>
      </c>
      <c r="M724">
        <f>(Table1[[#This Row],[unit_price]]*Table1[[#This Row],[quantity]])-(Table1[[#This Row],[unit_price]]*Table1[[#This Row],[discount]]*Table1[[#This Row],[quantity]])</f>
        <v>2075.7204999999999</v>
      </c>
      <c r="N724">
        <f>DAY(Table1[[#This Row],[order_date]])</f>
        <v>24</v>
      </c>
      <c r="O724" t="str">
        <f>TEXT(Table1[[#This Row],[order_date]],"mmm")</f>
        <v>Dec</v>
      </c>
      <c r="P724">
        <f>YEAR(Table1[[#This Row],[order_date]])</f>
        <v>2023</v>
      </c>
    </row>
    <row r="725" spans="1:16" x14ac:dyDescent="0.3">
      <c r="A725">
        <v>10724</v>
      </c>
      <c r="B725" s="1">
        <v>45285</v>
      </c>
      <c r="C725">
        <v>1034</v>
      </c>
      <c r="D725" t="s">
        <v>15</v>
      </c>
      <c r="E725" t="s">
        <v>20</v>
      </c>
      <c r="F725">
        <v>3</v>
      </c>
      <c r="G725">
        <v>314.95</v>
      </c>
      <c r="H725">
        <v>0.3</v>
      </c>
      <c r="I725" t="s">
        <v>16</v>
      </c>
      <c r="J725">
        <v>9</v>
      </c>
      <c r="K725">
        <v>3</v>
      </c>
      <c r="L725">
        <v>661.39</v>
      </c>
      <c r="M725">
        <f>(Table1[[#This Row],[unit_price]]*Table1[[#This Row],[quantity]])-(Table1[[#This Row],[unit_price]]*Table1[[#This Row],[discount]]*Table1[[#This Row],[quantity]])</f>
        <v>661.39499999999998</v>
      </c>
      <c r="N725">
        <f>DAY(Table1[[#This Row],[order_date]])</f>
        <v>25</v>
      </c>
      <c r="O725" t="str">
        <f>TEXT(Table1[[#This Row],[order_date]],"mmm")</f>
        <v>Dec</v>
      </c>
      <c r="P725">
        <f>YEAR(Table1[[#This Row],[order_date]])</f>
        <v>2023</v>
      </c>
    </row>
    <row r="726" spans="1:16" x14ac:dyDescent="0.3">
      <c r="A726">
        <v>10725</v>
      </c>
      <c r="B726" s="1">
        <v>45286</v>
      </c>
      <c r="C726">
        <v>1726</v>
      </c>
      <c r="D726" t="s">
        <v>15</v>
      </c>
      <c r="E726" t="s">
        <v>21</v>
      </c>
      <c r="F726">
        <v>5</v>
      </c>
      <c r="G726">
        <v>293.26</v>
      </c>
      <c r="H726">
        <v>0.28000000000000003</v>
      </c>
      <c r="I726" t="s">
        <v>18</v>
      </c>
      <c r="J726">
        <v>8</v>
      </c>
      <c r="K726">
        <v>4.9000000000000004</v>
      </c>
      <c r="L726">
        <v>1055.74</v>
      </c>
      <c r="M726">
        <f>(Table1[[#This Row],[unit_price]]*Table1[[#This Row],[quantity]])-(Table1[[#This Row],[unit_price]]*Table1[[#This Row],[discount]]*Table1[[#This Row],[quantity]])</f>
        <v>1055.7359999999999</v>
      </c>
      <c r="N726">
        <f>DAY(Table1[[#This Row],[order_date]])</f>
        <v>26</v>
      </c>
      <c r="O726" t="str">
        <f>TEXT(Table1[[#This Row],[order_date]],"mmm")</f>
        <v>Dec</v>
      </c>
      <c r="P726">
        <f>YEAR(Table1[[#This Row],[order_date]])</f>
        <v>2023</v>
      </c>
    </row>
    <row r="727" spans="1:16" x14ac:dyDescent="0.3">
      <c r="A727">
        <v>10726</v>
      </c>
      <c r="B727" s="1">
        <v>45287</v>
      </c>
      <c r="C727">
        <v>1848</v>
      </c>
      <c r="D727" t="s">
        <v>12</v>
      </c>
      <c r="E727" t="s">
        <v>17</v>
      </c>
      <c r="F727">
        <v>6</v>
      </c>
      <c r="G727">
        <v>392.38</v>
      </c>
      <c r="H727">
        <v>0.17</v>
      </c>
      <c r="I727" t="s">
        <v>16</v>
      </c>
      <c r="J727">
        <v>8</v>
      </c>
      <c r="K727">
        <v>2.2000000000000002</v>
      </c>
      <c r="L727">
        <v>1954.05</v>
      </c>
      <c r="M727">
        <f>(Table1[[#This Row],[unit_price]]*Table1[[#This Row],[quantity]])-(Table1[[#This Row],[unit_price]]*Table1[[#This Row],[discount]]*Table1[[#This Row],[quantity]])</f>
        <v>1954.0523999999998</v>
      </c>
      <c r="N727">
        <f>DAY(Table1[[#This Row],[order_date]])</f>
        <v>27</v>
      </c>
      <c r="O727" t="str">
        <f>TEXT(Table1[[#This Row],[order_date]],"mmm")</f>
        <v>Dec</v>
      </c>
      <c r="P727">
        <f>YEAR(Table1[[#This Row],[order_date]])</f>
        <v>2023</v>
      </c>
    </row>
    <row r="728" spans="1:16" x14ac:dyDescent="0.3">
      <c r="A728">
        <v>10727</v>
      </c>
      <c r="B728" s="1">
        <v>45288</v>
      </c>
      <c r="C728">
        <v>1089</v>
      </c>
      <c r="D728" t="s">
        <v>19</v>
      </c>
      <c r="E728" t="s">
        <v>21</v>
      </c>
      <c r="F728">
        <v>1</v>
      </c>
      <c r="G728">
        <v>341.12</v>
      </c>
      <c r="H728">
        <v>0.13</v>
      </c>
      <c r="I728" t="s">
        <v>16</v>
      </c>
      <c r="J728">
        <v>6</v>
      </c>
      <c r="K728">
        <v>3.9</v>
      </c>
      <c r="L728">
        <v>296.77</v>
      </c>
      <c r="M728">
        <f>(Table1[[#This Row],[unit_price]]*Table1[[#This Row],[quantity]])-(Table1[[#This Row],[unit_price]]*Table1[[#This Row],[discount]]*Table1[[#This Row],[quantity]])</f>
        <v>296.77440000000001</v>
      </c>
      <c r="N728">
        <f>DAY(Table1[[#This Row],[order_date]])</f>
        <v>28</v>
      </c>
      <c r="O728" t="str">
        <f>TEXT(Table1[[#This Row],[order_date]],"mmm")</f>
        <v>Dec</v>
      </c>
      <c r="P728">
        <f>YEAR(Table1[[#This Row],[order_date]])</f>
        <v>2023</v>
      </c>
    </row>
    <row r="729" spans="1:16" x14ac:dyDescent="0.3">
      <c r="A729">
        <v>10728</v>
      </c>
      <c r="B729" s="1">
        <v>45289</v>
      </c>
      <c r="C729">
        <v>1775</v>
      </c>
      <c r="D729" t="s">
        <v>15</v>
      </c>
      <c r="E729" t="s">
        <v>20</v>
      </c>
      <c r="F729">
        <v>3</v>
      </c>
      <c r="G729">
        <v>391.71</v>
      </c>
      <c r="H729">
        <v>0.28999999999999998</v>
      </c>
      <c r="I729" t="s">
        <v>14</v>
      </c>
      <c r="J729">
        <v>7</v>
      </c>
      <c r="K729">
        <v>4</v>
      </c>
      <c r="L729">
        <v>834.34</v>
      </c>
      <c r="M729">
        <f>(Table1[[#This Row],[unit_price]]*Table1[[#This Row],[quantity]])-(Table1[[#This Row],[unit_price]]*Table1[[#This Row],[discount]]*Table1[[#This Row],[quantity]])</f>
        <v>834.34229999999991</v>
      </c>
      <c r="N729">
        <f>DAY(Table1[[#This Row],[order_date]])</f>
        <v>29</v>
      </c>
      <c r="O729" t="str">
        <f>TEXT(Table1[[#This Row],[order_date]],"mmm")</f>
        <v>Dec</v>
      </c>
      <c r="P729">
        <f>YEAR(Table1[[#This Row],[order_date]])</f>
        <v>2023</v>
      </c>
    </row>
    <row r="730" spans="1:16" x14ac:dyDescent="0.3">
      <c r="A730">
        <v>10729</v>
      </c>
      <c r="B730" s="1">
        <v>45290</v>
      </c>
      <c r="C730">
        <v>1604</v>
      </c>
      <c r="D730" t="s">
        <v>19</v>
      </c>
      <c r="E730" t="s">
        <v>20</v>
      </c>
      <c r="F730">
        <v>2</v>
      </c>
      <c r="G730">
        <v>373.52</v>
      </c>
      <c r="H730">
        <v>0.17</v>
      </c>
      <c r="I730" t="s">
        <v>18</v>
      </c>
      <c r="J730">
        <v>8</v>
      </c>
      <c r="K730">
        <v>2.6</v>
      </c>
      <c r="L730">
        <v>620.04</v>
      </c>
      <c r="M730">
        <f>(Table1[[#This Row],[unit_price]]*Table1[[#This Row],[quantity]])-(Table1[[#This Row],[unit_price]]*Table1[[#This Row],[discount]]*Table1[[#This Row],[quantity]])</f>
        <v>620.04319999999996</v>
      </c>
      <c r="N730">
        <f>DAY(Table1[[#This Row],[order_date]])</f>
        <v>30</v>
      </c>
      <c r="O730" t="str">
        <f>TEXT(Table1[[#This Row],[order_date]],"mmm")</f>
        <v>Dec</v>
      </c>
      <c r="P730">
        <f>YEAR(Table1[[#This Row],[order_date]])</f>
        <v>2023</v>
      </c>
    </row>
    <row r="731" spans="1:16" x14ac:dyDescent="0.3">
      <c r="A731">
        <v>10730</v>
      </c>
      <c r="B731" s="1">
        <v>45291</v>
      </c>
      <c r="C731">
        <v>1921</v>
      </c>
      <c r="D731" t="s">
        <v>15</v>
      </c>
      <c r="E731" t="s">
        <v>17</v>
      </c>
      <c r="F731">
        <v>2</v>
      </c>
      <c r="G731">
        <v>435.73</v>
      </c>
      <c r="H731">
        <v>0.09</v>
      </c>
      <c r="I731" t="s">
        <v>18</v>
      </c>
      <c r="J731">
        <v>5</v>
      </c>
      <c r="K731">
        <v>3.4</v>
      </c>
      <c r="L731">
        <v>793.03</v>
      </c>
      <c r="M731">
        <f>(Table1[[#This Row],[unit_price]]*Table1[[#This Row],[quantity]])-(Table1[[#This Row],[unit_price]]*Table1[[#This Row],[discount]]*Table1[[#This Row],[quantity]])</f>
        <v>793.0286000000001</v>
      </c>
      <c r="N731">
        <f>DAY(Table1[[#This Row],[order_date]])</f>
        <v>31</v>
      </c>
      <c r="O731" t="str">
        <f>TEXT(Table1[[#This Row],[order_date]],"mmm")</f>
        <v>Dec</v>
      </c>
      <c r="P731">
        <f>YEAR(Table1[[#This Row],[order_date]])</f>
        <v>2023</v>
      </c>
    </row>
    <row r="732" spans="1:16" x14ac:dyDescent="0.3">
      <c r="A732">
        <v>10731</v>
      </c>
      <c r="B732" s="1">
        <v>45292</v>
      </c>
      <c r="C732">
        <v>1969</v>
      </c>
      <c r="D732" t="s">
        <v>22</v>
      </c>
      <c r="E732" t="s">
        <v>13</v>
      </c>
      <c r="F732">
        <v>4</v>
      </c>
      <c r="G732">
        <v>391.04</v>
      </c>
      <c r="H732">
        <v>0.18</v>
      </c>
      <c r="I732" t="s">
        <v>16</v>
      </c>
      <c r="J732">
        <v>10</v>
      </c>
      <c r="K732">
        <v>2.9</v>
      </c>
      <c r="L732">
        <v>1282.6099999999999</v>
      </c>
      <c r="M732">
        <f>(Table1[[#This Row],[unit_price]]*Table1[[#This Row],[quantity]])-(Table1[[#This Row],[unit_price]]*Table1[[#This Row],[discount]]*Table1[[#This Row],[quantity]])</f>
        <v>1282.6112000000001</v>
      </c>
      <c r="N732">
        <f>DAY(Table1[[#This Row],[order_date]])</f>
        <v>1</v>
      </c>
      <c r="O732" t="str">
        <f>TEXT(Table1[[#This Row],[order_date]],"mmm")</f>
        <v>Jan</v>
      </c>
      <c r="P732">
        <f>YEAR(Table1[[#This Row],[order_date]])</f>
        <v>2024</v>
      </c>
    </row>
    <row r="733" spans="1:16" x14ac:dyDescent="0.3">
      <c r="A733">
        <v>10732</v>
      </c>
      <c r="B733" s="1">
        <v>45293</v>
      </c>
      <c r="C733">
        <v>1601</v>
      </c>
      <c r="D733" t="s">
        <v>15</v>
      </c>
      <c r="E733" t="s">
        <v>21</v>
      </c>
      <c r="F733">
        <v>2</v>
      </c>
      <c r="G733">
        <v>319.05</v>
      </c>
      <c r="H733">
        <v>0.05</v>
      </c>
      <c r="I733" t="s">
        <v>18</v>
      </c>
      <c r="J733">
        <v>2</v>
      </c>
      <c r="K733">
        <v>2.1</v>
      </c>
      <c r="L733">
        <v>606.20000000000005</v>
      </c>
      <c r="M733">
        <f>(Table1[[#This Row],[unit_price]]*Table1[[#This Row],[quantity]])-(Table1[[#This Row],[unit_price]]*Table1[[#This Row],[discount]]*Table1[[#This Row],[quantity]])</f>
        <v>606.19500000000005</v>
      </c>
      <c r="N733">
        <f>DAY(Table1[[#This Row],[order_date]])</f>
        <v>2</v>
      </c>
      <c r="O733" t="str">
        <f>TEXT(Table1[[#This Row],[order_date]],"mmm")</f>
        <v>Jan</v>
      </c>
      <c r="P733">
        <f>YEAR(Table1[[#This Row],[order_date]])</f>
        <v>2024</v>
      </c>
    </row>
    <row r="734" spans="1:16" x14ac:dyDescent="0.3">
      <c r="A734">
        <v>10733</v>
      </c>
      <c r="B734" s="1">
        <v>45294</v>
      </c>
      <c r="C734">
        <v>1417</v>
      </c>
      <c r="D734" t="s">
        <v>12</v>
      </c>
      <c r="E734" t="s">
        <v>17</v>
      </c>
      <c r="F734">
        <v>5</v>
      </c>
      <c r="G734">
        <v>413.85</v>
      </c>
      <c r="H734">
        <v>0.24</v>
      </c>
      <c r="I734" t="s">
        <v>16</v>
      </c>
      <c r="J734">
        <v>7</v>
      </c>
      <c r="K734">
        <v>4</v>
      </c>
      <c r="L734">
        <v>1572.63</v>
      </c>
      <c r="M734">
        <f>(Table1[[#This Row],[unit_price]]*Table1[[#This Row],[quantity]])-(Table1[[#This Row],[unit_price]]*Table1[[#This Row],[discount]]*Table1[[#This Row],[quantity]])</f>
        <v>1572.63</v>
      </c>
      <c r="N734">
        <f>DAY(Table1[[#This Row],[order_date]])</f>
        <v>3</v>
      </c>
      <c r="O734" t="str">
        <f>TEXT(Table1[[#This Row],[order_date]],"mmm")</f>
        <v>Jan</v>
      </c>
      <c r="P734">
        <f>YEAR(Table1[[#This Row],[order_date]])</f>
        <v>2024</v>
      </c>
    </row>
    <row r="735" spans="1:16" x14ac:dyDescent="0.3">
      <c r="A735">
        <v>10734</v>
      </c>
      <c r="B735" s="1">
        <v>45295</v>
      </c>
      <c r="C735">
        <v>1114</v>
      </c>
      <c r="D735" t="s">
        <v>15</v>
      </c>
      <c r="E735" t="s">
        <v>17</v>
      </c>
      <c r="F735">
        <v>2</v>
      </c>
      <c r="G735">
        <v>277.95</v>
      </c>
      <c r="H735">
        <v>0.12</v>
      </c>
      <c r="I735" t="s">
        <v>14</v>
      </c>
      <c r="J735">
        <v>10</v>
      </c>
      <c r="K735">
        <v>3.8</v>
      </c>
      <c r="L735">
        <v>489.19</v>
      </c>
      <c r="M735">
        <f>(Table1[[#This Row],[unit_price]]*Table1[[#This Row],[quantity]])-(Table1[[#This Row],[unit_price]]*Table1[[#This Row],[discount]]*Table1[[#This Row],[quantity]])</f>
        <v>489.19200000000001</v>
      </c>
      <c r="N735">
        <f>DAY(Table1[[#This Row],[order_date]])</f>
        <v>4</v>
      </c>
      <c r="O735" t="str">
        <f>TEXT(Table1[[#This Row],[order_date]],"mmm")</f>
        <v>Jan</v>
      </c>
      <c r="P735">
        <f>YEAR(Table1[[#This Row],[order_date]])</f>
        <v>2024</v>
      </c>
    </row>
    <row r="736" spans="1:16" x14ac:dyDescent="0.3">
      <c r="A736">
        <v>10735</v>
      </c>
      <c r="B736" s="1">
        <v>45296</v>
      </c>
      <c r="C736">
        <v>1616</v>
      </c>
      <c r="D736" t="s">
        <v>19</v>
      </c>
      <c r="E736" t="s">
        <v>17</v>
      </c>
      <c r="F736">
        <v>2</v>
      </c>
      <c r="G736">
        <v>156.38</v>
      </c>
      <c r="H736">
        <v>0.09</v>
      </c>
      <c r="I736" t="s">
        <v>16</v>
      </c>
      <c r="J736">
        <v>3</v>
      </c>
      <c r="K736">
        <v>4.5999999999999996</v>
      </c>
      <c r="L736">
        <v>284.61</v>
      </c>
      <c r="M736">
        <f>(Table1[[#This Row],[unit_price]]*Table1[[#This Row],[quantity]])-(Table1[[#This Row],[unit_price]]*Table1[[#This Row],[discount]]*Table1[[#This Row],[quantity]])</f>
        <v>284.61160000000001</v>
      </c>
      <c r="N736">
        <f>DAY(Table1[[#This Row],[order_date]])</f>
        <v>5</v>
      </c>
      <c r="O736" t="str">
        <f>TEXT(Table1[[#This Row],[order_date]],"mmm")</f>
        <v>Jan</v>
      </c>
      <c r="P736">
        <f>YEAR(Table1[[#This Row],[order_date]])</f>
        <v>2024</v>
      </c>
    </row>
    <row r="737" spans="1:16" x14ac:dyDescent="0.3">
      <c r="A737">
        <v>10736</v>
      </c>
      <c r="B737" s="1">
        <v>45297</v>
      </c>
      <c r="C737">
        <v>1902</v>
      </c>
      <c r="D737" t="s">
        <v>19</v>
      </c>
      <c r="E737" t="s">
        <v>21</v>
      </c>
      <c r="F737">
        <v>2</v>
      </c>
      <c r="G737">
        <v>15.83</v>
      </c>
      <c r="H737">
        <v>0.33</v>
      </c>
      <c r="I737" t="s">
        <v>18</v>
      </c>
      <c r="J737">
        <v>10</v>
      </c>
      <c r="K737">
        <v>3.5</v>
      </c>
      <c r="L737">
        <v>21.21</v>
      </c>
      <c r="M737">
        <f>(Table1[[#This Row],[unit_price]]*Table1[[#This Row],[quantity]])-(Table1[[#This Row],[unit_price]]*Table1[[#This Row],[discount]]*Table1[[#This Row],[quantity]])</f>
        <v>21.212199999999999</v>
      </c>
      <c r="N737">
        <f>DAY(Table1[[#This Row],[order_date]])</f>
        <v>6</v>
      </c>
      <c r="O737" t="str">
        <f>TEXT(Table1[[#This Row],[order_date]],"mmm")</f>
        <v>Jan</v>
      </c>
      <c r="P737">
        <f>YEAR(Table1[[#This Row],[order_date]])</f>
        <v>2024</v>
      </c>
    </row>
    <row r="738" spans="1:16" x14ac:dyDescent="0.3">
      <c r="A738">
        <v>10737</v>
      </c>
      <c r="B738" s="1">
        <v>45298</v>
      </c>
      <c r="C738">
        <v>1195</v>
      </c>
      <c r="D738" t="s">
        <v>15</v>
      </c>
      <c r="E738" t="s">
        <v>21</v>
      </c>
      <c r="F738">
        <v>3</v>
      </c>
      <c r="G738">
        <v>342.58</v>
      </c>
      <c r="H738">
        <v>0.27</v>
      </c>
      <c r="I738" t="s">
        <v>18</v>
      </c>
      <c r="J738">
        <v>11</v>
      </c>
      <c r="K738">
        <v>2.6</v>
      </c>
      <c r="L738">
        <v>750.25</v>
      </c>
      <c r="M738">
        <f>(Table1[[#This Row],[unit_price]]*Table1[[#This Row],[quantity]])-(Table1[[#This Row],[unit_price]]*Table1[[#This Row],[discount]]*Table1[[#This Row],[quantity]])</f>
        <v>750.25019999999995</v>
      </c>
      <c r="N738">
        <f>DAY(Table1[[#This Row],[order_date]])</f>
        <v>7</v>
      </c>
      <c r="O738" t="str">
        <f>TEXT(Table1[[#This Row],[order_date]],"mmm")</f>
        <v>Jan</v>
      </c>
      <c r="P738">
        <f>YEAR(Table1[[#This Row],[order_date]])</f>
        <v>2024</v>
      </c>
    </row>
    <row r="739" spans="1:16" x14ac:dyDescent="0.3">
      <c r="A739">
        <v>10738</v>
      </c>
      <c r="B739" s="1">
        <v>45299</v>
      </c>
      <c r="C739">
        <v>1825</v>
      </c>
      <c r="D739" t="s">
        <v>15</v>
      </c>
      <c r="E739" t="s">
        <v>21</v>
      </c>
      <c r="F739">
        <v>4</v>
      </c>
      <c r="G739">
        <v>360.53</v>
      </c>
      <c r="H739">
        <v>0.28000000000000003</v>
      </c>
      <c r="I739" t="s">
        <v>18</v>
      </c>
      <c r="J739">
        <v>8</v>
      </c>
      <c r="K739">
        <v>3.9</v>
      </c>
      <c r="L739">
        <v>1038.33</v>
      </c>
      <c r="M739">
        <f>(Table1[[#This Row],[unit_price]]*Table1[[#This Row],[quantity]])-(Table1[[#This Row],[unit_price]]*Table1[[#This Row],[discount]]*Table1[[#This Row],[quantity]])</f>
        <v>1038.3263999999999</v>
      </c>
      <c r="N739">
        <f>DAY(Table1[[#This Row],[order_date]])</f>
        <v>8</v>
      </c>
      <c r="O739" t="str">
        <f>TEXT(Table1[[#This Row],[order_date]],"mmm")</f>
        <v>Jan</v>
      </c>
      <c r="P739">
        <f>YEAR(Table1[[#This Row],[order_date]])</f>
        <v>2024</v>
      </c>
    </row>
    <row r="740" spans="1:16" x14ac:dyDescent="0.3">
      <c r="A740">
        <v>10739</v>
      </c>
      <c r="B740" s="1">
        <v>45300</v>
      </c>
      <c r="C740">
        <v>1500</v>
      </c>
      <c r="D740" t="s">
        <v>19</v>
      </c>
      <c r="E740" t="s">
        <v>13</v>
      </c>
      <c r="F740">
        <v>1</v>
      </c>
      <c r="G740">
        <v>583.65</v>
      </c>
      <c r="H740">
        <v>0.22</v>
      </c>
      <c r="I740" t="s">
        <v>14</v>
      </c>
      <c r="J740">
        <v>6</v>
      </c>
      <c r="K740">
        <v>3.5</v>
      </c>
      <c r="L740">
        <v>455.25</v>
      </c>
      <c r="M740">
        <f>(Table1[[#This Row],[unit_price]]*Table1[[#This Row],[quantity]])-(Table1[[#This Row],[unit_price]]*Table1[[#This Row],[discount]]*Table1[[#This Row],[quantity]])</f>
        <v>455.24699999999996</v>
      </c>
      <c r="N740">
        <f>DAY(Table1[[#This Row],[order_date]])</f>
        <v>9</v>
      </c>
      <c r="O740" t="str">
        <f>TEXT(Table1[[#This Row],[order_date]],"mmm")</f>
        <v>Jan</v>
      </c>
      <c r="P740">
        <f>YEAR(Table1[[#This Row],[order_date]])</f>
        <v>2024</v>
      </c>
    </row>
    <row r="741" spans="1:16" x14ac:dyDescent="0.3">
      <c r="A741">
        <v>10740</v>
      </c>
      <c r="B741" s="1">
        <v>45301</v>
      </c>
      <c r="C741">
        <v>1625</v>
      </c>
      <c r="D741" t="s">
        <v>15</v>
      </c>
      <c r="E741" t="s">
        <v>17</v>
      </c>
      <c r="F741">
        <v>4</v>
      </c>
      <c r="G741">
        <v>226.46</v>
      </c>
      <c r="H741">
        <v>0.28999999999999998</v>
      </c>
      <c r="I741" t="s">
        <v>16</v>
      </c>
      <c r="J741">
        <v>11</v>
      </c>
      <c r="K741">
        <v>3.5</v>
      </c>
      <c r="L741">
        <v>643.15</v>
      </c>
      <c r="M741">
        <f>(Table1[[#This Row],[unit_price]]*Table1[[#This Row],[quantity]])-(Table1[[#This Row],[unit_price]]*Table1[[#This Row],[discount]]*Table1[[#This Row],[quantity]])</f>
        <v>643.14640000000009</v>
      </c>
      <c r="N741">
        <f>DAY(Table1[[#This Row],[order_date]])</f>
        <v>10</v>
      </c>
      <c r="O741" t="str">
        <f>TEXT(Table1[[#This Row],[order_date]],"mmm")</f>
        <v>Jan</v>
      </c>
      <c r="P741">
        <f>YEAR(Table1[[#This Row],[order_date]])</f>
        <v>2024</v>
      </c>
    </row>
    <row r="742" spans="1:16" x14ac:dyDescent="0.3">
      <c r="A742">
        <v>10741</v>
      </c>
      <c r="B742" s="1">
        <v>45302</v>
      </c>
      <c r="C742">
        <v>1492</v>
      </c>
      <c r="D742" t="s">
        <v>15</v>
      </c>
      <c r="E742" t="s">
        <v>20</v>
      </c>
      <c r="F742">
        <v>5</v>
      </c>
      <c r="G742">
        <v>245.57</v>
      </c>
      <c r="H742">
        <v>0.27</v>
      </c>
      <c r="I742" t="s">
        <v>16</v>
      </c>
      <c r="J742">
        <v>4</v>
      </c>
      <c r="K742">
        <v>4.4000000000000004</v>
      </c>
      <c r="L742">
        <v>896.33</v>
      </c>
      <c r="M742">
        <f>(Table1[[#This Row],[unit_price]]*Table1[[#This Row],[quantity]])-(Table1[[#This Row],[unit_price]]*Table1[[#This Row],[discount]]*Table1[[#This Row],[quantity]])</f>
        <v>896.33049999999992</v>
      </c>
      <c r="N742">
        <f>DAY(Table1[[#This Row],[order_date]])</f>
        <v>11</v>
      </c>
      <c r="O742" t="str">
        <f>TEXT(Table1[[#This Row],[order_date]],"mmm")</f>
        <v>Jan</v>
      </c>
      <c r="P742">
        <f>YEAR(Table1[[#This Row],[order_date]])</f>
        <v>2024</v>
      </c>
    </row>
    <row r="743" spans="1:16" x14ac:dyDescent="0.3">
      <c r="A743">
        <v>10742</v>
      </c>
      <c r="B743" s="1">
        <v>45303</v>
      </c>
      <c r="C743">
        <v>1074</v>
      </c>
      <c r="D743" t="s">
        <v>22</v>
      </c>
      <c r="E743" t="s">
        <v>20</v>
      </c>
      <c r="F743">
        <v>3</v>
      </c>
      <c r="G743">
        <v>133.05000000000001</v>
      </c>
      <c r="H743">
        <v>0.21</v>
      </c>
      <c r="I743" t="s">
        <v>18</v>
      </c>
      <c r="J743">
        <v>2</v>
      </c>
      <c r="K743">
        <v>4.5999999999999996</v>
      </c>
      <c r="L743">
        <v>315.33</v>
      </c>
      <c r="M743">
        <f>(Table1[[#This Row],[unit_price]]*Table1[[#This Row],[quantity]])-(Table1[[#This Row],[unit_price]]*Table1[[#This Row],[discount]]*Table1[[#This Row],[quantity]])</f>
        <v>315.32850000000002</v>
      </c>
      <c r="N743">
        <f>DAY(Table1[[#This Row],[order_date]])</f>
        <v>12</v>
      </c>
      <c r="O743" t="str">
        <f>TEXT(Table1[[#This Row],[order_date]],"mmm")</f>
        <v>Jan</v>
      </c>
      <c r="P743">
        <f>YEAR(Table1[[#This Row],[order_date]])</f>
        <v>2024</v>
      </c>
    </row>
    <row r="744" spans="1:16" x14ac:dyDescent="0.3">
      <c r="A744">
        <v>10743</v>
      </c>
      <c r="B744" s="1">
        <v>45304</v>
      </c>
      <c r="C744">
        <v>1412</v>
      </c>
      <c r="D744" t="s">
        <v>22</v>
      </c>
      <c r="E744" t="s">
        <v>17</v>
      </c>
      <c r="F744">
        <v>6</v>
      </c>
      <c r="G744">
        <v>56.26</v>
      </c>
      <c r="H744">
        <v>0.34</v>
      </c>
      <c r="I744" t="s">
        <v>18</v>
      </c>
      <c r="J744">
        <v>7</v>
      </c>
      <c r="K744">
        <v>1.7</v>
      </c>
      <c r="L744">
        <v>222.79</v>
      </c>
      <c r="M744">
        <f>(Table1[[#This Row],[unit_price]]*Table1[[#This Row],[quantity]])-(Table1[[#This Row],[unit_price]]*Table1[[#This Row],[discount]]*Table1[[#This Row],[quantity]])</f>
        <v>222.78960000000001</v>
      </c>
      <c r="N744">
        <f>DAY(Table1[[#This Row],[order_date]])</f>
        <v>13</v>
      </c>
      <c r="O744" t="str">
        <f>TEXT(Table1[[#This Row],[order_date]],"mmm")</f>
        <v>Jan</v>
      </c>
      <c r="P744">
        <f>YEAR(Table1[[#This Row],[order_date]])</f>
        <v>2024</v>
      </c>
    </row>
    <row r="745" spans="1:16" x14ac:dyDescent="0.3">
      <c r="A745">
        <v>10744</v>
      </c>
      <c r="B745" s="1">
        <v>45305</v>
      </c>
      <c r="C745">
        <v>1375</v>
      </c>
      <c r="D745" t="s">
        <v>22</v>
      </c>
      <c r="E745" t="s">
        <v>20</v>
      </c>
      <c r="F745">
        <v>3</v>
      </c>
      <c r="G745">
        <v>467.09</v>
      </c>
      <c r="H745">
        <v>7.0000000000000007E-2</v>
      </c>
      <c r="I745" t="s">
        <v>16</v>
      </c>
      <c r="J745">
        <v>1</v>
      </c>
      <c r="K745">
        <v>2.2999999999999998</v>
      </c>
      <c r="L745">
        <v>1303.18</v>
      </c>
      <c r="M745">
        <f>(Table1[[#This Row],[unit_price]]*Table1[[#This Row],[quantity]])-(Table1[[#This Row],[unit_price]]*Table1[[#This Row],[discount]]*Table1[[#This Row],[quantity]])</f>
        <v>1303.1811</v>
      </c>
      <c r="N745">
        <f>DAY(Table1[[#This Row],[order_date]])</f>
        <v>14</v>
      </c>
      <c r="O745" t="str">
        <f>TEXT(Table1[[#This Row],[order_date]],"mmm")</f>
        <v>Jan</v>
      </c>
      <c r="P745">
        <f>YEAR(Table1[[#This Row],[order_date]])</f>
        <v>2024</v>
      </c>
    </row>
    <row r="746" spans="1:16" x14ac:dyDescent="0.3">
      <c r="A746">
        <v>10745</v>
      </c>
      <c r="B746" s="1">
        <v>45306</v>
      </c>
      <c r="C746">
        <v>1419</v>
      </c>
      <c r="D746" t="s">
        <v>19</v>
      </c>
      <c r="E746" t="s">
        <v>13</v>
      </c>
      <c r="F746">
        <v>7</v>
      </c>
      <c r="G746">
        <v>161.06</v>
      </c>
      <c r="H746">
        <v>0.33</v>
      </c>
      <c r="I746" t="s">
        <v>16</v>
      </c>
      <c r="J746">
        <v>7</v>
      </c>
      <c r="K746">
        <v>3.6</v>
      </c>
      <c r="L746">
        <v>755.37</v>
      </c>
      <c r="M746">
        <f>(Table1[[#This Row],[unit_price]]*Table1[[#This Row],[quantity]])-(Table1[[#This Row],[unit_price]]*Table1[[#This Row],[discount]]*Table1[[#This Row],[quantity]])</f>
        <v>755.37139999999999</v>
      </c>
      <c r="N746">
        <f>DAY(Table1[[#This Row],[order_date]])</f>
        <v>15</v>
      </c>
      <c r="O746" t="str">
        <f>TEXT(Table1[[#This Row],[order_date]],"mmm")</f>
        <v>Jan</v>
      </c>
      <c r="P746">
        <f>YEAR(Table1[[#This Row],[order_date]])</f>
        <v>2024</v>
      </c>
    </row>
    <row r="747" spans="1:16" x14ac:dyDescent="0.3">
      <c r="A747">
        <v>10746</v>
      </c>
      <c r="B747" s="1">
        <v>45307</v>
      </c>
      <c r="C747">
        <v>1728</v>
      </c>
      <c r="D747" t="s">
        <v>19</v>
      </c>
      <c r="E747" t="s">
        <v>13</v>
      </c>
      <c r="F747">
        <v>2</v>
      </c>
      <c r="G747">
        <v>371.21</v>
      </c>
      <c r="H747">
        <v>0.14000000000000001</v>
      </c>
      <c r="I747" t="s">
        <v>18</v>
      </c>
      <c r="J747">
        <v>10</v>
      </c>
      <c r="K747">
        <v>3.2</v>
      </c>
      <c r="L747">
        <v>638.48</v>
      </c>
      <c r="M747">
        <f>(Table1[[#This Row],[unit_price]]*Table1[[#This Row],[quantity]])-(Table1[[#This Row],[unit_price]]*Table1[[#This Row],[discount]]*Table1[[#This Row],[quantity]])</f>
        <v>638.48119999999994</v>
      </c>
      <c r="N747">
        <f>DAY(Table1[[#This Row],[order_date]])</f>
        <v>16</v>
      </c>
      <c r="O747" t="str">
        <f>TEXT(Table1[[#This Row],[order_date]],"mmm")</f>
        <v>Jan</v>
      </c>
      <c r="P747">
        <f>YEAR(Table1[[#This Row],[order_date]])</f>
        <v>2024</v>
      </c>
    </row>
    <row r="748" spans="1:16" x14ac:dyDescent="0.3">
      <c r="A748">
        <v>10747</v>
      </c>
      <c r="B748" s="1">
        <v>45308</v>
      </c>
      <c r="C748">
        <v>1276</v>
      </c>
      <c r="D748" t="s">
        <v>22</v>
      </c>
      <c r="E748" t="s">
        <v>21</v>
      </c>
      <c r="F748">
        <v>2</v>
      </c>
      <c r="G748">
        <v>417.35</v>
      </c>
      <c r="H748">
        <v>0.18</v>
      </c>
      <c r="I748" t="s">
        <v>14</v>
      </c>
      <c r="J748">
        <v>10</v>
      </c>
      <c r="K748">
        <v>3.6</v>
      </c>
      <c r="L748">
        <v>684.45</v>
      </c>
      <c r="M748">
        <f>(Table1[[#This Row],[unit_price]]*Table1[[#This Row],[quantity]])-(Table1[[#This Row],[unit_price]]*Table1[[#This Row],[discount]]*Table1[[#This Row],[quantity]])</f>
        <v>684.45400000000006</v>
      </c>
      <c r="N748">
        <f>DAY(Table1[[#This Row],[order_date]])</f>
        <v>17</v>
      </c>
      <c r="O748" t="str">
        <f>TEXT(Table1[[#This Row],[order_date]],"mmm")</f>
        <v>Jan</v>
      </c>
      <c r="P748">
        <f>YEAR(Table1[[#This Row],[order_date]])</f>
        <v>2024</v>
      </c>
    </row>
    <row r="749" spans="1:16" x14ac:dyDescent="0.3">
      <c r="A749">
        <v>10748</v>
      </c>
      <c r="B749" s="1">
        <v>45309</v>
      </c>
      <c r="C749">
        <v>1760</v>
      </c>
      <c r="D749" t="s">
        <v>15</v>
      </c>
      <c r="E749" t="s">
        <v>21</v>
      </c>
      <c r="F749">
        <v>5</v>
      </c>
      <c r="G749">
        <v>290.67</v>
      </c>
      <c r="H749">
        <v>0.04</v>
      </c>
      <c r="I749" t="s">
        <v>18</v>
      </c>
      <c r="J749">
        <v>7</v>
      </c>
      <c r="K749">
        <v>2.7</v>
      </c>
      <c r="L749">
        <v>1395.22</v>
      </c>
      <c r="M749">
        <f>(Table1[[#This Row],[unit_price]]*Table1[[#This Row],[quantity]])-(Table1[[#This Row],[unit_price]]*Table1[[#This Row],[discount]]*Table1[[#This Row],[quantity]])</f>
        <v>1395.2160000000001</v>
      </c>
      <c r="N749">
        <f>DAY(Table1[[#This Row],[order_date]])</f>
        <v>18</v>
      </c>
      <c r="O749" t="str">
        <f>TEXT(Table1[[#This Row],[order_date]],"mmm")</f>
        <v>Jan</v>
      </c>
      <c r="P749">
        <f>YEAR(Table1[[#This Row],[order_date]])</f>
        <v>2024</v>
      </c>
    </row>
    <row r="750" spans="1:16" x14ac:dyDescent="0.3">
      <c r="A750">
        <v>10749</v>
      </c>
      <c r="B750" s="1">
        <v>45310</v>
      </c>
      <c r="C750">
        <v>1675</v>
      </c>
      <c r="D750" t="s">
        <v>19</v>
      </c>
      <c r="E750" t="s">
        <v>21</v>
      </c>
      <c r="F750">
        <v>6</v>
      </c>
      <c r="G750">
        <v>527.66999999999996</v>
      </c>
      <c r="H750">
        <v>0.19</v>
      </c>
      <c r="I750" t="s">
        <v>14</v>
      </c>
      <c r="J750">
        <v>10</v>
      </c>
      <c r="K750">
        <v>2.6</v>
      </c>
      <c r="L750">
        <v>2564.48</v>
      </c>
      <c r="M750">
        <f>(Table1[[#This Row],[unit_price]]*Table1[[#This Row],[quantity]])-(Table1[[#This Row],[unit_price]]*Table1[[#This Row],[discount]]*Table1[[#This Row],[quantity]])</f>
        <v>2564.4761999999996</v>
      </c>
      <c r="N750">
        <f>DAY(Table1[[#This Row],[order_date]])</f>
        <v>19</v>
      </c>
      <c r="O750" t="str">
        <f>TEXT(Table1[[#This Row],[order_date]],"mmm")</f>
        <v>Jan</v>
      </c>
      <c r="P750">
        <f>YEAR(Table1[[#This Row],[order_date]])</f>
        <v>2024</v>
      </c>
    </row>
    <row r="751" spans="1:16" x14ac:dyDescent="0.3">
      <c r="A751">
        <v>10750</v>
      </c>
      <c r="B751" s="1">
        <v>45311</v>
      </c>
      <c r="C751">
        <v>1393</v>
      </c>
      <c r="D751" t="s">
        <v>22</v>
      </c>
      <c r="E751" t="s">
        <v>21</v>
      </c>
      <c r="F751">
        <v>7</v>
      </c>
      <c r="G751">
        <v>274.62</v>
      </c>
      <c r="H751">
        <v>0.21</v>
      </c>
      <c r="I751" t="s">
        <v>18</v>
      </c>
      <c r="J751">
        <v>3</v>
      </c>
      <c r="K751">
        <v>1.5</v>
      </c>
      <c r="L751">
        <v>1518.65</v>
      </c>
      <c r="M751">
        <f>(Table1[[#This Row],[unit_price]]*Table1[[#This Row],[quantity]])-(Table1[[#This Row],[unit_price]]*Table1[[#This Row],[discount]]*Table1[[#This Row],[quantity]])</f>
        <v>1518.6486000000002</v>
      </c>
      <c r="N751">
        <f>DAY(Table1[[#This Row],[order_date]])</f>
        <v>20</v>
      </c>
      <c r="O751" t="str">
        <f>TEXT(Table1[[#This Row],[order_date]],"mmm")</f>
        <v>Jan</v>
      </c>
      <c r="P751">
        <f>YEAR(Table1[[#This Row],[order_date]])</f>
        <v>2024</v>
      </c>
    </row>
    <row r="752" spans="1:16" x14ac:dyDescent="0.3">
      <c r="A752">
        <v>10751</v>
      </c>
      <c r="B752" s="1">
        <v>45312</v>
      </c>
      <c r="C752">
        <v>1868</v>
      </c>
      <c r="D752" t="s">
        <v>22</v>
      </c>
      <c r="E752" t="s">
        <v>21</v>
      </c>
      <c r="F752">
        <v>3</v>
      </c>
      <c r="G752">
        <v>181.67</v>
      </c>
      <c r="H752">
        <v>0.35</v>
      </c>
      <c r="I752" t="s">
        <v>16</v>
      </c>
      <c r="J752">
        <v>4</v>
      </c>
      <c r="K752">
        <v>3.5</v>
      </c>
      <c r="L752">
        <v>354.26</v>
      </c>
      <c r="M752">
        <f>(Table1[[#This Row],[unit_price]]*Table1[[#This Row],[quantity]])-(Table1[[#This Row],[unit_price]]*Table1[[#This Row],[discount]]*Table1[[#This Row],[quantity]])</f>
        <v>354.25650000000002</v>
      </c>
      <c r="N752">
        <f>DAY(Table1[[#This Row],[order_date]])</f>
        <v>21</v>
      </c>
      <c r="O752" t="str">
        <f>TEXT(Table1[[#This Row],[order_date]],"mmm")</f>
        <v>Jan</v>
      </c>
      <c r="P752">
        <f>YEAR(Table1[[#This Row],[order_date]])</f>
        <v>2024</v>
      </c>
    </row>
    <row r="753" spans="1:16" x14ac:dyDescent="0.3">
      <c r="A753">
        <v>10752</v>
      </c>
      <c r="B753" s="1">
        <v>45313</v>
      </c>
      <c r="C753">
        <v>1456</v>
      </c>
      <c r="D753" t="s">
        <v>15</v>
      </c>
      <c r="E753" t="s">
        <v>20</v>
      </c>
      <c r="F753">
        <v>6</v>
      </c>
      <c r="G753">
        <v>539.16999999999996</v>
      </c>
      <c r="H753">
        <v>0.34</v>
      </c>
      <c r="I753" t="s">
        <v>16</v>
      </c>
      <c r="J753">
        <v>4</v>
      </c>
      <c r="K753">
        <v>1.7</v>
      </c>
      <c r="L753">
        <v>2135.11</v>
      </c>
      <c r="M753">
        <f>(Table1[[#This Row],[unit_price]]*Table1[[#This Row],[quantity]])-(Table1[[#This Row],[unit_price]]*Table1[[#This Row],[discount]]*Table1[[#This Row],[quantity]])</f>
        <v>2135.1131999999998</v>
      </c>
      <c r="N753">
        <f>DAY(Table1[[#This Row],[order_date]])</f>
        <v>22</v>
      </c>
      <c r="O753" t="str">
        <f>TEXT(Table1[[#This Row],[order_date]],"mmm")</f>
        <v>Jan</v>
      </c>
      <c r="P753">
        <f>YEAR(Table1[[#This Row],[order_date]])</f>
        <v>2024</v>
      </c>
    </row>
    <row r="754" spans="1:16" x14ac:dyDescent="0.3">
      <c r="A754">
        <v>10753</v>
      </c>
      <c r="B754" s="1">
        <v>45314</v>
      </c>
      <c r="C754">
        <v>1919</v>
      </c>
      <c r="D754" t="s">
        <v>19</v>
      </c>
      <c r="E754" t="s">
        <v>20</v>
      </c>
      <c r="F754">
        <v>1</v>
      </c>
      <c r="G754">
        <v>519.02</v>
      </c>
      <c r="H754">
        <v>0.34</v>
      </c>
      <c r="I754" t="s">
        <v>18</v>
      </c>
      <c r="J754">
        <v>4</v>
      </c>
      <c r="K754">
        <v>3.7</v>
      </c>
      <c r="L754">
        <v>342.55</v>
      </c>
      <c r="M754">
        <f>(Table1[[#This Row],[unit_price]]*Table1[[#This Row],[quantity]])-(Table1[[#This Row],[unit_price]]*Table1[[#This Row],[discount]]*Table1[[#This Row],[quantity]])</f>
        <v>342.55319999999995</v>
      </c>
      <c r="N754">
        <f>DAY(Table1[[#This Row],[order_date]])</f>
        <v>23</v>
      </c>
      <c r="O754" t="str">
        <f>TEXT(Table1[[#This Row],[order_date]],"mmm")</f>
        <v>Jan</v>
      </c>
      <c r="P754">
        <f>YEAR(Table1[[#This Row],[order_date]])</f>
        <v>2024</v>
      </c>
    </row>
    <row r="755" spans="1:16" x14ac:dyDescent="0.3">
      <c r="A755">
        <v>10754</v>
      </c>
      <c r="B755" s="1">
        <v>45315</v>
      </c>
      <c r="C755">
        <v>1191</v>
      </c>
      <c r="D755" t="s">
        <v>22</v>
      </c>
      <c r="E755" t="s">
        <v>21</v>
      </c>
      <c r="F755">
        <v>4</v>
      </c>
      <c r="G755">
        <v>110.96</v>
      </c>
      <c r="H755">
        <v>0.12</v>
      </c>
      <c r="I755" t="s">
        <v>18</v>
      </c>
      <c r="J755">
        <v>9</v>
      </c>
      <c r="K755">
        <v>4.9000000000000004</v>
      </c>
      <c r="L755">
        <v>390.58</v>
      </c>
      <c r="M755">
        <f>(Table1[[#This Row],[unit_price]]*Table1[[#This Row],[quantity]])-(Table1[[#This Row],[unit_price]]*Table1[[#This Row],[discount]]*Table1[[#This Row],[quantity]])</f>
        <v>390.57919999999996</v>
      </c>
      <c r="N755">
        <f>DAY(Table1[[#This Row],[order_date]])</f>
        <v>24</v>
      </c>
      <c r="O755" t="str">
        <f>TEXT(Table1[[#This Row],[order_date]],"mmm")</f>
        <v>Jan</v>
      </c>
      <c r="P755">
        <f>YEAR(Table1[[#This Row],[order_date]])</f>
        <v>2024</v>
      </c>
    </row>
    <row r="756" spans="1:16" x14ac:dyDescent="0.3">
      <c r="A756">
        <v>10755</v>
      </c>
      <c r="B756" s="1">
        <v>45316</v>
      </c>
      <c r="C756">
        <v>1738</v>
      </c>
      <c r="D756" t="s">
        <v>15</v>
      </c>
      <c r="E756" t="s">
        <v>13</v>
      </c>
      <c r="F756">
        <v>3</v>
      </c>
      <c r="G756">
        <v>30.19</v>
      </c>
      <c r="H756">
        <v>0.35</v>
      </c>
      <c r="I756" t="s">
        <v>18</v>
      </c>
      <c r="J756">
        <v>6</v>
      </c>
      <c r="K756">
        <v>2</v>
      </c>
      <c r="L756">
        <v>58.87</v>
      </c>
      <c r="M756">
        <f>(Table1[[#This Row],[unit_price]]*Table1[[#This Row],[quantity]])-(Table1[[#This Row],[unit_price]]*Table1[[#This Row],[discount]]*Table1[[#This Row],[quantity]])</f>
        <v>58.870500000000007</v>
      </c>
      <c r="N756">
        <f>DAY(Table1[[#This Row],[order_date]])</f>
        <v>25</v>
      </c>
      <c r="O756" t="str">
        <f>TEXT(Table1[[#This Row],[order_date]],"mmm")</f>
        <v>Jan</v>
      </c>
      <c r="P756">
        <f>YEAR(Table1[[#This Row],[order_date]])</f>
        <v>2024</v>
      </c>
    </row>
    <row r="757" spans="1:16" x14ac:dyDescent="0.3">
      <c r="A757">
        <v>10756</v>
      </c>
      <c r="B757" s="1">
        <v>45317</v>
      </c>
      <c r="C757">
        <v>1688</v>
      </c>
      <c r="D757" t="s">
        <v>22</v>
      </c>
      <c r="E757" t="s">
        <v>20</v>
      </c>
      <c r="F757">
        <v>6</v>
      </c>
      <c r="G757">
        <v>67.64</v>
      </c>
      <c r="H757">
        <v>0.16</v>
      </c>
      <c r="I757" t="s">
        <v>18</v>
      </c>
      <c r="J757">
        <v>10</v>
      </c>
      <c r="K757">
        <v>1.6</v>
      </c>
      <c r="L757">
        <v>340.91</v>
      </c>
      <c r="M757">
        <f>(Table1[[#This Row],[unit_price]]*Table1[[#This Row],[quantity]])-(Table1[[#This Row],[unit_price]]*Table1[[#This Row],[discount]]*Table1[[#This Row],[quantity]])</f>
        <v>340.90560000000005</v>
      </c>
      <c r="N757">
        <f>DAY(Table1[[#This Row],[order_date]])</f>
        <v>26</v>
      </c>
      <c r="O757" t="str">
        <f>TEXT(Table1[[#This Row],[order_date]],"mmm")</f>
        <v>Jan</v>
      </c>
      <c r="P757">
        <f>YEAR(Table1[[#This Row],[order_date]])</f>
        <v>2024</v>
      </c>
    </row>
    <row r="758" spans="1:16" x14ac:dyDescent="0.3">
      <c r="A758">
        <v>10757</v>
      </c>
      <c r="B758" s="1">
        <v>45318</v>
      </c>
      <c r="C758">
        <v>1098</v>
      </c>
      <c r="D758" t="s">
        <v>22</v>
      </c>
      <c r="E758" t="s">
        <v>13</v>
      </c>
      <c r="F758">
        <v>1</v>
      </c>
      <c r="G758">
        <v>182.63</v>
      </c>
      <c r="H758">
        <v>0.3</v>
      </c>
      <c r="I758" t="s">
        <v>14</v>
      </c>
      <c r="J758">
        <v>9</v>
      </c>
      <c r="K758">
        <v>1.1000000000000001</v>
      </c>
      <c r="L758">
        <v>127.84</v>
      </c>
      <c r="M758">
        <f>(Table1[[#This Row],[unit_price]]*Table1[[#This Row],[quantity]])-(Table1[[#This Row],[unit_price]]*Table1[[#This Row],[discount]]*Table1[[#This Row],[quantity]])</f>
        <v>127.84100000000001</v>
      </c>
      <c r="N758">
        <f>DAY(Table1[[#This Row],[order_date]])</f>
        <v>27</v>
      </c>
      <c r="O758" t="str">
        <f>TEXT(Table1[[#This Row],[order_date]],"mmm")</f>
        <v>Jan</v>
      </c>
      <c r="P758">
        <f>YEAR(Table1[[#This Row],[order_date]])</f>
        <v>2024</v>
      </c>
    </row>
    <row r="759" spans="1:16" x14ac:dyDescent="0.3">
      <c r="A759">
        <v>10758</v>
      </c>
      <c r="B759" s="1">
        <v>45319</v>
      </c>
      <c r="C759">
        <v>1547</v>
      </c>
      <c r="D759" t="s">
        <v>22</v>
      </c>
      <c r="E759" t="s">
        <v>13</v>
      </c>
      <c r="F759">
        <v>1</v>
      </c>
      <c r="G759">
        <v>583.77</v>
      </c>
      <c r="H759">
        <v>0.08</v>
      </c>
      <c r="I759" t="s">
        <v>18</v>
      </c>
      <c r="J759">
        <v>4</v>
      </c>
      <c r="K759">
        <v>2.5</v>
      </c>
      <c r="L759">
        <v>537.07000000000005</v>
      </c>
      <c r="M759">
        <f>(Table1[[#This Row],[unit_price]]*Table1[[#This Row],[quantity]])-(Table1[[#This Row],[unit_price]]*Table1[[#This Row],[discount]]*Table1[[#This Row],[quantity]])</f>
        <v>537.0684</v>
      </c>
      <c r="N759">
        <f>DAY(Table1[[#This Row],[order_date]])</f>
        <v>28</v>
      </c>
      <c r="O759" t="str">
        <f>TEXT(Table1[[#This Row],[order_date]],"mmm")</f>
        <v>Jan</v>
      </c>
      <c r="P759">
        <f>YEAR(Table1[[#This Row],[order_date]])</f>
        <v>2024</v>
      </c>
    </row>
    <row r="760" spans="1:16" x14ac:dyDescent="0.3">
      <c r="A760">
        <v>10759</v>
      </c>
      <c r="B760" s="1">
        <v>45320</v>
      </c>
      <c r="C760">
        <v>1977</v>
      </c>
      <c r="D760" t="s">
        <v>15</v>
      </c>
      <c r="E760" t="s">
        <v>17</v>
      </c>
      <c r="F760">
        <v>7</v>
      </c>
      <c r="G760">
        <v>341.73</v>
      </c>
      <c r="H760">
        <v>0.18</v>
      </c>
      <c r="I760" t="s">
        <v>16</v>
      </c>
      <c r="J760">
        <v>7</v>
      </c>
      <c r="K760">
        <v>1.9</v>
      </c>
      <c r="L760">
        <v>1961.53</v>
      </c>
      <c r="M760">
        <f>(Table1[[#This Row],[unit_price]]*Table1[[#This Row],[quantity]])-(Table1[[#This Row],[unit_price]]*Table1[[#This Row],[discount]]*Table1[[#This Row],[quantity]])</f>
        <v>1961.5302000000001</v>
      </c>
      <c r="N760">
        <f>DAY(Table1[[#This Row],[order_date]])</f>
        <v>29</v>
      </c>
      <c r="O760" t="str">
        <f>TEXT(Table1[[#This Row],[order_date]],"mmm")</f>
        <v>Jan</v>
      </c>
      <c r="P760">
        <f>YEAR(Table1[[#This Row],[order_date]])</f>
        <v>2024</v>
      </c>
    </row>
    <row r="761" spans="1:16" x14ac:dyDescent="0.3">
      <c r="A761">
        <v>10760</v>
      </c>
      <c r="B761" s="1">
        <v>45321</v>
      </c>
      <c r="C761">
        <v>1998</v>
      </c>
      <c r="D761" t="s">
        <v>19</v>
      </c>
      <c r="E761" t="s">
        <v>17</v>
      </c>
      <c r="F761">
        <v>7</v>
      </c>
      <c r="G761">
        <v>233.36</v>
      </c>
      <c r="H761">
        <v>0.34</v>
      </c>
      <c r="I761" t="s">
        <v>16</v>
      </c>
      <c r="J761">
        <v>10</v>
      </c>
      <c r="K761">
        <v>3</v>
      </c>
      <c r="L761">
        <v>1078.1199999999999</v>
      </c>
      <c r="M761">
        <f>(Table1[[#This Row],[unit_price]]*Table1[[#This Row],[quantity]])-(Table1[[#This Row],[unit_price]]*Table1[[#This Row],[discount]]*Table1[[#This Row],[quantity]])</f>
        <v>1078.1232</v>
      </c>
      <c r="N761">
        <f>DAY(Table1[[#This Row],[order_date]])</f>
        <v>30</v>
      </c>
      <c r="O761" t="str">
        <f>TEXT(Table1[[#This Row],[order_date]],"mmm")</f>
        <v>Jan</v>
      </c>
      <c r="P761">
        <f>YEAR(Table1[[#This Row],[order_date]])</f>
        <v>2024</v>
      </c>
    </row>
    <row r="762" spans="1:16" x14ac:dyDescent="0.3">
      <c r="A762">
        <v>10761</v>
      </c>
      <c r="B762" s="1">
        <v>45322</v>
      </c>
      <c r="C762">
        <v>1095</v>
      </c>
      <c r="D762" t="s">
        <v>22</v>
      </c>
      <c r="E762" t="s">
        <v>21</v>
      </c>
      <c r="F762">
        <v>4</v>
      </c>
      <c r="G762">
        <v>534.9</v>
      </c>
      <c r="H762">
        <v>0.33</v>
      </c>
      <c r="I762" t="s">
        <v>18</v>
      </c>
      <c r="J762">
        <v>9</v>
      </c>
      <c r="K762">
        <v>3.1</v>
      </c>
      <c r="L762">
        <v>1433.53</v>
      </c>
      <c r="M762">
        <f>(Table1[[#This Row],[unit_price]]*Table1[[#This Row],[quantity]])-(Table1[[#This Row],[unit_price]]*Table1[[#This Row],[discount]]*Table1[[#This Row],[quantity]])</f>
        <v>1433.5319999999999</v>
      </c>
      <c r="N762">
        <f>DAY(Table1[[#This Row],[order_date]])</f>
        <v>31</v>
      </c>
      <c r="O762" t="str">
        <f>TEXT(Table1[[#This Row],[order_date]],"mmm")</f>
        <v>Jan</v>
      </c>
      <c r="P762">
        <f>YEAR(Table1[[#This Row],[order_date]])</f>
        <v>2024</v>
      </c>
    </row>
    <row r="763" spans="1:16" x14ac:dyDescent="0.3">
      <c r="A763">
        <v>10762</v>
      </c>
      <c r="B763" s="1">
        <v>45323</v>
      </c>
      <c r="C763">
        <v>1663</v>
      </c>
      <c r="D763" t="s">
        <v>15</v>
      </c>
      <c r="E763" t="s">
        <v>13</v>
      </c>
      <c r="F763">
        <v>1</v>
      </c>
      <c r="G763">
        <v>280.08</v>
      </c>
      <c r="H763">
        <v>0.24</v>
      </c>
      <c r="I763" t="s">
        <v>14</v>
      </c>
      <c r="J763">
        <v>10</v>
      </c>
      <c r="K763">
        <v>2.4</v>
      </c>
      <c r="L763">
        <v>212.86</v>
      </c>
      <c r="M763">
        <f>(Table1[[#This Row],[unit_price]]*Table1[[#This Row],[quantity]])-(Table1[[#This Row],[unit_price]]*Table1[[#This Row],[discount]]*Table1[[#This Row],[quantity]])</f>
        <v>212.86079999999998</v>
      </c>
      <c r="N763">
        <f>DAY(Table1[[#This Row],[order_date]])</f>
        <v>1</v>
      </c>
      <c r="O763" t="str">
        <f>TEXT(Table1[[#This Row],[order_date]],"mmm")</f>
        <v>Feb</v>
      </c>
      <c r="P763">
        <f>YEAR(Table1[[#This Row],[order_date]])</f>
        <v>2024</v>
      </c>
    </row>
    <row r="764" spans="1:16" x14ac:dyDescent="0.3">
      <c r="A764">
        <v>10763</v>
      </c>
      <c r="B764" s="1">
        <v>45324</v>
      </c>
      <c r="C764">
        <v>1662</v>
      </c>
      <c r="D764" t="s">
        <v>22</v>
      </c>
      <c r="E764" t="s">
        <v>20</v>
      </c>
      <c r="F764">
        <v>5</v>
      </c>
      <c r="G764">
        <v>199.41</v>
      </c>
      <c r="H764">
        <v>0.28000000000000003</v>
      </c>
      <c r="I764" t="s">
        <v>16</v>
      </c>
      <c r="J764">
        <v>3</v>
      </c>
      <c r="K764">
        <v>4</v>
      </c>
      <c r="L764">
        <v>717.88</v>
      </c>
      <c r="M764">
        <f>(Table1[[#This Row],[unit_price]]*Table1[[#This Row],[quantity]])-(Table1[[#This Row],[unit_price]]*Table1[[#This Row],[discount]]*Table1[[#This Row],[quantity]])</f>
        <v>717.87599999999998</v>
      </c>
      <c r="N764">
        <f>DAY(Table1[[#This Row],[order_date]])</f>
        <v>2</v>
      </c>
      <c r="O764" t="str">
        <f>TEXT(Table1[[#This Row],[order_date]],"mmm")</f>
        <v>Feb</v>
      </c>
      <c r="P764">
        <f>YEAR(Table1[[#This Row],[order_date]])</f>
        <v>2024</v>
      </c>
    </row>
    <row r="765" spans="1:16" x14ac:dyDescent="0.3">
      <c r="A765">
        <v>10764</v>
      </c>
      <c r="B765" s="1">
        <v>45325</v>
      </c>
      <c r="C765">
        <v>1189</v>
      </c>
      <c r="D765" t="s">
        <v>19</v>
      </c>
      <c r="E765" t="s">
        <v>17</v>
      </c>
      <c r="F765">
        <v>1</v>
      </c>
      <c r="G765">
        <v>565.61</v>
      </c>
      <c r="H765">
        <v>0.06</v>
      </c>
      <c r="I765" t="s">
        <v>14</v>
      </c>
      <c r="J765">
        <v>3</v>
      </c>
      <c r="K765">
        <v>4.5999999999999996</v>
      </c>
      <c r="L765">
        <v>531.66999999999996</v>
      </c>
      <c r="M765">
        <f>(Table1[[#This Row],[unit_price]]*Table1[[#This Row],[quantity]])-(Table1[[#This Row],[unit_price]]*Table1[[#This Row],[discount]]*Table1[[#This Row],[quantity]])</f>
        <v>531.67340000000002</v>
      </c>
      <c r="N765">
        <f>DAY(Table1[[#This Row],[order_date]])</f>
        <v>3</v>
      </c>
      <c r="O765" t="str">
        <f>TEXT(Table1[[#This Row],[order_date]],"mmm")</f>
        <v>Feb</v>
      </c>
      <c r="P765">
        <f>YEAR(Table1[[#This Row],[order_date]])</f>
        <v>2024</v>
      </c>
    </row>
    <row r="766" spans="1:16" x14ac:dyDescent="0.3">
      <c r="A766">
        <v>10765</v>
      </c>
      <c r="B766" s="1">
        <v>45326</v>
      </c>
      <c r="C766">
        <v>1735</v>
      </c>
      <c r="D766" t="s">
        <v>19</v>
      </c>
      <c r="E766" t="s">
        <v>17</v>
      </c>
      <c r="F766">
        <v>6</v>
      </c>
      <c r="G766">
        <v>511.97</v>
      </c>
      <c r="H766">
        <v>0.25</v>
      </c>
      <c r="I766" t="s">
        <v>14</v>
      </c>
      <c r="J766">
        <v>6</v>
      </c>
      <c r="K766">
        <v>1.8</v>
      </c>
      <c r="L766">
        <v>2303.87</v>
      </c>
      <c r="M766">
        <f>(Table1[[#This Row],[unit_price]]*Table1[[#This Row],[quantity]])-(Table1[[#This Row],[unit_price]]*Table1[[#This Row],[discount]]*Table1[[#This Row],[quantity]])</f>
        <v>2303.8650000000002</v>
      </c>
      <c r="N766">
        <f>DAY(Table1[[#This Row],[order_date]])</f>
        <v>4</v>
      </c>
      <c r="O766" t="str">
        <f>TEXT(Table1[[#This Row],[order_date]],"mmm")</f>
        <v>Feb</v>
      </c>
      <c r="P766">
        <f>YEAR(Table1[[#This Row],[order_date]])</f>
        <v>2024</v>
      </c>
    </row>
    <row r="767" spans="1:16" x14ac:dyDescent="0.3">
      <c r="A767">
        <v>10766</v>
      </c>
      <c r="B767" s="1">
        <v>45327</v>
      </c>
      <c r="C767">
        <v>1036</v>
      </c>
      <c r="D767" t="s">
        <v>12</v>
      </c>
      <c r="E767" t="s">
        <v>13</v>
      </c>
      <c r="F767">
        <v>7</v>
      </c>
      <c r="G767">
        <v>508.55</v>
      </c>
      <c r="H767">
        <v>0.22</v>
      </c>
      <c r="I767" t="s">
        <v>18</v>
      </c>
      <c r="J767">
        <v>8</v>
      </c>
      <c r="K767">
        <v>4.3</v>
      </c>
      <c r="L767">
        <v>2776.68</v>
      </c>
      <c r="M767">
        <f>(Table1[[#This Row],[unit_price]]*Table1[[#This Row],[quantity]])-(Table1[[#This Row],[unit_price]]*Table1[[#This Row],[discount]]*Table1[[#This Row],[quantity]])</f>
        <v>2776.683</v>
      </c>
      <c r="N767">
        <f>DAY(Table1[[#This Row],[order_date]])</f>
        <v>5</v>
      </c>
      <c r="O767" t="str">
        <f>TEXT(Table1[[#This Row],[order_date]],"mmm")</f>
        <v>Feb</v>
      </c>
      <c r="P767">
        <f>YEAR(Table1[[#This Row],[order_date]])</f>
        <v>2024</v>
      </c>
    </row>
    <row r="768" spans="1:16" x14ac:dyDescent="0.3">
      <c r="A768">
        <v>10767</v>
      </c>
      <c r="B768" s="1">
        <v>45328</v>
      </c>
      <c r="C768">
        <v>1779</v>
      </c>
      <c r="D768" t="s">
        <v>22</v>
      </c>
      <c r="E768" t="s">
        <v>17</v>
      </c>
      <c r="F768">
        <v>5</v>
      </c>
      <c r="G768">
        <v>314.69</v>
      </c>
      <c r="H768">
        <v>0.03</v>
      </c>
      <c r="I768" t="s">
        <v>16</v>
      </c>
      <c r="J768">
        <v>1</v>
      </c>
      <c r="K768">
        <v>1.5</v>
      </c>
      <c r="L768">
        <v>1526.25</v>
      </c>
      <c r="M768">
        <f>(Table1[[#This Row],[unit_price]]*Table1[[#This Row],[quantity]])-(Table1[[#This Row],[unit_price]]*Table1[[#This Row],[discount]]*Table1[[#This Row],[quantity]])</f>
        <v>1526.2465</v>
      </c>
      <c r="N768">
        <f>DAY(Table1[[#This Row],[order_date]])</f>
        <v>6</v>
      </c>
      <c r="O768" t="str">
        <f>TEXT(Table1[[#This Row],[order_date]],"mmm")</f>
        <v>Feb</v>
      </c>
      <c r="P768">
        <f>YEAR(Table1[[#This Row],[order_date]])</f>
        <v>2024</v>
      </c>
    </row>
    <row r="769" spans="1:16" x14ac:dyDescent="0.3">
      <c r="A769">
        <v>10768</v>
      </c>
      <c r="B769" s="1">
        <v>45329</v>
      </c>
      <c r="C769">
        <v>1368</v>
      </c>
      <c r="D769" t="s">
        <v>12</v>
      </c>
      <c r="E769" t="s">
        <v>17</v>
      </c>
      <c r="F769">
        <v>7</v>
      </c>
      <c r="G769">
        <v>476.82</v>
      </c>
      <c r="H769">
        <v>0.04</v>
      </c>
      <c r="I769" t="s">
        <v>16</v>
      </c>
      <c r="J769">
        <v>4</v>
      </c>
      <c r="K769">
        <v>1.9</v>
      </c>
      <c r="L769">
        <v>3204.23</v>
      </c>
      <c r="M769">
        <f>(Table1[[#This Row],[unit_price]]*Table1[[#This Row],[quantity]])-(Table1[[#This Row],[unit_price]]*Table1[[#This Row],[discount]]*Table1[[#This Row],[quantity]])</f>
        <v>3204.2303999999999</v>
      </c>
      <c r="N769">
        <f>DAY(Table1[[#This Row],[order_date]])</f>
        <v>7</v>
      </c>
      <c r="O769" t="str">
        <f>TEXT(Table1[[#This Row],[order_date]],"mmm")</f>
        <v>Feb</v>
      </c>
      <c r="P769">
        <f>YEAR(Table1[[#This Row],[order_date]])</f>
        <v>2024</v>
      </c>
    </row>
    <row r="770" spans="1:16" x14ac:dyDescent="0.3">
      <c r="A770">
        <v>10769</v>
      </c>
      <c r="B770" s="1">
        <v>45330</v>
      </c>
      <c r="C770">
        <v>1694</v>
      </c>
      <c r="D770" t="s">
        <v>22</v>
      </c>
      <c r="E770" t="s">
        <v>20</v>
      </c>
      <c r="F770">
        <v>7</v>
      </c>
      <c r="G770">
        <v>119.92</v>
      </c>
      <c r="H770">
        <v>0.04</v>
      </c>
      <c r="I770" t="s">
        <v>16</v>
      </c>
      <c r="J770">
        <v>8</v>
      </c>
      <c r="K770">
        <v>3.2</v>
      </c>
      <c r="L770">
        <v>805.86</v>
      </c>
      <c r="M770">
        <f>(Table1[[#This Row],[unit_price]]*Table1[[#This Row],[quantity]])-(Table1[[#This Row],[unit_price]]*Table1[[#This Row],[discount]]*Table1[[#This Row],[quantity]])</f>
        <v>805.86240000000009</v>
      </c>
      <c r="N770">
        <f>DAY(Table1[[#This Row],[order_date]])</f>
        <v>8</v>
      </c>
      <c r="O770" t="str">
        <f>TEXT(Table1[[#This Row],[order_date]],"mmm")</f>
        <v>Feb</v>
      </c>
      <c r="P770">
        <f>YEAR(Table1[[#This Row],[order_date]])</f>
        <v>2024</v>
      </c>
    </row>
    <row r="771" spans="1:16" x14ac:dyDescent="0.3">
      <c r="A771">
        <v>10770</v>
      </c>
      <c r="B771" s="1">
        <v>45331</v>
      </c>
      <c r="C771">
        <v>1524</v>
      </c>
      <c r="D771" t="s">
        <v>15</v>
      </c>
      <c r="E771" t="s">
        <v>13</v>
      </c>
      <c r="F771">
        <v>7</v>
      </c>
      <c r="G771">
        <v>350.34</v>
      </c>
      <c r="H771">
        <v>0.25</v>
      </c>
      <c r="I771" t="s">
        <v>16</v>
      </c>
      <c r="J771">
        <v>6</v>
      </c>
      <c r="K771">
        <v>2.2000000000000002</v>
      </c>
      <c r="L771">
        <v>1839.28</v>
      </c>
      <c r="M771">
        <f>(Table1[[#This Row],[unit_price]]*Table1[[#This Row],[quantity]])-(Table1[[#This Row],[unit_price]]*Table1[[#This Row],[discount]]*Table1[[#This Row],[quantity]])</f>
        <v>1839.2849999999999</v>
      </c>
      <c r="N771">
        <f>DAY(Table1[[#This Row],[order_date]])</f>
        <v>9</v>
      </c>
      <c r="O771" t="str">
        <f>TEXT(Table1[[#This Row],[order_date]],"mmm")</f>
        <v>Feb</v>
      </c>
      <c r="P771">
        <f>YEAR(Table1[[#This Row],[order_date]])</f>
        <v>2024</v>
      </c>
    </row>
    <row r="772" spans="1:16" x14ac:dyDescent="0.3">
      <c r="A772">
        <v>10771</v>
      </c>
      <c r="B772" s="1">
        <v>45332</v>
      </c>
      <c r="C772">
        <v>1278</v>
      </c>
      <c r="D772" t="s">
        <v>22</v>
      </c>
      <c r="E772" t="s">
        <v>17</v>
      </c>
      <c r="F772">
        <v>1</v>
      </c>
      <c r="G772">
        <v>590.54999999999995</v>
      </c>
      <c r="H772">
        <v>0.05</v>
      </c>
      <c r="I772" t="s">
        <v>18</v>
      </c>
      <c r="J772">
        <v>2</v>
      </c>
      <c r="K772">
        <v>1.2</v>
      </c>
      <c r="L772">
        <v>561.02</v>
      </c>
      <c r="M772">
        <f>(Table1[[#This Row],[unit_price]]*Table1[[#This Row],[quantity]])-(Table1[[#This Row],[unit_price]]*Table1[[#This Row],[discount]]*Table1[[#This Row],[quantity]])</f>
        <v>561.02249999999992</v>
      </c>
      <c r="N772">
        <f>DAY(Table1[[#This Row],[order_date]])</f>
        <v>10</v>
      </c>
      <c r="O772" t="str">
        <f>TEXT(Table1[[#This Row],[order_date]],"mmm")</f>
        <v>Feb</v>
      </c>
      <c r="P772">
        <f>YEAR(Table1[[#This Row],[order_date]])</f>
        <v>2024</v>
      </c>
    </row>
    <row r="773" spans="1:16" x14ac:dyDescent="0.3">
      <c r="A773">
        <v>10772</v>
      </c>
      <c r="B773" s="1">
        <v>45333</v>
      </c>
      <c r="C773">
        <v>1216</v>
      </c>
      <c r="D773" t="s">
        <v>12</v>
      </c>
      <c r="E773" t="s">
        <v>13</v>
      </c>
      <c r="F773">
        <v>2</v>
      </c>
      <c r="G773">
        <v>185.21</v>
      </c>
      <c r="H773">
        <v>0.16</v>
      </c>
      <c r="I773" t="s">
        <v>16</v>
      </c>
      <c r="J773">
        <v>8</v>
      </c>
      <c r="K773">
        <v>2.2000000000000002</v>
      </c>
      <c r="L773">
        <v>311.14999999999998</v>
      </c>
      <c r="M773">
        <f>(Table1[[#This Row],[unit_price]]*Table1[[#This Row],[quantity]])-(Table1[[#This Row],[unit_price]]*Table1[[#This Row],[discount]]*Table1[[#This Row],[quantity]])</f>
        <v>311.15280000000001</v>
      </c>
      <c r="N773">
        <f>DAY(Table1[[#This Row],[order_date]])</f>
        <v>11</v>
      </c>
      <c r="O773" t="str">
        <f>TEXT(Table1[[#This Row],[order_date]],"mmm")</f>
        <v>Feb</v>
      </c>
      <c r="P773">
        <f>YEAR(Table1[[#This Row],[order_date]])</f>
        <v>2024</v>
      </c>
    </row>
    <row r="774" spans="1:16" x14ac:dyDescent="0.3">
      <c r="A774">
        <v>10773</v>
      </c>
      <c r="B774" s="1">
        <v>45334</v>
      </c>
      <c r="C774">
        <v>1866</v>
      </c>
      <c r="D774" t="s">
        <v>15</v>
      </c>
      <c r="E774" t="s">
        <v>17</v>
      </c>
      <c r="F774">
        <v>1</v>
      </c>
      <c r="G774">
        <v>479.7</v>
      </c>
      <c r="H774">
        <v>0.12</v>
      </c>
      <c r="I774" t="s">
        <v>18</v>
      </c>
      <c r="J774">
        <v>1</v>
      </c>
      <c r="K774">
        <v>4.5999999999999996</v>
      </c>
      <c r="L774">
        <v>422.14</v>
      </c>
      <c r="M774">
        <f>(Table1[[#This Row],[unit_price]]*Table1[[#This Row],[quantity]])-(Table1[[#This Row],[unit_price]]*Table1[[#This Row],[discount]]*Table1[[#This Row],[quantity]])</f>
        <v>422.13599999999997</v>
      </c>
      <c r="N774">
        <f>DAY(Table1[[#This Row],[order_date]])</f>
        <v>12</v>
      </c>
      <c r="O774" t="str">
        <f>TEXT(Table1[[#This Row],[order_date]],"mmm")</f>
        <v>Feb</v>
      </c>
      <c r="P774">
        <f>YEAR(Table1[[#This Row],[order_date]])</f>
        <v>2024</v>
      </c>
    </row>
    <row r="775" spans="1:16" x14ac:dyDescent="0.3">
      <c r="A775">
        <v>10774</v>
      </c>
      <c r="B775" s="1">
        <v>45335</v>
      </c>
      <c r="C775">
        <v>1872</v>
      </c>
      <c r="D775" t="s">
        <v>15</v>
      </c>
      <c r="E775" t="s">
        <v>20</v>
      </c>
      <c r="F775">
        <v>7</v>
      </c>
      <c r="G775">
        <v>301.93</v>
      </c>
      <c r="H775">
        <v>0.19</v>
      </c>
      <c r="I775" t="s">
        <v>16</v>
      </c>
      <c r="J775">
        <v>1</v>
      </c>
      <c r="K775">
        <v>1.7</v>
      </c>
      <c r="L775">
        <v>1711.94</v>
      </c>
      <c r="M775">
        <f>(Table1[[#This Row],[unit_price]]*Table1[[#This Row],[quantity]])-(Table1[[#This Row],[unit_price]]*Table1[[#This Row],[discount]]*Table1[[#This Row],[quantity]])</f>
        <v>1711.9431000000002</v>
      </c>
      <c r="N775">
        <f>DAY(Table1[[#This Row],[order_date]])</f>
        <v>13</v>
      </c>
      <c r="O775" t="str">
        <f>TEXT(Table1[[#This Row],[order_date]],"mmm")</f>
        <v>Feb</v>
      </c>
      <c r="P775">
        <f>YEAR(Table1[[#This Row],[order_date]])</f>
        <v>2024</v>
      </c>
    </row>
    <row r="776" spans="1:16" x14ac:dyDescent="0.3">
      <c r="A776">
        <v>10775</v>
      </c>
      <c r="B776" s="1">
        <v>45336</v>
      </c>
      <c r="C776">
        <v>1797</v>
      </c>
      <c r="D776" t="s">
        <v>19</v>
      </c>
      <c r="E776" t="s">
        <v>13</v>
      </c>
      <c r="F776">
        <v>5</v>
      </c>
      <c r="G776">
        <v>38.29</v>
      </c>
      <c r="H776">
        <v>0.25</v>
      </c>
      <c r="I776" t="s">
        <v>16</v>
      </c>
      <c r="J776">
        <v>7</v>
      </c>
      <c r="K776">
        <v>4.0999999999999996</v>
      </c>
      <c r="L776">
        <v>143.59</v>
      </c>
      <c r="M776">
        <f>(Table1[[#This Row],[unit_price]]*Table1[[#This Row],[quantity]])-(Table1[[#This Row],[unit_price]]*Table1[[#This Row],[discount]]*Table1[[#This Row],[quantity]])</f>
        <v>143.58749999999998</v>
      </c>
      <c r="N776">
        <f>DAY(Table1[[#This Row],[order_date]])</f>
        <v>14</v>
      </c>
      <c r="O776" t="str">
        <f>TEXT(Table1[[#This Row],[order_date]],"mmm")</f>
        <v>Feb</v>
      </c>
      <c r="P776">
        <f>YEAR(Table1[[#This Row],[order_date]])</f>
        <v>2024</v>
      </c>
    </row>
    <row r="777" spans="1:16" x14ac:dyDescent="0.3">
      <c r="A777">
        <v>10776</v>
      </c>
      <c r="B777" s="1">
        <v>45337</v>
      </c>
      <c r="C777">
        <v>1272</v>
      </c>
      <c r="D777" t="s">
        <v>15</v>
      </c>
      <c r="E777" t="s">
        <v>17</v>
      </c>
      <c r="F777">
        <v>1</v>
      </c>
      <c r="G777">
        <v>461.37</v>
      </c>
      <c r="H777">
        <v>0.24</v>
      </c>
      <c r="I777" t="s">
        <v>18</v>
      </c>
      <c r="J777">
        <v>10</v>
      </c>
      <c r="K777">
        <v>3.9</v>
      </c>
      <c r="L777">
        <v>350.64</v>
      </c>
      <c r="M777">
        <f>(Table1[[#This Row],[unit_price]]*Table1[[#This Row],[quantity]])-(Table1[[#This Row],[unit_price]]*Table1[[#This Row],[discount]]*Table1[[#This Row],[quantity]])</f>
        <v>350.64120000000003</v>
      </c>
      <c r="N777">
        <f>DAY(Table1[[#This Row],[order_date]])</f>
        <v>15</v>
      </c>
      <c r="O777" t="str">
        <f>TEXT(Table1[[#This Row],[order_date]],"mmm")</f>
        <v>Feb</v>
      </c>
      <c r="P777">
        <f>YEAR(Table1[[#This Row],[order_date]])</f>
        <v>2024</v>
      </c>
    </row>
    <row r="778" spans="1:16" x14ac:dyDescent="0.3">
      <c r="A778">
        <v>10777</v>
      </c>
      <c r="B778" s="1">
        <v>45338</v>
      </c>
      <c r="C778">
        <v>1880</v>
      </c>
      <c r="D778" t="s">
        <v>22</v>
      </c>
      <c r="E778" t="s">
        <v>20</v>
      </c>
      <c r="F778">
        <v>7</v>
      </c>
      <c r="G778">
        <v>113.61</v>
      </c>
      <c r="H778">
        <v>0.18</v>
      </c>
      <c r="I778" t="s">
        <v>14</v>
      </c>
      <c r="J778">
        <v>3</v>
      </c>
      <c r="K778">
        <v>1.4</v>
      </c>
      <c r="L778">
        <v>652.12</v>
      </c>
      <c r="M778">
        <f>(Table1[[#This Row],[unit_price]]*Table1[[#This Row],[quantity]])-(Table1[[#This Row],[unit_price]]*Table1[[#This Row],[discount]]*Table1[[#This Row],[quantity]])</f>
        <v>652.12139999999999</v>
      </c>
      <c r="N778">
        <f>DAY(Table1[[#This Row],[order_date]])</f>
        <v>16</v>
      </c>
      <c r="O778" t="str">
        <f>TEXT(Table1[[#This Row],[order_date]],"mmm")</f>
        <v>Feb</v>
      </c>
      <c r="P778">
        <f>YEAR(Table1[[#This Row],[order_date]])</f>
        <v>2024</v>
      </c>
    </row>
    <row r="779" spans="1:16" x14ac:dyDescent="0.3">
      <c r="A779">
        <v>10778</v>
      </c>
      <c r="B779" s="1">
        <v>45339</v>
      </c>
      <c r="C779">
        <v>1061</v>
      </c>
      <c r="D779" t="s">
        <v>19</v>
      </c>
      <c r="E779" t="s">
        <v>17</v>
      </c>
      <c r="F779">
        <v>7</v>
      </c>
      <c r="G779">
        <v>384.41</v>
      </c>
      <c r="H779">
        <v>0.16</v>
      </c>
      <c r="I779" t="s">
        <v>18</v>
      </c>
      <c r="J779">
        <v>8</v>
      </c>
      <c r="K779">
        <v>2.2999999999999998</v>
      </c>
      <c r="L779">
        <v>2260.33</v>
      </c>
      <c r="M779">
        <f>(Table1[[#This Row],[unit_price]]*Table1[[#This Row],[quantity]])-(Table1[[#This Row],[unit_price]]*Table1[[#This Row],[discount]]*Table1[[#This Row],[quantity]])</f>
        <v>2260.3308000000002</v>
      </c>
      <c r="N779">
        <f>DAY(Table1[[#This Row],[order_date]])</f>
        <v>17</v>
      </c>
      <c r="O779" t="str">
        <f>TEXT(Table1[[#This Row],[order_date]],"mmm")</f>
        <v>Feb</v>
      </c>
      <c r="P779">
        <f>YEAR(Table1[[#This Row],[order_date]])</f>
        <v>2024</v>
      </c>
    </row>
    <row r="780" spans="1:16" x14ac:dyDescent="0.3">
      <c r="A780">
        <v>10779</v>
      </c>
      <c r="B780" s="1">
        <v>45340</v>
      </c>
      <c r="C780">
        <v>1595</v>
      </c>
      <c r="D780" t="s">
        <v>19</v>
      </c>
      <c r="E780" t="s">
        <v>13</v>
      </c>
      <c r="F780">
        <v>1</v>
      </c>
      <c r="G780">
        <v>65.11</v>
      </c>
      <c r="H780">
        <v>0.14000000000000001</v>
      </c>
      <c r="I780" t="s">
        <v>18</v>
      </c>
      <c r="J780">
        <v>9</v>
      </c>
      <c r="K780">
        <v>1.8</v>
      </c>
      <c r="L780">
        <v>55.99</v>
      </c>
      <c r="M780">
        <f>(Table1[[#This Row],[unit_price]]*Table1[[#This Row],[quantity]])-(Table1[[#This Row],[unit_price]]*Table1[[#This Row],[discount]]*Table1[[#This Row],[quantity]])</f>
        <v>55.994599999999998</v>
      </c>
      <c r="N780">
        <f>DAY(Table1[[#This Row],[order_date]])</f>
        <v>18</v>
      </c>
      <c r="O780" t="str">
        <f>TEXT(Table1[[#This Row],[order_date]],"mmm")</f>
        <v>Feb</v>
      </c>
      <c r="P780">
        <f>YEAR(Table1[[#This Row],[order_date]])</f>
        <v>2024</v>
      </c>
    </row>
    <row r="781" spans="1:16" x14ac:dyDescent="0.3">
      <c r="A781">
        <v>10780</v>
      </c>
      <c r="B781" s="1">
        <v>45341</v>
      </c>
      <c r="C781">
        <v>1879</v>
      </c>
      <c r="D781" t="s">
        <v>19</v>
      </c>
      <c r="E781" t="s">
        <v>17</v>
      </c>
      <c r="F781">
        <v>1</v>
      </c>
      <c r="G781">
        <v>568.91999999999996</v>
      </c>
      <c r="H781">
        <v>0.3</v>
      </c>
      <c r="I781" t="s">
        <v>18</v>
      </c>
      <c r="J781">
        <v>8</v>
      </c>
      <c r="K781">
        <v>1.1000000000000001</v>
      </c>
      <c r="L781">
        <v>398.24</v>
      </c>
      <c r="M781">
        <f>(Table1[[#This Row],[unit_price]]*Table1[[#This Row],[quantity]])-(Table1[[#This Row],[unit_price]]*Table1[[#This Row],[discount]]*Table1[[#This Row],[quantity]])</f>
        <v>398.24399999999997</v>
      </c>
      <c r="N781">
        <f>DAY(Table1[[#This Row],[order_date]])</f>
        <v>19</v>
      </c>
      <c r="O781" t="str">
        <f>TEXT(Table1[[#This Row],[order_date]],"mmm")</f>
        <v>Feb</v>
      </c>
      <c r="P781">
        <f>YEAR(Table1[[#This Row],[order_date]])</f>
        <v>2024</v>
      </c>
    </row>
    <row r="782" spans="1:16" x14ac:dyDescent="0.3">
      <c r="A782">
        <v>10781</v>
      </c>
      <c r="B782" s="1">
        <v>45342</v>
      </c>
      <c r="C782">
        <v>1728</v>
      </c>
      <c r="D782" t="s">
        <v>19</v>
      </c>
      <c r="E782" t="s">
        <v>13</v>
      </c>
      <c r="F782">
        <v>5</v>
      </c>
      <c r="G782">
        <v>185.66</v>
      </c>
      <c r="H782">
        <v>0.12</v>
      </c>
      <c r="I782" t="s">
        <v>18</v>
      </c>
      <c r="J782">
        <v>1</v>
      </c>
      <c r="K782">
        <v>1.7</v>
      </c>
      <c r="L782">
        <v>816.9</v>
      </c>
      <c r="M782">
        <f>(Table1[[#This Row],[unit_price]]*Table1[[#This Row],[quantity]])-(Table1[[#This Row],[unit_price]]*Table1[[#This Row],[discount]]*Table1[[#This Row],[quantity]])</f>
        <v>816.904</v>
      </c>
      <c r="N782">
        <f>DAY(Table1[[#This Row],[order_date]])</f>
        <v>20</v>
      </c>
      <c r="O782" t="str">
        <f>TEXT(Table1[[#This Row],[order_date]],"mmm")</f>
        <v>Feb</v>
      </c>
      <c r="P782">
        <f>YEAR(Table1[[#This Row],[order_date]])</f>
        <v>2024</v>
      </c>
    </row>
    <row r="783" spans="1:16" x14ac:dyDescent="0.3">
      <c r="A783">
        <v>10782</v>
      </c>
      <c r="B783" s="1">
        <v>45343</v>
      </c>
      <c r="C783">
        <v>1341</v>
      </c>
      <c r="D783" t="s">
        <v>19</v>
      </c>
      <c r="E783" t="s">
        <v>13</v>
      </c>
      <c r="F783">
        <v>1</v>
      </c>
      <c r="G783">
        <v>147.47999999999999</v>
      </c>
      <c r="H783">
        <v>0.09</v>
      </c>
      <c r="I783" t="s">
        <v>14</v>
      </c>
      <c r="J783">
        <v>1</v>
      </c>
      <c r="K783">
        <v>1.8</v>
      </c>
      <c r="L783">
        <v>134.21</v>
      </c>
      <c r="M783">
        <f>(Table1[[#This Row],[unit_price]]*Table1[[#This Row],[quantity]])-(Table1[[#This Row],[unit_price]]*Table1[[#This Row],[discount]]*Table1[[#This Row],[quantity]])</f>
        <v>134.20679999999999</v>
      </c>
      <c r="N783">
        <f>DAY(Table1[[#This Row],[order_date]])</f>
        <v>21</v>
      </c>
      <c r="O783" t="str">
        <f>TEXT(Table1[[#This Row],[order_date]],"mmm")</f>
        <v>Feb</v>
      </c>
      <c r="P783">
        <f>YEAR(Table1[[#This Row],[order_date]])</f>
        <v>2024</v>
      </c>
    </row>
    <row r="784" spans="1:16" x14ac:dyDescent="0.3">
      <c r="A784">
        <v>10783</v>
      </c>
      <c r="B784" s="1">
        <v>45344</v>
      </c>
      <c r="C784">
        <v>1396</v>
      </c>
      <c r="D784" t="s">
        <v>15</v>
      </c>
      <c r="E784" t="s">
        <v>17</v>
      </c>
      <c r="F784">
        <v>4</v>
      </c>
      <c r="G784">
        <v>90.54</v>
      </c>
      <c r="H784">
        <v>0.26</v>
      </c>
      <c r="I784" t="s">
        <v>16</v>
      </c>
      <c r="J784">
        <v>6</v>
      </c>
      <c r="K784">
        <v>1.7</v>
      </c>
      <c r="L784">
        <v>268</v>
      </c>
      <c r="M784">
        <f>(Table1[[#This Row],[unit_price]]*Table1[[#This Row],[quantity]])-(Table1[[#This Row],[unit_price]]*Table1[[#This Row],[discount]]*Table1[[#This Row],[quantity]])</f>
        <v>267.9984</v>
      </c>
      <c r="N784">
        <f>DAY(Table1[[#This Row],[order_date]])</f>
        <v>22</v>
      </c>
      <c r="O784" t="str">
        <f>TEXT(Table1[[#This Row],[order_date]],"mmm")</f>
        <v>Feb</v>
      </c>
      <c r="P784">
        <f>YEAR(Table1[[#This Row],[order_date]])</f>
        <v>2024</v>
      </c>
    </row>
    <row r="785" spans="1:16" x14ac:dyDescent="0.3">
      <c r="A785">
        <v>10784</v>
      </c>
      <c r="B785" s="1">
        <v>45345</v>
      </c>
      <c r="C785">
        <v>1698</v>
      </c>
      <c r="D785" t="s">
        <v>12</v>
      </c>
      <c r="E785" t="s">
        <v>20</v>
      </c>
      <c r="F785">
        <v>6</v>
      </c>
      <c r="G785">
        <v>568.41</v>
      </c>
      <c r="H785">
        <v>0.13</v>
      </c>
      <c r="I785" t="s">
        <v>14</v>
      </c>
      <c r="J785">
        <v>1</v>
      </c>
      <c r="K785">
        <v>1.4</v>
      </c>
      <c r="L785">
        <v>2967.1</v>
      </c>
      <c r="M785">
        <f>(Table1[[#This Row],[unit_price]]*Table1[[#This Row],[quantity]])-(Table1[[#This Row],[unit_price]]*Table1[[#This Row],[discount]]*Table1[[#This Row],[quantity]])</f>
        <v>2967.1001999999999</v>
      </c>
      <c r="N785">
        <f>DAY(Table1[[#This Row],[order_date]])</f>
        <v>23</v>
      </c>
      <c r="O785" t="str">
        <f>TEXT(Table1[[#This Row],[order_date]],"mmm")</f>
        <v>Feb</v>
      </c>
      <c r="P785">
        <f>YEAR(Table1[[#This Row],[order_date]])</f>
        <v>2024</v>
      </c>
    </row>
    <row r="786" spans="1:16" x14ac:dyDescent="0.3">
      <c r="A786">
        <v>10785</v>
      </c>
      <c r="B786" s="1">
        <v>45346</v>
      </c>
      <c r="C786">
        <v>1018</v>
      </c>
      <c r="D786" t="s">
        <v>15</v>
      </c>
      <c r="E786" t="s">
        <v>21</v>
      </c>
      <c r="F786">
        <v>4</v>
      </c>
      <c r="G786">
        <v>431.46</v>
      </c>
      <c r="H786">
        <v>0.3</v>
      </c>
      <c r="I786" t="s">
        <v>16</v>
      </c>
      <c r="J786">
        <v>8</v>
      </c>
      <c r="K786">
        <v>3.1</v>
      </c>
      <c r="L786">
        <v>1208.0899999999999</v>
      </c>
      <c r="M786">
        <f>(Table1[[#This Row],[unit_price]]*Table1[[#This Row],[quantity]])-(Table1[[#This Row],[unit_price]]*Table1[[#This Row],[discount]]*Table1[[#This Row],[quantity]])</f>
        <v>1208.088</v>
      </c>
      <c r="N786">
        <f>DAY(Table1[[#This Row],[order_date]])</f>
        <v>24</v>
      </c>
      <c r="O786" t="str">
        <f>TEXT(Table1[[#This Row],[order_date]],"mmm")</f>
        <v>Feb</v>
      </c>
      <c r="P786">
        <f>YEAR(Table1[[#This Row],[order_date]])</f>
        <v>2024</v>
      </c>
    </row>
    <row r="787" spans="1:16" x14ac:dyDescent="0.3">
      <c r="A787">
        <v>10786</v>
      </c>
      <c r="B787" s="1">
        <v>45347</v>
      </c>
      <c r="C787">
        <v>1176</v>
      </c>
      <c r="D787" t="s">
        <v>19</v>
      </c>
      <c r="E787" t="s">
        <v>20</v>
      </c>
      <c r="F787">
        <v>5</v>
      </c>
      <c r="G787">
        <v>448.87</v>
      </c>
      <c r="H787">
        <v>0.11</v>
      </c>
      <c r="I787" t="s">
        <v>14</v>
      </c>
      <c r="J787">
        <v>6</v>
      </c>
      <c r="K787">
        <v>2.2999999999999998</v>
      </c>
      <c r="L787">
        <v>1997.47</v>
      </c>
      <c r="M787">
        <f>(Table1[[#This Row],[unit_price]]*Table1[[#This Row],[quantity]])-(Table1[[#This Row],[unit_price]]*Table1[[#This Row],[discount]]*Table1[[#This Row],[quantity]])</f>
        <v>1997.4714999999999</v>
      </c>
      <c r="N787">
        <f>DAY(Table1[[#This Row],[order_date]])</f>
        <v>25</v>
      </c>
      <c r="O787" t="str">
        <f>TEXT(Table1[[#This Row],[order_date]],"mmm")</f>
        <v>Feb</v>
      </c>
      <c r="P787">
        <f>YEAR(Table1[[#This Row],[order_date]])</f>
        <v>2024</v>
      </c>
    </row>
    <row r="788" spans="1:16" x14ac:dyDescent="0.3">
      <c r="A788">
        <v>10787</v>
      </c>
      <c r="B788" s="1">
        <v>45348</v>
      </c>
      <c r="C788">
        <v>1611</v>
      </c>
      <c r="D788" t="s">
        <v>19</v>
      </c>
      <c r="E788" t="s">
        <v>20</v>
      </c>
      <c r="F788">
        <v>2</v>
      </c>
      <c r="G788">
        <v>307.14999999999998</v>
      </c>
      <c r="H788">
        <v>0.25</v>
      </c>
      <c r="I788" t="s">
        <v>16</v>
      </c>
      <c r="J788">
        <v>5</v>
      </c>
      <c r="K788">
        <v>4.5999999999999996</v>
      </c>
      <c r="L788">
        <v>460.72</v>
      </c>
      <c r="M788">
        <f>(Table1[[#This Row],[unit_price]]*Table1[[#This Row],[quantity]])-(Table1[[#This Row],[unit_price]]*Table1[[#This Row],[discount]]*Table1[[#This Row],[quantity]])</f>
        <v>460.72499999999997</v>
      </c>
      <c r="N788">
        <f>DAY(Table1[[#This Row],[order_date]])</f>
        <v>26</v>
      </c>
      <c r="O788" t="str">
        <f>TEXT(Table1[[#This Row],[order_date]],"mmm")</f>
        <v>Feb</v>
      </c>
      <c r="P788">
        <f>YEAR(Table1[[#This Row],[order_date]])</f>
        <v>2024</v>
      </c>
    </row>
    <row r="789" spans="1:16" x14ac:dyDescent="0.3">
      <c r="A789">
        <v>10788</v>
      </c>
      <c r="B789" s="1">
        <v>45349</v>
      </c>
      <c r="C789">
        <v>1395</v>
      </c>
      <c r="D789" t="s">
        <v>22</v>
      </c>
      <c r="E789" t="s">
        <v>17</v>
      </c>
      <c r="F789">
        <v>4</v>
      </c>
      <c r="G789">
        <v>292.72000000000003</v>
      </c>
      <c r="H789">
        <v>0.02</v>
      </c>
      <c r="I789" t="s">
        <v>14</v>
      </c>
      <c r="J789">
        <v>6</v>
      </c>
      <c r="K789">
        <v>1.7</v>
      </c>
      <c r="L789">
        <v>1147.46</v>
      </c>
      <c r="M789">
        <f>(Table1[[#This Row],[unit_price]]*Table1[[#This Row],[quantity]])-(Table1[[#This Row],[unit_price]]*Table1[[#This Row],[discount]]*Table1[[#This Row],[quantity]])</f>
        <v>1147.4624000000001</v>
      </c>
      <c r="N789">
        <f>DAY(Table1[[#This Row],[order_date]])</f>
        <v>27</v>
      </c>
      <c r="O789" t="str">
        <f>TEXT(Table1[[#This Row],[order_date]],"mmm")</f>
        <v>Feb</v>
      </c>
      <c r="P789">
        <f>YEAR(Table1[[#This Row],[order_date]])</f>
        <v>2024</v>
      </c>
    </row>
    <row r="790" spans="1:16" x14ac:dyDescent="0.3">
      <c r="A790">
        <v>10789</v>
      </c>
      <c r="B790" s="1">
        <v>45350</v>
      </c>
      <c r="C790">
        <v>1444</v>
      </c>
      <c r="D790" t="s">
        <v>15</v>
      </c>
      <c r="E790" t="s">
        <v>20</v>
      </c>
      <c r="F790">
        <v>7</v>
      </c>
      <c r="G790">
        <v>79.36</v>
      </c>
      <c r="H790">
        <v>0.13</v>
      </c>
      <c r="I790" t="s">
        <v>14</v>
      </c>
      <c r="J790">
        <v>4</v>
      </c>
      <c r="K790">
        <v>3.4</v>
      </c>
      <c r="L790">
        <v>483.3</v>
      </c>
      <c r="M790">
        <f>(Table1[[#This Row],[unit_price]]*Table1[[#This Row],[quantity]])-(Table1[[#This Row],[unit_price]]*Table1[[#This Row],[discount]]*Table1[[#This Row],[quantity]])</f>
        <v>483.30239999999998</v>
      </c>
      <c r="N790">
        <f>DAY(Table1[[#This Row],[order_date]])</f>
        <v>28</v>
      </c>
      <c r="O790" t="str">
        <f>TEXT(Table1[[#This Row],[order_date]],"mmm")</f>
        <v>Feb</v>
      </c>
      <c r="P790">
        <f>YEAR(Table1[[#This Row],[order_date]])</f>
        <v>2024</v>
      </c>
    </row>
    <row r="791" spans="1:16" x14ac:dyDescent="0.3">
      <c r="A791">
        <v>10790</v>
      </c>
      <c r="B791" s="1">
        <v>45351</v>
      </c>
      <c r="C791">
        <v>1232</v>
      </c>
      <c r="D791" t="s">
        <v>22</v>
      </c>
      <c r="E791" t="s">
        <v>20</v>
      </c>
      <c r="F791">
        <v>6</v>
      </c>
      <c r="G791">
        <v>342.51</v>
      </c>
      <c r="H791">
        <v>0.12</v>
      </c>
      <c r="I791" t="s">
        <v>16</v>
      </c>
      <c r="J791">
        <v>1</v>
      </c>
      <c r="K791">
        <v>4.5999999999999996</v>
      </c>
      <c r="L791">
        <v>1808.45</v>
      </c>
      <c r="M791">
        <f>(Table1[[#This Row],[unit_price]]*Table1[[#This Row],[quantity]])-(Table1[[#This Row],[unit_price]]*Table1[[#This Row],[discount]]*Table1[[#This Row],[quantity]])</f>
        <v>1808.4528</v>
      </c>
      <c r="N791">
        <f>DAY(Table1[[#This Row],[order_date]])</f>
        <v>29</v>
      </c>
      <c r="O791" t="str">
        <f>TEXT(Table1[[#This Row],[order_date]],"mmm")</f>
        <v>Feb</v>
      </c>
      <c r="P791">
        <f>YEAR(Table1[[#This Row],[order_date]])</f>
        <v>2024</v>
      </c>
    </row>
    <row r="792" spans="1:16" x14ac:dyDescent="0.3">
      <c r="A792">
        <v>10791</v>
      </c>
      <c r="B792" s="1">
        <v>45352</v>
      </c>
      <c r="C792">
        <v>1914</v>
      </c>
      <c r="D792" t="s">
        <v>22</v>
      </c>
      <c r="E792" t="s">
        <v>21</v>
      </c>
      <c r="F792">
        <v>3</v>
      </c>
      <c r="G792">
        <v>159.44999999999999</v>
      </c>
      <c r="H792">
        <v>0.28999999999999998</v>
      </c>
      <c r="I792" t="s">
        <v>14</v>
      </c>
      <c r="J792">
        <v>7</v>
      </c>
      <c r="K792">
        <v>1.2</v>
      </c>
      <c r="L792">
        <v>339.63</v>
      </c>
      <c r="M792">
        <f>(Table1[[#This Row],[unit_price]]*Table1[[#This Row],[quantity]])-(Table1[[#This Row],[unit_price]]*Table1[[#This Row],[discount]]*Table1[[#This Row],[quantity]])</f>
        <v>339.62850000000003</v>
      </c>
      <c r="N792">
        <f>DAY(Table1[[#This Row],[order_date]])</f>
        <v>1</v>
      </c>
      <c r="O792" t="str">
        <f>TEXT(Table1[[#This Row],[order_date]],"mmm")</f>
        <v>Mar</v>
      </c>
      <c r="P792">
        <f>YEAR(Table1[[#This Row],[order_date]])</f>
        <v>2024</v>
      </c>
    </row>
    <row r="793" spans="1:16" x14ac:dyDescent="0.3">
      <c r="A793">
        <v>10792</v>
      </c>
      <c r="B793" s="1">
        <v>45353</v>
      </c>
      <c r="C793">
        <v>1075</v>
      </c>
      <c r="D793" t="s">
        <v>22</v>
      </c>
      <c r="E793" t="s">
        <v>20</v>
      </c>
      <c r="F793">
        <v>6</v>
      </c>
      <c r="G793">
        <v>586.63</v>
      </c>
      <c r="H793">
        <v>0.34</v>
      </c>
      <c r="I793" t="s">
        <v>16</v>
      </c>
      <c r="J793">
        <v>10</v>
      </c>
      <c r="K793">
        <v>3.1</v>
      </c>
      <c r="L793">
        <v>2323.0500000000002</v>
      </c>
      <c r="M793">
        <f>(Table1[[#This Row],[unit_price]]*Table1[[#This Row],[quantity]])-(Table1[[#This Row],[unit_price]]*Table1[[#This Row],[discount]]*Table1[[#This Row],[quantity]])</f>
        <v>2323.0547999999999</v>
      </c>
      <c r="N793">
        <f>DAY(Table1[[#This Row],[order_date]])</f>
        <v>2</v>
      </c>
      <c r="O793" t="str">
        <f>TEXT(Table1[[#This Row],[order_date]],"mmm")</f>
        <v>Mar</v>
      </c>
      <c r="P793">
        <f>YEAR(Table1[[#This Row],[order_date]])</f>
        <v>2024</v>
      </c>
    </row>
    <row r="794" spans="1:16" x14ac:dyDescent="0.3">
      <c r="A794">
        <v>10793</v>
      </c>
      <c r="B794" s="1">
        <v>45354</v>
      </c>
      <c r="C794">
        <v>1264</v>
      </c>
      <c r="D794" t="s">
        <v>19</v>
      </c>
      <c r="E794" t="s">
        <v>21</v>
      </c>
      <c r="F794">
        <v>4</v>
      </c>
      <c r="G794">
        <v>481</v>
      </c>
      <c r="H794">
        <v>0.16</v>
      </c>
      <c r="I794" t="s">
        <v>16</v>
      </c>
      <c r="J794">
        <v>9</v>
      </c>
      <c r="K794">
        <v>2.8</v>
      </c>
      <c r="L794">
        <v>1616.16</v>
      </c>
      <c r="M794">
        <f>(Table1[[#This Row],[unit_price]]*Table1[[#This Row],[quantity]])-(Table1[[#This Row],[unit_price]]*Table1[[#This Row],[discount]]*Table1[[#This Row],[quantity]])</f>
        <v>1616.1599999999999</v>
      </c>
      <c r="N794">
        <f>DAY(Table1[[#This Row],[order_date]])</f>
        <v>3</v>
      </c>
      <c r="O794" t="str">
        <f>TEXT(Table1[[#This Row],[order_date]],"mmm")</f>
        <v>Mar</v>
      </c>
      <c r="P794">
        <f>YEAR(Table1[[#This Row],[order_date]])</f>
        <v>2024</v>
      </c>
    </row>
    <row r="795" spans="1:16" x14ac:dyDescent="0.3">
      <c r="A795">
        <v>10794</v>
      </c>
      <c r="B795" s="1">
        <v>45355</v>
      </c>
      <c r="C795">
        <v>1454</v>
      </c>
      <c r="D795" t="s">
        <v>22</v>
      </c>
      <c r="E795" t="s">
        <v>17</v>
      </c>
      <c r="F795">
        <v>3</v>
      </c>
      <c r="G795">
        <v>256.60000000000002</v>
      </c>
      <c r="H795">
        <v>0.28999999999999998</v>
      </c>
      <c r="I795" t="s">
        <v>16</v>
      </c>
      <c r="J795">
        <v>4</v>
      </c>
      <c r="K795">
        <v>4.7</v>
      </c>
      <c r="L795">
        <v>546.55999999999995</v>
      </c>
      <c r="M795">
        <f>(Table1[[#This Row],[unit_price]]*Table1[[#This Row],[quantity]])-(Table1[[#This Row],[unit_price]]*Table1[[#This Row],[discount]]*Table1[[#This Row],[quantity]])</f>
        <v>546.55799999999999</v>
      </c>
      <c r="N795">
        <f>DAY(Table1[[#This Row],[order_date]])</f>
        <v>4</v>
      </c>
      <c r="O795" t="str">
        <f>TEXT(Table1[[#This Row],[order_date]],"mmm")</f>
        <v>Mar</v>
      </c>
      <c r="P795">
        <f>YEAR(Table1[[#This Row],[order_date]])</f>
        <v>2024</v>
      </c>
    </row>
    <row r="796" spans="1:16" x14ac:dyDescent="0.3">
      <c r="A796">
        <v>10795</v>
      </c>
      <c r="B796" s="1">
        <v>45356</v>
      </c>
      <c r="C796">
        <v>1795</v>
      </c>
      <c r="D796" t="s">
        <v>19</v>
      </c>
      <c r="E796" t="s">
        <v>21</v>
      </c>
      <c r="F796">
        <v>5</v>
      </c>
      <c r="G796">
        <v>103.53</v>
      </c>
      <c r="H796">
        <v>0.24</v>
      </c>
      <c r="I796" t="s">
        <v>14</v>
      </c>
      <c r="J796">
        <v>4</v>
      </c>
      <c r="K796">
        <v>3.7</v>
      </c>
      <c r="L796">
        <v>393.41</v>
      </c>
      <c r="M796">
        <f>(Table1[[#This Row],[unit_price]]*Table1[[#This Row],[quantity]])-(Table1[[#This Row],[unit_price]]*Table1[[#This Row],[discount]]*Table1[[#This Row],[quantity]])</f>
        <v>393.41399999999999</v>
      </c>
      <c r="N796">
        <f>DAY(Table1[[#This Row],[order_date]])</f>
        <v>5</v>
      </c>
      <c r="O796" t="str">
        <f>TEXT(Table1[[#This Row],[order_date]],"mmm")</f>
        <v>Mar</v>
      </c>
      <c r="P796">
        <f>YEAR(Table1[[#This Row],[order_date]])</f>
        <v>2024</v>
      </c>
    </row>
    <row r="797" spans="1:16" x14ac:dyDescent="0.3">
      <c r="A797">
        <v>10796</v>
      </c>
      <c r="B797" s="1">
        <v>45357</v>
      </c>
      <c r="C797">
        <v>1717</v>
      </c>
      <c r="D797" t="s">
        <v>12</v>
      </c>
      <c r="E797" t="s">
        <v>13</v>
      </c>
      <c r="F797">
        <v>6</v>
      </c>
      <c r="G797">
        <v>474.42</v>
      </c>
      <c r="H797">
        <v>0.34</v>
      </c>
      <c r="I797" t="s">
        <v>18</v>
      </c>
      <c r="J797">
        <v>9</v>
      </c>
      <c r="K797">
        <v>2.4</v>
      </c>
      <c r="L797">
        <v>1878.7</v>
      </c>
      <c r="M797">
        <f>(Table1[[#This Row],[unit_price]]*Table1[[#This Row],[quantity]])-(Table1[[#This Row],[unit_price]]*Table1[[#This Row],[discount]]*Table1[[#This Row],[quantity]])</f>
        <v>1878.7031999999999</v>
      </c>
      <c r="N797">
        <f>DAY(Table1[[#This Row],[order_date]])</f>
        <v>6</v>
      </c>
      <c r="O797" t="str">
        <f>TEXT(Table1[[#This Row],[order_date]],"mmm")</f>
        <v>Mar</v>
      </c>
      <c r="P797">
        <f>YEAR(Table1[[#This Row],[order_date]])</f>
        <v>2024</v>
      </c>
    </row>
    <row r="798" spans="1:16" x14ac:dyDescent="0.3">
      <c r="A798">
        <v>10797</v>
      </c>
      <c r="B798" s="1">
        <v>45358</v>
      </c>
      <c r="C798">
        <v>1734</v>
      </c>
      <c r="D798" t="s">
        <v>15</v>
      </c>
      <c r="E798" t="s">
        <v>13</v>
      </c>
      <c r="F798">
        <v>2</v>
      </c>
      <c r="G798">
        <v>86.4</v>
      </c>
      <c r="H798">
        <v>0.28000000000000003</v>
      </c>
      <c r="I798" t="s">
        <v>18</v>
      </c>
      <c r="J798">
        <v>4</v>
      </c>
      <c r="K798">
        <v>3.8</v>
      </c>
      <c r="L798">
        <v>124.42</v>
      </c>
      <c r="M798">
        <f>(Table1[[#This Row],[unit_price]]*Table1[[#This Row],[quantity]])-(Table1[[#This Row],[unit_price]]*Table1[[#This Row],[discount]]*Table1[[#This Row],[quantity]])</f>
        <v>124.416</v>
      </c>
      <c r="N798">
        <f>DAY(Table1[[#This Row],[order_date]])</f>
        <v>7</v>
      </c>
      <c r="O798" t="str">
        <f>TEXT(Table1[[#This Row],[order_date]],"mmm")</f>
        <v>Mar</v>
      </c>
      <c r="P798">
        <f>YEAR(Table1[[#This Row],[order_date]])</f>
        <v>2024</v>
      </c>
    </row>
    <row r="799" spans="1:16" x14ac:dyDescent="0.3">
      <c r="A799">
        <v>10798</v>
      </c>
      <c r="B799" s="1">
        <v>45359</v>
      </c>
      <c r="C799">
        <v>1383</v>
      </c>
      <c r="D799" t="s">
        <v>19</v>
      </c>
      <c r="E799" t="s">
        <v>21</v>
      </c>
      <c r="F799">
        <v>3</v>
      </c>
      <c r="G799">
        <v>125.76</v>
      </c>
      <c r="H799">
        <v>0.03</v>
      </c>
      <c r="I799" t="s">
        <v>18</v>
      </c>
      <c r="J799">
        <v>10</v>
      </c>
      <c r="K799">
        <v>3.3</v>
      </c>
      <c r="L799">
        <v>365.96</v>
      </c>
      <c r="M799">
        <f>(Table1[[#This Row],[unit_price]]*Table1[[#This Row],[quantity]])-(Table1[[#This Row],[unit_price]]*Table1[[#This Row],[discount]]*Table1[[#This Row],[quantity]])</f>
        <v>365.96160000000003</v>
      </c>
      <c r="N799">
        <f>DAY(Table1[[#This Row],[order_date]])</f>
        <v>8</v>
      </c>
      <c r="O799" t="str">
        <f>TEXT(Table1[[#This Row],[order_date]],"mmm")</f>
        <v>Mar</v>
      </c>
      <c r="P799">
        <f>YEAR(Table1[[#This Row],[order_date]])</f>
        <v>2024</v>
      </c>
    </row>
    <row r="800" spans="1:16" x14ac:dyDescent="0.3">
      <c r="A800">
        <v>10799</v>
      </c>
      <c r="B800" s="1">
        <v>45360</v>
      </c>
      <c r="C800">
        <v>1563</v>
      </c>
      <c r="D800" t="s">
        <v>19</v>
      </c>
      <c r="E800" t="s">
        <v>13</v>
      </c>
      <c r="F800">
        <v>3</v>
      </c>
      <c r="G800">
        <v>138.74</v>
      </c>
      <c r="H800">
        <v>0.25</v>
      </c>
      <c r="I800" t="s">
        <v>14</v>
      </c>
      <c r="J800">
        <v>4</v>
      </c>
      <c r="K800">
        <v>2.4</v>
      </c>
      <c r="L800">
        <v>312.17</v>
      </c>
      <c r="M800">
        <f>(Table1[[#This Row],[unit_price]]*Table1[[#This Row],[quantity]])-(Table1[[#This Row],[unit_price]]*Table1[[#This Row],[discount]]*Table1[[#This Row],[quantity]])</f>
        <v>312.16500000000002</v>
      </c>
      <c r="N800">
        <f>DAY(Table1[[#This Row],[order_date]])</f>
        <v>9</v>
      </c>
      <c r="O800" t="str">
        <f>TEXT(Table1[[#This Row],[order_date]],"mmm")</f>
        <v>Mar</v>
      </c>
      <c r="P800">
        <f>YEAR(Table1[[#This Row],[order_date]])</f>
        <v>2024</v>
      </c>
    </row>
    <row r="801" spans="1:16" x14ac:dyDescent="0.3">
      <c r="A801">
        <v>10800</v>
      </c>
      <c r="B801" s="1">
        <v>45361</v>
      </c>
      <c r="C801">
        <v>1850</v>
      </c>
      <c r="D801" t="s">
        <v>19</v>
      </c>
      <c r="E801" t="s">
        <v>17</v>
      </c>
      <c r="F801">
        <v>6</v>
      </c>
      <c r="G801">
        <v>340.78</v>
      </c>
      <c r="H801">
        <v>0.19</v>
      </c>
      <c r="I801" t="s">
        <v>18</v>
      </c>
      <c r="J801">
        <v>8</v>
      </c>
      <c r="K801">
        <v>4.0999999999999996</v>
      </c>
      <c r="L801">
        <v>1656.19</v>
      </c>
      <c r="M801">
        <f>(Table1[[#This Row],[unit_price]]*Table1[[#This Row],[quantity]])-(Table1[[#This Row],[unit_price]]*Table1[[#This Row],[discount]]*Table1[[#This Row],[quantity]])</f>
        <v>1656.1907999999999</v>
      </c>
      <c r="N801">
        <f>DAY(Table1[[#This Row],[order_date]])</f>
        <v>10</v>
      </c>
      <c r="O801" t="str">
        <f>TEXT(Table1[[#This Row],[order_date]],"mmm")</f>
        <v>Mar</v>
      </c>
      <c r="P801">
        <f>YEAR(Table1[[#This Row],[order_date]])</f>
        <v>2024</v>
      </c>
    </row>
    <row r="802" spans="1:16" x14ac:dyDescent="0.3">
      <c r="A802">
        <v>10801</v>
      </c>
      <c r="B802" s="1">
        <v>45362</v>
      </c>
      <c r="C802">
        <v>1505</v>
      </c>
      <c r="D802" t="s">
        <v>22</v>
      </c>
      <c r="E802" t="s">
        <v>13</v>
      </c>
      <c r="F802">
        <v>4</v>
      </c>
      <c r="G802">
        <v>475.43</v>
      </c>
      <c r="H802">
        <v>0.01</v>
      </c>
      <c r="I802" t="s">
        <v>16</v>
      </c>
      <c r="J802">
        <v>11</v>
      </c>
      <c r="K802">
        <v>3.7</v>
      </c>
      <c r="L802">
        <v>1882.7</v>
      </c>
      <c r="M802">
        <f>(Table1[[#This Row],[unit_price]]*Table1[[#This Row],[quantity]])-(Table1[[#This Row],[unit_price]]*Table1[[#This Row],[discount]]*Table1[[#This Row],[quantity]])</f>
        <v>1882.7028</v>
      </c>
      <c r="N802">
        <f>DAY(Table1[[#This Row],[order_date]])</f>
        <v>11</v>
      </c>
      <c r="O802" t="str">
        <f>TEXT(Table1[[#This Row],[order_date]],"mmm")</f>
        <v>Mar</v>
      </c>
      <c r="P802">
        <f>YEAR(Table1[[#This Row],[order_date]])</f>
        <v>2024</v>
      </c>
    </row>
    <row r="803" spans="1:16" x14ac:dyDescent="0.3">
      <c r="A803">
        <v>10802</v>
      </c>
      <c r="B803" s="1">
        <v>45363</v>
      </c>
      <c r="C803">
        <v>1366</v>
      </c>
      <c r="D803" t="s">
        <v>19</v>
      </c>
      <c r="E803" t="s">
        <v>21</v>
      </c>
      <c r="F803">
        <v>3</v>
      </c>
      <c r="G803">
        <v>198.87</v>
      </c>
      <c r="H803">
        <v>0.09</v>
      </c>
      <c r="I803" t="s">
        <v>16</v>
      </c>
      <c r="J803">
        <v>4</v>
      </c>
      <c r="K803">
        <v>1</v>
      </c>
      <c r="L803">
        <v>542.91999999999996</v>
      </c>
      <c r="M803">
        <f>(Table1[[#This Row],[unit_price]]*Table1[[#This Row],[quantity]])-(Table1[[#This Row],[unit_price]]*Table1[[#This Row],[discount]]*Table1[[#This Row],[quantity]])</f>
        <v>542.91510000000005</v>
      </c>
      <c r="N803">
        <f>DAY(Table1[[#This Row],[order_date]])</f>
        <v>12</v>
      </c>
      <c r="O803" t="str">
        <f>TEXT(Table1[[#This Row],[order_date]],"mmm")</f>
        <v>Mar</v>
      </c>
      <c r="P803">
        <f>YEAR(Table1[[#This Row],[order_date]])</f>
        <v>2024</v>
      </c>
    </row>
    <row r="804" spans="1:16" x14ac:dyDescent="0.3">
      <c r="A804">
        <v>10803</v>
      </c>
      <c r="B804" s="1">
        <v>45364</v>
      </c>
      <c r="C804">
        <v>1143</v>
      </c>
      <c r="D804" t="s">
        <v>15</v>
      </c>
      <c r="E804" t="s">
        <v>17</v>
      </c>
      <c r="F804">
        <v>5</v>
      </c>
      <c r="G804">
        <v>64.53</v>
      </c>
      <c r="H804">
        <v>0.32</v>
      </c>
      <c r="I804" t="s">
        <v>16</v>
      </c>
      <c r="J804">
        <v>9</v>
      </c>
      <c r="K804">
        <v>4.5</v>
      </c>
      <c r="L804">
        <v>219.4</v>
      </c>
      <c r="M804">
        <f>(Table1[[#This Row],[unit_price]]*Table1[[#This Row],[quantity]])-(Table1[[#This Row],[unit_price]]*Table1[[#This Row],[discount]]*Table1[[#This Row],[quantity]])</f>
        <v>219.40199999999999</v>
      </c>
      <c r="N804">
        <f>DAY(Table1[[#This Row],[order_date]])</f>
        <v>13</v>
      </c>
      <c r="O804" t="str">
        <f>TEXT(Table1[[#This Row],[order_date]],"mmm")</f>
        <v>Mar</v>
      </c>
      <c r="P804">
        <f>YEAR(Table1[[#This Row],[order_date]])</f>
        <v>2024</v>
      </c>
    </row>
    <row r="805" spans="1:16" x14ac:dyDescent="0.3">
      <c r="A805">
        <v>10804</v>
      </c>
      <c r="B805" s="1">
        <v>45365</v>
      </c>
      <c r="C805">
        <v>1884</v>
      </c>
      <c r="D805" t="s">
        <v>19</v>
      </c>
      <c r="E805" t="s">
        <v>13</v>
      </c>
      <c r="F805">
        <v>6</v>
      </c>
      <c r="G805">
        <v>286.76</v>
      </c>
      <c r="H805">
        <v>0.32</v>
      </c>
      <c r="I805" t="s">
        <v>18</v>
      </c>
      <c r="J805">
        <v>11</v>
      </c>
      <c r="K805">
        <v>2.6</v>
      </c>
      <c r="L805">
        <v>1169.98</v>
      </c>
      <c r="M805">
        <f>(Table1[[#This Row],[unit_price]]*Table1[[#This Row],[quantity]])-(Table1[[#This Row],[unit_price]]*Table1[[#This Row],[discount]]*Table1[[#This Row],[quantity]])</f>
        <v>1169.9807999999998</v>
      </c>
      <c r="N805">
        <f>DAY(Table1[[#This Row],[order_date]])</f>
        <v>14</v>
      </c>
      <c r="O805" t="str">
        <f>TEXT(Table1[[#This Row],[order_date]],"mmm")</f>
        <v>Mar</v>
      </c>
      <c r="P805">
        <f>YEAR(Table1[[#This Row],[order_date]])</f>
        <v>2024</v>
      </c>
    </row>
    <row r="806" spans="1:16" x14ac:dyDescent="0.3">
      <c r="A806">
        <v>10805</v>
      </c>
      <c r="B806" s="1">
        <v>45366</v>
      </c>
      <c r="C806">
        <v>1068</v>
      </c>
      <c r="D806" t="s">
        <v>22</v>
      </c>
      <c r="E806" t="s">
        <v>17</v>
      </c>
      <c r="F806">
        <v>5</v>
      </c>
      <c r="G806">
        <v>452.64</v>
      </c>
      <c r="H806">
        <v>0.28000000000000003</v>
      </c>
      <c r="I806" t="s">
        <v>16</v>
      </c>
      <c r="J806">
        <v>8</v>
      </c>
      <c r="K806">
        <v>3.6</v>
      </c>
      <c r="L806">
        <v>1629.5</v>
      </c>
      <c r="M806">
        <f>(Table1[[#This Row],[unit_price]]*Table1[[#This Row],[quantity]])-(Table1[[#This Row],[unit_price]]*Table1[[#This Row],[discount]]*Table1[[#This Row],[quantity]])</f>
        <v>1629.5039999999999</v>
      </c>
      <c r="N806">
        <f>DAY(Table1[[#This Row],[order_date]])</f>
        <v>15</v>
      </c>
      <c r="O806" t="str">
        <f>TEXT(Table1[[#This Row],[order_date]],"mmm")</f>
        <v>Mar</v>
      </c>
      <c r="P806">
        <f>YEAR(Table1[[#This Row],[order_date]])</f>
        <v>2024</v>
      </c>
    </row>
    <row r="807" spans="1:16" x14ac:dyDescent="0.3">
      <c r="A807">
        <v>10806</v>
      </c>
      <c r="B807" s="1">
        <v>45367</v>
      </c>
      <c r="C807">
        <v>1098</v>
      </c>
      <c r="D807" t="s">
        <v>22</v>
      </c>
      <c r="E807" t="s">
        <v>21</v>
      </c>
      <c r="F807">
        <v>6</v>
      </c>
      <c r="G807">
        <v>144.66999999999999</v>
      </c>
      <c r="H807">
        <v>0.34</v>
      </c>
      <c r="I807" t="s">
        <v>16</v>
      </c>
      <c r="J807">
        <v>5</v>
      </c>
      <c r="K807">
        <v>2.6</v>
      </c>
      <c r="L807">
        <v>572.89</v>
      </c>
      <c r="M807">
        <f>(Table1[[#This Row],[unit_price]]*Table1[[#This Row],[quantity]])-(Table1[[#This Row],[unit_price]]*Table1[[#This Row],[discount]]*Table1[[#This Row],[quantity]])</f>
        <v>572.89319999999998</v>
      </c>
      <c r="N807">
        <f>DAY(Table1[[#This Row],[order_date]])</f>
        <v>16</v>
      </c>
      <c r="O807" t="str">
        <f>TEXT(Table1[[#This Row],[order_date]],"mmm")</f>
        <v>Mar</v>
      </c>
      <c r="P807">
        <f>YEAR(Table1[[#This Row],[order_date]])</f>
        <v>2024</v>
      </c>
    </row>
    <row r="808" spans="1:16" x14ac:dyDescent="0.3">
      <c r="A808">
        <v>10807</v>
      </c>
      <c r="B808" s="1">
        <v>45368</v>
      </c>
      <c r="C808">
        <v>1395</v>
      </c>
      <c r="D808" t="s">
        <v>22</v>
      </c>
      <c r="E808" t="s">
        <v>13</v>
      </c>
      <c r="F808">
        <v>5</v>
      </c>
      <c r="G808">
        <v>143.66</v>
      </c>
      <c r="H808">
        <v>0.28000000000000003</v>
      </c>
      <c r="I808" t="s">
        <v>14</v>
      </c>
      <c r="J808">
        <v>9</v>
      </c>
      <c r="K808">
        <v>4.5</v>
      </c>
      <c r="L808">
        <v>517.17999999999995</v>
      </c>
      <c r="M808">
        <f>(Table1[[#This Row],[unit_price]]*Table1[[#This Row],[quantity]])-(Table1[[#This Row],[unit_price]]*Table1[[#This Row],[discount]]*Table1[[#This Row],[quantity]])</f>
        <v>517.17599999999993</v>
      </c>
      <c r="N808">
        <f>DAY(Table1[[#This Row],[order_date]])</f>
        <v>17</v>
      </c>
      <c r="O808" t="str">
        <f>TEXT(Table1[[#This Row],[order_date]],"mmm")</f>
        <v>Mar</v>
      </c>
      <c r="P808">
        <f>YEAR(Table1[[#This Row],[order_date]])</f>
        <v>2024</v>
      </c>
    </row>
    <row r="809" spans="1:16" x14ac:dyDescent="0.3">
      <c r="A809">
        <v>10808</v>
      </c>
      <c r="B809" s="1">
        <v>45369</v>
      </c>
      <c r="C809">
        <v>1024</v>
      </c>
      <c r="D809" t="s">
        <v>22</v>
      </c>
      <c r="E809" t="s">
        <v>17</v>
      </c>
      <c r="F809">
        <v>4</v>
      </c>
      <c r="G809">
        <v>569.13</v>
      </c>
      <c r="H809">
        <v>0</v>
      </c>
      <c r="I809" t="s">
        <v>16</v>
      </c>
      <c r="J809">
        <v>8</v>
      </c>
      <c r="K809">
        <v>3.6</v>
      </c>
      <c r="L809">
        <v>2276.52</v>
      </c>
      <c r="M809">
        <f>(Table1[[#This Row],[unit_price]]*Table1[[#This Row],[quantity]])-(Table1[[#This Row],[unit_price]]*Table1[[#This Row],[discount]]*Table1[[#This Row],[quantity]])</f>
        <v>2276.52</v>
      </c>
      <c r="N809">
        <f>DAY(Table1[[#This Row],[order_date]])</f>
        <v>18</v>
      </c>
      <c r="O809" t="str">
        <f>TEXT(Table1[[#This Row],[order_date]],"mmm")</f>
        <v>Mar</v>
      </c>
      <c r="P809">
        <f>YEAR(Table1[[#This Row],[order_date]])</f>
        <v>2024</v>
      </c>
    </row>
    <row r="810" spans="1:16" x14ac:dyDescent="0.3">
      <c r="A810">
        <v>10809</v>
      </c>
      <c r="B810" s="1">
        <v>45370</v>
      </c>
      <c r="C810">
        <v>1947</v>
      </c>
      <c r="D810" t="s">
        <v>19</v>
      </c>
      <c r="E810" t="s">
        <v>17</v>
      </c>
      <c r="F810">
        <v>6</v>
      </c>
      <c r="G810">
        <v>573.17999999999995</v>
      </c>
      <c r="H810">
        <v>0.1</v>
      </c>
      <c r="I810" t="s">
        <v>18</v>
      </c>
      <c r="J810">
        <v>10</v>
      </c>
      <c r="K810">
        <v>3.3</v>
      </c>
      <c r="L810">
        <v>3095.17</v>
      </c>
      <c r="M810">
        <f>(Table1[[#This Row],[unit_price]]*Table1[[#This Row],[quantity]])-(Table1[[#This Row],[unit_price]]*Table1[[#This Row],[discount]]*Table1[[#This Row],[quantity]])</f>
        <v>3095.172</v>
      </c>
      <c r="N810">
        <f>DAY(Table1[[#This Row],[order_date]])</f>
        <v>19</v>
      </c>
      <c r="O810" t="str">
        <f>TEXT(Table1[[#This Row],[order_date]],"mmm")</f>
        <v>Mar</v>
      </c>
      <c r="P810">
        <f>YEAR(Table1[[#This Row],[order_date]])</f>
        <v>2024</v>
      </c>
    </row>
    <row r="811" spans="1:16" x14ac:dyDescent="0.3">
      <c r="A811">
        <v>10810</v>
      </c>
      <c r="B811" s="1">
        <v>45371</v>
      </c>
      <c r="C811">
        <v>1890</v>
      </c>
      <c r="D811" t="s">
        <v>19</v>
      </c>
      <c r="E811" t="s">
        <v>13</v>
      </c>
      <c r="F811">
        <v>7</v>
      </c>
      <c r="G811">
        <v>594.41999999999996</v>
      </c>
      <c r="H811">
        <v>0.01</v>
      </c>
      <c r="I811" t="s">
        <v>16</v>
      </c>
      <c r="J811">
        <v>4</v>
      </c>
      <c r="K811">
        <v>4.9000000000000004</v>
      </c>
      <c r="L811">
        <v>4119.33</v>
      </c>
      <c r="M811">
        <f>(Table1[[#This Row],[unit_price]]*Table1[[#This Row],[quantity]])-(Table1[[#This Row],[unit_price]]*Table1[[#This Row],[discount]]*Table1[[#This Row],[quantity]])</f>
        <v>4119.3305999999993</v>
      </c>
      <c r="N811">
        <f>DAY(Table1[[#This Row],[order_date]])</f>
        <v>20</v>
      </c>
      <c r="O811" t="str">
        <f>TEXT(Table1[[#This Row],[order_date]],"mmm")</f>
        <v>Mar</v>
      </c>
      <c r="P811">
        <f>YEAR(Table1[[#This Row],[order_date]])</f>
        <v>2024</v>
      </c>
    </row>
    <row r="812" spans="1:16" x14ac:dyDescent="0.3">
      <c r="A812">
        <v>10811</v>
      </c>
      <c r="B812" s="1">
        <v>45372</v>
      </c>
      <c r="C812">
        <v>1468</v>
      </c>
      <c r="D812" t="s">
        <v>22</v>
      </c>
      <c r="E812" t="s">
        <v>17</v>
      </c>
      <c r="F812">
        <v>2</v>
      </c>
      <c r="G812">
        <v>487.48</v>
      </c>
      <c r="H812">
        <v>0.03</v>
      </c>
      <c r="I812" t="s">
        <v>16</v>
      </c>
      <c r="J812">
        <v>4</v>
      </c>
      <c r="K812">
        <v>2.1</v>
      </c>
      <c r="L812">
        <v>945.71</v>
      </c>
      <c r="M812">
        <f>(Table1[[#This Row],[unit_price]]*Table1[[#This Row],[quantity]])-(Table1[[#This Row],[unit_price]]*Table1[[#This Row],[discount]]*Table1[[#This Row],[quantity]])</f>
        <v>945.71120000000008</v>
      </c>
      <c r="N812">
        <f>DAY(Table1[[#This Row],[order_date]])</f>
        <v>21</v>
      </c>
      <c r="O812" t="str">
        <f>TEXT(Table1[[#This Row],[order_date]],"mmm")</f>
        <v>Mar</v>
      </c>
      <c r="P812">
        <f>YEAR(Table1[[#This Row],[order_date]])</f>
        <v>2024</v>
      </c>
    </row>
    <row r="813" spans="1:16" x14ac:dyDescent="0.3">
      <c r="A813">
        <v>10812</v>
      </c>
      <c r="B813" s="1">
        <v>45373</v>
      </c>
      <c r="C813">
        <v>1483</v>
      </c>
      <c r="D813" t="s">
        <v>15</v>
      </c>
      <c r="E813" t="s">
        <v>17</v>
      </c>
      <c r="F813">
        <v>4</v>
      </c>
      <c r="G813">
        <v>125.09</v>
      </c>
      <c r="H813">
        <v>0.08</v>
      </c>
      <c r="I813" t="s">
        <v>16</v>
      </c>
      <c r="J813">
        <v>1</v>
      </c>
      <c r="K813">
        <v>1.3</v>
      </c>
      <c r="L813">
        <v>460.33</v>
      </c>
      <c r="M813">
        <f>(Table1[[#This Row],[unit_price]]*Table1[[#This Row],[quantity]])-(Table1[[#This Row],[unit_price]]*Table1[[#This Row],[discount]]*Table1[[#This Row],[quantity]])</f>
        <v>460.33120000000002</v>
      </c>
      <c r="N813">
        <f>DAY(Table1[[#This Row],[order_date]])</f>
        <v>22</v>
      </c>
      <c r="O813" t="str">
        <f>TEXT(Table1[[#This Row],[order_date]],"mmm")</f>
        <v>Mar</v>
      </c>
      <c r="P813">
        <f>YEAR(Table1[[#This Row],[order_date]])</f>
        <v>2024</v>
      </c>
    </row>
    <row r="814" spans="1:16" x14ac:dyDescent="0.3">
      <c r="A814">
        <v>10813</v>
      </c>
      <c r="B814" s="1">
        <v>45374</v>
      </c>
      <c r="C814">
        <v>1564</v>
      </c>
      <c r="D814" t="s">
        <v>15</v>
      </c>
      <c r="E814" t="s">
        <v>21</v>
      </c>
      <c r="F814">
        <v>5</v>
      </c>
      <c r="G814">
        <v>139.01</v>
      </c>
      <c r="H814">
        <v>0.18</v>
      </c>
      <c r="I814" t="s">
        <v>16</v>
      </c>
      <c r="J814">
        <v>4</v>
      </c>
      <c r="K814">
        <v>3.1</v>
      </c>
      <c r="L814">
        <v>569.94000000000005</v>
      </c>
      <c r="M814">
        <f>(Table1[[#This Row],[unit_price]]*Table1[[#This Row],[quantity]])-(Table1[[#This Row],[unit_price]]*Table1[[#This Row],[discount]]*Table1[[#This Row],[quantity]])</f>
        <v>569.94099999999992</v>
      </c>
      <c r="N814">
        <f>DAY(Table1[[#This Row],[order_date]])</f>
        <v>23</v>
      </c>
      <c r="O814" t="str">
        <f>TEXT(Table1[[#This Row],[order_date]],"mmm")</f>
        <v>Mar</v>
      </c>
      <c r="P814">
        <f>YEAR(Table1[[#This Row],[order_date]])</f>
        <v>2024</v>
      </c>
    </row>
    <row r="815" spans="1:16" x14ac:dyDescent="0.3">
      <c r="A815">
        <v>10814</v>
      </c>
      <c r="B815" s="1">
        <v>45375</v>
      </c>
      <c r="C815">
        <v>1150</v>
      </c>
      <c r="D815" t="s">
        <v>19</v>
      </c>
      <c r="E815" t="s">
        <v>21</v>
      </c>
      <c r="F815">
        <v>6</v>
      </c>
      <c r="G815">
        <v>214.03</v>
      </c>
      <c r="H815">
        <v>0.3</v>
      </c>
      <c r="I815" t="s">
        <v>14</v>
      </c>
      <c r="J815">
        <v>8</v>
      </c>
      <c r="K815">
        <v>2.7</v>
      </c>
      <c r="L815">
        <v>898.93</v>
      </c>
      <c r="M815">
        <f>(Table1[[#This Row],[unit_price]]*Table1[[#This Row],[quantity]])-(Table1[[#This Row],[unit_price]]*Table1[[#This Row],[discount]]*Table1[[#This Row],[quantity]])</f>
        <v>898.92600000000004</v>
      </c>
      <c r="N815">
        <f>DAY(Table1[[#This Row],[order_date]])</f>
        <v>24</v>
      </c>
      <c r="O815" t="str">
        <f>TEXT(Table1[[#This Row],[order_date]],"mmm")</f>
        <v>Mar</v>
      </c>
      <c r="P815">
        <f>YEAR(Table1[[#This Row],[order_date]])</f>
        <v>2024</v>
      </c>
    </row>
    <row r="816" spans="1:16" x14ac:dyDescent="0.3">
      <c r="A816">
        <v>10815</v>
      </c>
      <c r="B816" s="1">
        <v>45376</v>
      </c>
      <c r="C816">
        <v>1143</v>
      </c>
      <c r="D816" t="s">
        <v>19</v>
      </c>
      <c r="E816" t="s">
        <v>21</v>
      </c>
      <c r="F816">
        <v>4</v>
      </c>
      <c r="G816">
        <v>201.11</v>
      </c>
      <c r="H816">
        <v>0.3</v>
      </c>
      <c r="I816" t="s">
        <v>16</v>
      </c>
      <c r="J816">
        <v>5</v>
      </c>
      <c r="K816">
        <v>2.8</v>
      </c>
      <c r="L816">
        <v>563.11</v>
      </c>
      <c r="M816">
        <f>(Table1[[#This Row],[unit_price]]*Table1[[#This Row],[quantity]])-(Table1[[#This Row],[unit_price]]*Table1[[#This Row],[discount]]*Table1[[#This Row],[quantity]])</f>
        <v>563.10800000000006</v>
      </c>
      <c r="N816">
        <f>DAY(Table1[[#This Row],[order_date]])</f>
        <v>25</v>
      </c>
      <c r="O816" t="str">
        <f>TEXT(Table1[[#This Row],[order_date]],"mmm")</f>
        <v>Mar</v>
      </c>
      <c r="P816">
        <f>YEAR(Table1[[#This Row],[order_date]])</f>
        <v>2024</v>
      </c>
    </row>
    <row r="817" spans="1:16" x14ac:dyDescent="0.3">
      <c r="A817">
        <v>10816</v>
      </c>
      <c r="B817" s="1">
        <v>45377</v>
      </c>
      <c r="C817">
        <v>1568</v>
      </c>
      <c r="D817" t="s">
        <v>19</v>
      </c>
      <c r="E817" t="s">
        <v>21</v>
      </c>
      <c r="F817">
        <v>5</v>
      </c>
      <c r="G817">
        <v>574.57000000000005</v>
      </c>
      <c r="H817">
        <v>0.22</v>
      </c>
      <c r="I817" t="s">
        <v>16</v>
      </c>
      <c r="J817">
        <v>6</v>
      </c>
      <c r="K817">
        <v>3.5</v>
      </c>
      <c r="L817">
        <v>2240.8200000000002</v>
      </c>
      <c r="M817">
        <f>(Table1[[#This Row],[unit_price]]*Table1[[#This Row],[quantity]])-(Table1[[#This Row],[unit_price]]*Table1[[#This Row],[discount]]*Table1[[#This Row],[quantity]])</f>
        <v>2240.8230000000003</v>
      </c>
      <c r="N817">
        <f>DAY(Table1[[#This Row],[order_date]])</f>
        <v>26</v>
      </c>
      <c r="O817" t="str">
        <f>TEXT(Table1[[#This Row],[order_date]],"mmm")</f>
        <v>Mar</v>
      </c>
      <c r="P817">
        <f>YEAR(Table1[[#This Row],[order_date]])</f>
        <v>2024</v>
      </c>
    </row>
    <row r="818" spans="1:16" x14ac:dyDescent="0.3">
      <c r="A818">
        <v>10817</v>
      </c>
      <c r="B818" s="1">
        <v>45378</v>
      </c>
      <c r="C818">
        <v>1038</v>
      </c>
      <c r="D818" t="s">
        <v>12</v>
      </c>
      <c r="E818" t="s">
        <v>21</v>
      </c>
      <c r="F818">
        <v>1</v>
      </c>
      <c r="G818">
        <v>476.61</v>
      </c>
      <c r="H818">
        <v>0.32</v>
      </c>
      <c r="I818" t="s">
        <v>18</v>
      </c>
      <c r="J818">
        <v>4</v>
      </c>
      <c r="K818">
        <v>3.5</v>
      </c>
      <c r="L818">
        <v>324.08999999999997</v>
      </c>
      <c r="M818">
        <f>(Table1[[#This Row],[unit_price]]*Table1[[#This Row],[quantity]])-(Table1[[#This Row],[unit_price]]*Table1[[#This Row],[discount]]*Table1[[#This Row],[quantity]])</f>
        <v>324.09479999999996</v>
      </c>
      <c r="N818">
        <f>DAY(Table1[[#This Row],[order_date]])</f>
        <v>27</v>
      </c>
      <c r="O818" t="str">
        <f>TEXT(Table1[[#This Row],[order_date]],"mmm")</f>
        <v>Mar</v>
      </c>
      <c r="P818">
        <f>YEAR(Table1[[#This Row],[order_date]])</f>
        <v>2024</v>
      </c>
    </row>
    <row r="819" spans="1:16" x14ac:dyDescent="0.3">
      <c r="A819">
        <v>10818</v>
      </c>
      <c r="B819" s="1">
        <v>45379</v>
      </c>
      <c r="C819">
        <v>1108</v>
      </c>
      <c r="D819" t="s">
        <v>19</v>
      </c>
      <c r="E819" t="s">
        <v>21</v>
      </c>
      <c r="F819">
        <v>1</v>
      </c>
      <c r="G819">
        <v>438.55</v>
      </c>
      <c r="H819">
        <v>0.18</v>
      </c>
      <c r="I819" t="s">
        <v>18</v>
      </c>
      <c r="J819">
        <v>5</v>
      </c>
      <c r="K819">
        <v>2.6</v>
      </c>
      <c r="L819">
        <v>359.61</v>
      </c>
      <c r="M819">
        <f>(Table1[[#This Row],[unit_price]]*Table1[[#This Row],[quantity]])-(Table1[[#This Row],[unit_price]]*Table1[[#This Row],[discount]]*Table1[[#This Row],[quantity]])</f>
        <v>359.61099999999999</v>
      </c>
      <c r="N819">
        <f>DAY(Table1[[#This Row],[order_date]])</f>
        <v>28</v>
      </c>
      <c r="O819" t="str">
        <f>TEXT(Table1[[#This Row],[order_date]],"mmm")</f>
        <v>Mar</v>
      </c>
      <c r="P819">
        <f>YEAR(Table1[[#This Row],[order_date]])</f>
        <v>2024</v>
      </c>
    </row>
    <row r="820" spans="1:16" x14ac:dyDescent="0.3">
      <c r="A820">
        <v>10819</v>
      </c>
      <c r="B820" s="1">
        <v>45380</v>
      </c>
      <c r="C820">
        <v>1692</v>
      </c>
      <c r="D820" t="s">
        <v>15</v>
      </c>
      <c r="E820" t="s">
        <v>13</v>
      </c>
      <c r="F820">
        <v>3</v>
      </c>
      <c r="G820">
        <v>123.79</v>
      </c>
      <c r="H820">
        <v>0.31</v>
      </c>
      <c r="I820" t="s">
        <v>18</v>
      </c>
      <c r="J820">
        <v>10</v>
      </c>
      <c r="K820">
        <v>4.5</v>
      </c>
      <c r="L820">
        <v>256.25</v>
      </c>
      <c r="M820">
        <f>(Table1[[#This Row],[unit_price]]*Table1[[#This Row],[quantity]])-(Table1[[#This Row],[unit_price]]*Table1[[#This Row],[discount]]*Table1[[#This Row],[quantity]])</f>
        <v>256.24529999999999</v>
      </c>
      <c r="N820">
        <f>DAY(Table1[[#This Row],[order_date]])</f>
        <v>29</v>
      </c>
      <c r="O820" t="str">
        <f>TEXT(Table1[[#This Row],[order_date]],"mmm")</f>
        <v>Mar</v>
      </c>
      <c r="P820">
        <f>YEAR(Table1[[#This Row],[order_date]])</f>
        <v>2024</v>
      </c>
    </row>
    <row r="821" spans="1:16" x14ac:dyDescent="0.3">
      <c r="A821">
        <v>10820</v>
      </c>
      <c r="B821" s="1">
        <v>45381</v>
      </c>
      <c r="C821">
        <v>1041</v>
      </c>
      <c r="D821" t="s">
        <v>19</v>
      </c>
      <c r="E821" t="s">
        <v>21</v>
      </c>
      <c r="F821">
        <v>2</v>
      </c>
      <c r="G821">
        <v>547.07000000000005</v>
      </c>
      <c r="H821">
        <v>0.16</v>
      </c>
      <c r="I821" t="s">
        <v>14</v>
      </c>
      <c r="J821">
        <v>8</v>
      </c>
      <c r="K821">
        <v>3.6</v>
      </c>
      <c r="L821">
        <v>919.08</v>
      </c>
      <c r="M821">
        <f>(Table1[[#This Row],[unit_price]]*Table1[[#This Row],[quantity]])-(Table1[[#This Row],[unit_price]]*Table1[[#This Row],[discount]]*Table1[[#This Row],[quantity]])</f>
        <v>919.07760000000007</v>
      </c>
      <c r="N821">
        <f>DAY(Table1[[#This Row],[order_date]])</f>
        <v>30</v>
      </c>
      <c r="O821" t="str">
        <f>TEXT(Table1[[#This Row],[order_date]],"mmm")</f>
        <v>Mar</v>
      </c>
      <c r="P821">
        <f>YEAR(Table1[[#This Row],[order_date]])</f>
        <v>2024</v>
      </c>
    </row>
    <row r="822" spans="1:16" x14ac:dyDescent="0.3">
      <c r="A822">
        <v>10821</v>
      </c>
      <c r="B822" s="1">
        <v>45382</v>
      </c>
      <c r="C822">
        <v>1185</v>
      </c>
      <c r="D822" t="s">
        <v>22</v>
      </c>
      <c r="E822" t="s">
        <v>17</v>
      </c>
      <c r="F822">
        <v>1</v>
      </c>
      <c r="G822">
        <v>499.3</v>
      </c>
      <c r="H822">
        <v>0.1</v>
      </c>
      <c r="I822" t="s">
        <v>18</v>
      </c>
      <c r="J822">
        <v>9</v>
      </c>
      <c r="K822">
        <v>4.5999999999999996</v>
      </c>
      <c r="L822">
        <v>449.37</v>
      </c>
      <c r="M822">
        <f>(Table1[[#This Row],[unit_price]]*Table1[[#This Row],[quantity]])-(Table1[[#This Row],[unit_price]]*Table1[[#This Row],[discount]]*Table1[[#This Row],[quantity]])</f>
        <v>449.37</v>
      </c>
      <c r="N822">
        <f>DAY(Table1[[#This Row],[order_date]])</f>
        <v>31</v>
      </c>
      <c r="O822" t="str">
        <f>TEXT(Table1[[#This Row],[order_date]],"mmm")</f>
        <v>Mar</v>
      </c>
      <c r="P822">
        <f>YEAR(Table1[[#This Row],[order_date]])</f>
        <v>2024</v>
      </c>
    </row>
    <row r="823" spans="1:16" x14ac:dyDescent="0.3">
      <c r="A823">
        <v>10822</v>
      </c>
      <c r="B823" s="1">
        <v>45383</v>
      </c>
      <c r="C823">
        <v>1934</v>
      </c>
      <c r="D823" t="s">
        <v>19</v>
      </c>
      <c r="E823" t="s">
        <v>13</v>
      </c>
      <c r="F823">
        <v>7</v>
      </c>
      <c r="G823">
        <v>110.73</v>
      </c>
      <c r="H823">
        <v>0.32</v>
      </c>
      <c r="I823" t="s">
        <v>16</v>
      </c>
      <c r="J823">
        <v>3</v>
      </c>
      <c r="K823">
        <v>4.7</v>
      </c>
      <c r="L823">
        <v>527.07000000000005</v>
      </c>
      <c r="M823">
        <f>(Table1[[#This Row],[unit_price]]*Table1[[#This Row],[quantity]])-(Table1[[#This Row],[unit_price]]*Table1[[#This Row],[discount]]*Table1[[#This Row],[quantity]])</f>
        <v>527.07479999999998</v>
      </c>
      <c r="N823">
        <f>DAY(Table1[[#This Row],[order_date]])</f>
        <v>1</v>
      </c>
      <c r="O823" t="str">
        <f>TEXT(Table1[[#This Row],[order_date]],"mmm")</f>
        <v>Apr</v>
      </c>
      <c r="P823">
        <f>YEAR(Table1[[#This Row],[order_date]])</f>
        <v>2024</v>
      </c>
    </row>
    <row r="824" spans="1:16" x14ac:dyDescent="0.3">
      <c r="A824">
        <v>10823</v>
      </c>
      <c r="B824" s="1">
        <v>45384</v>
      </c>
      <c r="C824">
        <v>1397</v>
      </c>
      <c r="D824" t="s">
        <v>12</v>
      </c>
      <c r="E824" t="s">
        <v>17</v>
      </c>
      <c r="F824">
        <v>5</v>
      </c>
      <c r="G824">
        <v>524.63</v>
      </c>
      <c r="H824">
        <v>0.14000000000000001</v>
      </c>
      <c r="I824" t="s">
        <v>14</v>
      </c>
      <c r="J824">
        <v>10</v>
      </c>
      <c r="K824">
        <v>1.7</v>
      </c>
      <c r="L824">
        <v>2255.91</v>
      </c>
      <c r="M824">
        <f>(Table1[[#This Row],[unit_price]]*Table1[[#This Row],[quantity]])-(Table1[[#This Row],[unit_price]]*Table1[[#This Row],[discount]]*Table1[[#This Row],[quantity]])</f>
        <v>2255.9090000000001</v>
      </c>
      <c r="N824">
        <f>DAY(Table1[[#This Row],[order_date]])</f>
        <v>2</v>
      </c>
      <c r="O824" t="str">
        <f>TEXT(Table1[[#This Row],[order_date]],"mmm")</f>
        <v>Apr</v>
      </c>
      <c r="P824">
        <f>YEAR(Table1[[#This Row],[order_date]])</f>
        <v>2024</v>
      </c>
    </row>
    <row r="825" spans="1:16" x14ac:dyDescent="0.3">
      <c r="A825">
        <v>10824</v>
      </c>
      <c r="B825" s="1">
        <v>45385</v>
      </c>
      <c r="C825">
        <v>1222</v>
      </c>
      <c r="D825" t="s">
        <v>12</v>
      </c>
      <c r="E825" t="s">
        <v>21</v>
      </c>
      <c r="F825">
        <v>4</v>
      </c>
      <c r="G825">
        <v>174.26</v>
      </c>
      <c r="H825">
        <v>0.18</v>
      </c>
      <c r="I825" t="s">
        <v>18</v>
      </c>
      <c r="J825">
        <v>4</v>
      </c>
      <c r="K825">
        <v>3.7</v>
      </c>
      <c r="L825">
        <v>571.57000000000005</v>
      </c>
      <c r="M825">
        <f>(Table1[[#This Row],[unit_price]]*Table1[[#This Row],[quantity]])-(Table1[[#This Row],[unit_price]]*Table1[[#This Row],[discount]]*Table1[[#This Row],[quantity]])</f>
        <v>571.57279999999992</v>
      </c>
      <c r="N825">
        <f>DAY(Table1[[#This Row],[order_date]])</f>
        <v>3</v>
      </c>
      <c r="O825" t="str">
        <f>TEXT(Table1[[#This Row],[order_date]],"mmm")</f>
        <v>Apr</v>
      </c>
      <c r="P825">
        <f>YEAR(Table1[[#This Row],[order_date]])</f>
        <v>2024</v>
      </c>
    </row>
    <row r="826" spans="1:16" x14ac:dyDescent="0.3">
      <c r="A826">
        <v>10825</v>
      </c>
      <c r="B826" s="1">
        <v>45386</v>
      </c>
      <c r="C826">
        <v>1633</v>
      </c>
      <c r="D826" t="s">
        <v>19</v>
      </c>
      <c r="E826" t="s">
        <v>21</v>
      </c>
      <c r="F826">
        <v>6</v>
      </c>
      <c r="G826">
        <v>62.31</v>
      </c>
      <c r="H826">
        <v>0.12</v>
      </c>
      <c r="I826" t="s">
        <v>16</v>
      </c>
      <c r="J826">
        <v>1</v>
      </c>
      <c r="K826">
        <v>2.2999999999999998</v>
      </c>
      <c r="L826">
        <v>329</v>
      </c>
      <c r="M826">
        <f>(Table1[[#This Row],[unit_price]]*Table1[[#This Row],[quantity]])-(Table1[[#This Row],[unit_price]]*Table1[[#This Row],[discount]]*Table1[[#This Row],[quantity]])</f>
        <v>328.99680000000001</v>
      </c>
      <c r="N826">
        <f>DAY(Table1[[#This Row],[order_date]])</f>
        <v>4</v>
      </c>
      <c r="O826" t="str">
        <f>TEXT(Table1[[#This Row],[order_date]],"mmm")</f>
        <v>Apr</v>
      </c>
      <c r="P826">
        <f>YEAR(Table1[[#This Row],[order_date]])</f>
        <v>2024</v>
      </c>
    </row>
    <row r="827" spans="1:16" x14ac:dyDescent="0.3">
      <c r="A827">
        <v>10826</v>
      </c>
      <c r="B827" s="1">
        <v>45387</v>
      </c>
      <c r="C827">
        <v>1132</v>
      </c>
      <c r="D827" t="s">
        <v>12</v>
      </c>
      <c r="E827" t="s">
        <v>17</v>
      </c>
      <c r="F827">
        <v>4</v>
      </c>
      <c r="G827">
        <v>399.24</v>
      </c>
      <c r="H827">
        <v>0.23</v>
      </c>
      <c r="I827" t="s">
        <v>16</v>
      </c>
      <c r="J827">
        <v>11</v>
      </c>
      <c r="K827">
        <v>4.3</v>
      </c>
      <c r="L827">
        <v>1229.6600000000001</v>
      </c>
      <c r="M827">
        <f>(Table1[[#This Row],[unit_price]]*Table1[[#This Row],[quantity]])-(Table1[[#This Row],[unit_price]]*Table1[[#This Row],[discount]]*Table1[[#This Row],[quantity]])</f>
        <v>1229.6592000000001</v>
      </c>
      <c r="N827">
        <f>DAY(Table1[[#This Row],[order_date]])</f>
        <v>5</v>
      </c>
      <c r="O827" t="str">
        <f>TEXT(Table1[[#This Row],[order_date]],"mmm")</f>
        <v>Apr</v>
      </c>
      <c r="P827">
        <f>YEAR(Table1[[#This Row],[order_date]])</f>
        <v>2024</v>
      </c>
    </row>
    <row r="828" spans="1:16" x14ac:dyDescent="0.3">
      <c r="A828">
        <v>10827</v>
      </c>
      <c r="B828" s="1">
        <v>45388</v>
      </c>
      <c r="C828">
        <v>1162</v>
      </c>
      <c r="D828" t="s">
        <v>12</v>
      </c>
      <c r="E828" t="s">
        <v>17</v>
      </c>
      <c r="F828">
        <v>3</v>
      </c>
      <c r="G828">
        <v>397.48</v>
      </c>
      <c r="H828">
        <v>0.35</v>
      </c>
      <c r="I828" t="s">
        <v>16</v>
      </c>
      <c r="J828">
        <v>5</v>
      </c>
      <c r="K828">
        <v>3.9</v>
      </c>
      <c r="L828">
        <v>775.09</v>
      </c>
      <c r="M828">
        <f>(Table1[[#This Row],[unit_price]]*Table1[[#This Row],[quantity]])-(Table1[[#This Row],[unit_price]]*Table1[[#This Row],[discount]]*Table1[[#This Row],[quantity]])</f>
        <v>775.08600000000001</v>
      </c>
      <c r="N828">
        <f>DAY(Table1[[#This Row],[order_date]])</f>
        <v>6</v>
      </c>
      <c r="O828" t="str">
        <f>TEXT(Table1[[#This Row],[order_date]],"mmm")</f>
        <v>Apr</v>
      </c>
      <c r="P828">
        <f>YEAR(Table1[[#This Row],[order_date]])</f>
        <v>2024</v>
      </c>
    </row>
    <row r="829" spans="1:16" x14ac:dyDescent="0.3">
      <c r="A829">
        <v>10828</v>
      </c>
      <c r="B829" s="1">
        <v>45389</v>
      </c>
      <c r="C829">
        <v>1214</v>
      </c>
      <c r="D829" t="s">
        <v>22</v>
      </c>
      <c r="E829" t="s">
        <v>17</v>
      </c>
      <c r="F829">
        <v>4</v>
      </c>
      <c r="G829">
        <v>70.540000000000006</v>
      </c>
      <c r="H829">
        <v>0.01</v>
      </c>
      <c r="I829" t="s">
        <v>16</v>
      </c>
      <c r="J829">
        <v>4</v>
      </c>
      <c r="K829">
        <v>1.8</v>
      </c>
      <c r="L829">
        <v>279.33999999999997</v>
      </c>
      <c r="M829">
        <f>(Table1[[#This Row],[unit_price]]*Table1[[#This Row],[quantity]])-(Table1[[#This Row],[unit_price]]*Table1[[#This Row],[discount]]*Table1[[#This Row],[quantity]])</f>
        <v>279.33840000000004</v>
      </c>
      <c r="N829">
        <f>DAY(Table1[[#This Row],[order_date]])</f>
        <v>7</v>
      </c>
      <c r="O829" t="str">
        <f>TEXT(Table1[[#This Row],[order_date]],"mmm")</f>
        <v>Apr</v>
      </c>
      <c r="P829">
        <f>YEAR(Table1[[#This Row],[order_date]])</f>
        <v>2024</v>
      </c>
    </row>
    <row r="830" spans="1:16" x14ac:dyDescent="0.3">
      <c r="A830">
        <v>10829</v>
      </c>
      <c r="B830" s="1">
        <v>45390</v>
      </c>
      <c r="C830">
        <v>1732</v>
      </c>
      <c r="D830" t="s">
        <v>22</v>
      </c>
      <c r="E830" t="s">
        <v>20</v>
      </c>
      <c r="F830">
        <v>1</v>
      </c>
      <c r="G830">
        <v>201.53</v>
      </c>
      <c r="H830">
        <v>0.31</v>
      </c>
      <c r="I830" t="s">
        <v>16</v>
      </c>
      <c r="J830">
        <v>6</v>
      </c>
      <c r="K830">
        <v>4.8</v>
      </c>
      <c r="L830">
        <v>139.06</v>
      </c>
      <c r="M830">
        <f>(Table1[[#This Row],[unit_price]]*Table1[[#This Row],[quantity]])-(Table1[[#This Row],[unit_price]]*Table1[[#This Row],[discount]]*Table1[[#This Row],[quantity]])</f>
        <v>139.0557</v>
      </c>
      <c r="N830">
        <f>DAY(Table1[[#This Row],[order_date]])</f>
        <v>8</v>
      </c>
      <c r="O830" t="str">
        <f>TEXT(Table1[[#This Row],[order_date]],"mmm")</f>
        <v>Apr</v>
      </c>
      <c r="P830">
        <f>YEAR(Table1[[#This Row],[order_date]])</f>
        <v>2024</v>
      </c>
    </row>
    <row r="831" spans="1:16" x14ac:dyDescent="0.3">
      <c r="A831">
        <v>10830</v>
      </c>
      <c r="B831" s="1">
        <v>45391</v>
      </c>
      <c r="C831">
        <v>1234</v>
      </c>
      <c r="D831" t="s">
        <v>19</v>
      </c>
      <c r="E831" t="s">
        <v>20</v>
      </c>
      <c r="F831">
        <v>4</v>
      </c>
      <c r="G831">
        <v>595.79999999999995</v>
      </c>
      <c r="H831">
        <v>0</v>
      </c>
      <c r="I831" t="s">
        <v>16</v>
      </c>
      <c r="J831">
        <v>6</v>
      </c>
      <c r="K831">
        <v>3.7</v>
      </c>
      <c r="L831">
        <v>2383.1999999999998</v>
      </c>
      <c r="M831">
        <f>(Table1[[#This Row],[unit_price]]*Table1[[#This Row],[quantity]])-(Table1[[#This Row],[unit_price]]*Table1[[#This Row],[discount]]*Table1[[#This Row],[quantity]])</f>
        <v>2383.1999999999998</v>
      </c>
      <c r="N831">
        <f>DAY(Table1[[#This Row],[order_date]])</f>
        <v>9</v>
      </c>
      <c r="O831" t="str">
        <f>TEXT(Table1[[#This Row],[order_date]],"mmm")</f>
        <v>Apr</v>
      </c>
      <c r="P831">
        <f>YEAR(Table1[[#This Row],[order_date]])</f>
        <v>2024</v>
      </c>
    </row>
    <row r="832" spans="1:16" x14ac:dyDescent="0.3">
      <c r="A832">
        <v>10831</v>
      </c>
      <c r="B832" s="1">
        <v>45392</v>
      </c>
      <c r="C832">
        <v>1842</v>
      </c>
      <c r="D832" t="s">
        <v>15</v>
      </c>
      <c r="E832" t="s">
        <v>20</v>
      </c>
      <c r="F832">
        <v>1</v>
      </c>
      <c r="G832">
        <v>411.88</v>
      </c>
      <c r="H832">
        <v>0.13</v>
      </c>
      <c r="I832" t="s">
        <v>14</v>
      </c>
      <c r="J832">
        <v>10</v>
      </c>
      <c r="K832">
        <v>4.8</v>
      </c>
      <c r="L832">
        <v>358.34</v>
      </c>
      <c r="M832">
        <f>(Table1[[#This Row],[unit_price]]*Table1[[#This Row],[quantity]])-(Table1[[#This Row],[unit_price]]*Table1[[#This Row],[discount]]*Table1[[#This Row],[quantity]])</f>
        <v>358.3356</v>
      </c>
      <c r="N832">
        <f>DAY(Table1[[#This Row],[order_date]])</f>
        <v>10</v>
      </c>
      <c r="O832" t="str">
        <f>TEXT(Table1[[#This Row],[order_date]],"mmm")</f>
        <v>Apr</v>
      </c>
      <c r="P832">
        <f>YEAR(Table1[[#This Row],[order_date]])</f>
        <v>2024</v>
      </c>
    </row>
    <row r="833" spans="1:16" x14ac:dyDescent="0.3">
      <c r="A833">
        <v>10832</v>
      </c>
      <c r="B833" s="1">
        <v>45393</v>
      </c>
      <c r="C833">
        <v>1657</v>
      </c>
      <c r="D833" t="s">
        <v>19</v>
      </c>
      <c r="E833" t="s">
        <v>20</v>
      </c>
      <c r="F833">
        <v>1</v>
      </c>
      <c r="G833">
        <v>442.09</v>
      </c>
      <c r="H833">
        <v>0.06</v>
      </c>
      <c r="I833" t="s">
        <v>14</v>
      </c>
      <c r="J833">
        <v>6</v>
      </c>
      <c r="K833">
        <v>1.8</v>
      </c>
      <c r="L833">
        <v>415.56</v>
      </c>
      <c r="M833">
        <f>(Table1[[#This Row],[unit_price]]*Table1[[#This Row],[quantity]])-(Table1[[#This Row],[unit_price]]*Table1[[#This Row],[discount]]*Table1[[#This Row],[quantity]])</f>
        <v>415.56459999999998</v>
      </c>
      <c r="N833">
        <f>DAY(Table1[[#This Row],[order_date]])</f>
        <v>11</v>
      </c>
      <c r="O833" t="str">
        <f>TEXT(Table1[[#This Row],[order_date]],"mmm")</f>
        <v>Apr</v>
      </c>
      <c r="P833">
        <f>YEAR(Table1[[#This Row],[order_date]])</f>
        <v>2024</v>
      </c>
    </row>
    <row r="834" spans="1:16" x14ac:dyDescent="0.3">
      <c r="A834">
        <v>10833</v>
      </c>
      <c r="B834" s="1">
        <v>45394</v>
      </c>
      <c r="C834">
        <v>1750</v>
      </c>
      <c r="D834" t="s">
        <v>19</v>
      </c>
      <c r="E834" t="s">
        <v>13</v>
      </c>
      <c r="F834">
        <v>2</v>
      </c>
      <c r="G834">
        <v>139.56</v>
      </c>
      <c r="H834">
        <v>0.27</v>
      </c>
      <c r="I834" t="s">
        <v>18</v>
      </c>
      <c r="J834">
        <v>3</v>
      </c>
      <c r="K834">
        <v>4.5</v>
      </c>
      <c r="L834">
        <v>203.76</v>
      </c>
      <c r="M834">
        <f>(Table1[[#This Row],[unit_price]]*Table1[[#This Row],[quantity]])-(Table1[[#This Row],[unit_price]]*Table1[[#This Row],[discount]]*Table1[[#This Row],[quantity]])</f>
        <v>203.7576</v>
      </c>
      <c r="N834">
        <f>DAY(Table1[[#This Row],[order_date]])</f>
        <v>12</v>
      </c>
      <c r="O834" t="str">
        <f>TEXT(Table1[[#This Row],[order_date]],"mmm")</f>
        <v>Apr</v>
      </c>
      <c r="P834">
        <f>YEAR(Table1[[#This Row],[order_date]])</f>
        <v>2024</v>
      </c>
    </row>
    <row r="835" spans="1:16" x14ac:dyDescent="0.3">
      <c r="A835">
        <v>10834</v>
      </c>
      <c r="B835" s="1">
        <v>45395</v>
      </c>
      <c r="C835">
        <v>1587</v>
      </c>
      <c r="D835" t="s">
        <v>12</v>
      </c>
      <c r="E835" t="s">
        <v>21</v>
      </c>
      <c r="F835">
        <v>3</v>
      </c>
      <c r="G835">
        <v>61.09</v>
      </c>
      <c r="H835">
        <v>0.02</v>
      </c>
      <c r="I835" t="s">
        <v>14</v>
      </c>
      <c r="J835">
        <v>7</v>
      </c>
      <c r="K835">
        <v>3.7</v>
      </c>
      <c r="L835">
        <v>179.6</v>
      </c>
      <c r="M835">
        <f>(Table1[[#This Row],[unit_price]]*Table1[[#This Row],[quantity]])-(Table1[[#This Row],[unit_price]]*Table1[[#This Row],[discount]]*Table1[[#This Row],[quantity]])</f>
        <v>179.6046</v>
      </c>
      <c r="N835">
        <f>DAY(Table1[[#This Row],[order_date]])</f>
        <v>13</v>
      </c>
      <c r="O835" t="str">
        <f>TEXT(Table1[[#This Row],[order_date]],"mmm")</f>
        <v>Apr</v>
      </c>
      <c r="P835">
        <f>YEAR(Table1[[#This Row],[order_date]])</f>
        <v>2024</v>
      </c>
    </row>
    <row r="836" spans="1:16" x14ac:dyDescent="0.3">
      <c r="A836">
        <v>10835</v>
      </c>
      <c r="B836" s="1">
        <v>45396</v>
      </c>
      <c r="C836">
        <v>1008</v>
      </c>
      <c r="D836" t="s">
        <v>19</v>
      </c>
      <c r="E836" t="s">
        <v>17</v>
      </c>
      <c r="F836">
        <v>7</v>
      </c>
      <c r="G836">
        <v>176.99</v>
      </c>
      <c r="H836">
        <v>0.19</v>
      </c>
      <c r="I836" t="s">
        <v>16</v>
      </c>
      <c r="J836">
        <v>3</v>
      </c>
      <c r="K836">
        <v>3.2</v>
      </c>
      <c r="L836">
        <v>1003.53</v>
      </c>
      <c r="M836">
        <f>(Table1[[#This Row],[unit_price]]*Table1[[#This Row],[quantity]])-(Table1[[#This Row],[unit_price]]*Table1[[#This Row],[discount]]*Table1[[#This Row],[quantity]])</f>
        <v>1003.5333000000001</v>
      </c>
      <c r="N836">
        <f>DAY(Table1[[#This Row],[order_date]])</f>
        <v>14</v>
      </c>
      <c r="O836" t="str">
        <f>TEXT(Table1[[#This Row],[order_date]],"mmm")</f>
        <v>Apr</v>
      </c>
      <c r="P836">
        <f>YEAR(Table1[[#This Row],[order_date]])</f>
        <v>2024</v>
      </c>
    </row>
    <row r="837" spans="1:16" x14ac:dyDescent="0.3">
      <c r="A837">
        <v>10836</v>
      </c>
      <c r="B837" s="1">
        <v>45397</v>
      </c>
      <c r="C837">
        <v>1073</v>
      </c>
      <c r="D837" t="s">
        <v>22</v>
      </c>
      <c r="E837" t="s">
        <v>21</v>
      </c>
      <c r="F837">
        <v>7</v>
      </c>
      <c r="G837">
        <v>160.61000000000001</v>
      </c>
      <c r="H837">
        <v>0.1</v>
      </c>
      <c r="I837" t="s">
        <v>14</v>
      </c>
      <c r="J837">
        <v>6</v>
      </c>
      <c r="K837">
        <v>4.3</v>
      </c>
      <c r="L837">
        <v>1011.84</v>
      </c>
      <c r="M837">
        <f>(Table1[[#This Row],[unit_price]]*Table1[[#This Row],[quantity]])-(Table1[[#This Row],[unit_price]]*Table1[[#This Row],[discount]]*Table1[[#This Row],[quantity]])</f>
        <v>1011.843</v>
      </c>
      <c r="N837">
        <f>DAY(Table1[[#This Row],[order_date]])</f>
        <v>15</v>
      </c>
      <c r="O837" t="str">
        <f>TEXT(Table1[[#This Row],[order_date]],"mmm")</f>
        <v>Apr</v>
      </c>
      <c r="P837">
        <f>YEAR(Table1[[#This Row],[order_date]])</f>
        <v>2024</v>
      </c>
    </row>
    <row r="838" spans="1:16" x14ac:dyDescent="0.3">
      <c r="A838">
        <v>10837</v>
      </c>
      <c r="B838" s="1">
        <v>45398</v>
      </c>
      <c r="C838">
        <v>1953</v>
      </c>
      <c r="D838" t="s">
        <v>22</v>
      </c>
      <c r="E838" t="s">
        <v>17</v>
      </c>
      <c r="F838">
        <v>5</v>
      </c>
      <c r="G838">
        <v>152.21</v>
      </c>
      <c r="H838">
        <v>0.05</v>
      </c>
      <c r="I838" t="s">
        <v>18</v>
      </c>
      <c r="J838">
        <v>10</v>
      </c>
      <c r="K838">
        <v>3.5</v>
      </c>
      <c r="L838">
        <v>723</v>
      </c>
      <c r="M838">
        <f>(Table1[[#This Row],[unit_price]]*Table1[[#This Row],[quantity]])-(Table1[[#This Row],[unit_price]]*Table1[[#This Row],[discount]]*Table1[[#This Row],[quantity]])</f>
        <v>722.99750000000006</v>
      </c>
      <c r="N838">
        <f>DAY(Table1[[#This Row],[order_date]])</f>
        <v>16</v>
      </c>
      <c r="O838" t="str">
        <f>TEXT(Table1[[#This Row],[order_date]],"mmm")</f>
        <v>Apr</v>
      </c>
      <c r="P838">
        <f>YEAR(Table1[[#This Row],[order_date]])</f>
        <v>2024</v>
      </c>
    </row>
    <row r="839" spans="1:16" x14ac:dyDescent="0.3">
      <c r="A839">
        <v>10838</v>
      </c>
      <c r="B839" s="1">
        <v>45399</v>
      </c>
      <c r="C839">
        <v>1491</v>
      </c>
      <c r="D839" t="s">
        <v>12</v>
      </c>
      <c r="E839" t="s">
        <v>21</v>
      </c>
      <c r="F839">
        <v>7</v>
      </c>
      <c r="G839">
        <v>127.76</v>
      </c>
      <c r="H839">
        <v>0.27</v>
      </c>
      <c r="I839" t="s">
        <v>16</v>
      </c>
      <c r="J839">
        <v>1</v>
      </c>
      <c r="K839">
        <v>3.7</v>
      </c>
      <c r="L839">
        <v>652.85</v>
      </c>
      <c r="M839">
        <f>(Table1[[#This Row],[unit_price]]*Table1[[#This Row],[quantity]])-(Table1[[#This Row],[unit_price]]*Table1[[#This Row],[discount]]*Table1[[#This Row],[quantity]])</f>
        <v>652.85360000000003</v>
      </c>
      <c r="N839">
        <f>DAY(Table1[[#This Row],[order_date]])</f>
        <v>17</v>
      </c>
      <c r="O839" t="str">
        <f>TEXT(Table1[[#This Row],[order_date]],"mmm")</f>
        <v>Apr</v>
      </c>
      <c r="P839">
        <f>YEAR(Table1[[#This Row],[order_date]])</f>
        <v>2024</v>
      </c>
    </row>
    <row r="840" spans="1:16" x14ac:dyDescent="0.3">
      <c r="A840">
        <v>10839</v>
      </c>
      <c r="B840" s="1">
        <v>45400</v>
      </c>
      <c r="C840">
        <v>1912</v>
      </c>
      <c r="D840" t="s">
        <v>12</v>
      </c>
      <c r="E840" t="s">
        <v>13</v>
      </c>
      <c r="F840">
        <v>1</v>
      </c>
      <c r="G840">
        <v>351.23</v>
      </c>
      <c r="H840">
        <v>0.08</v>
      </c>
      <c r="I840" t="s">
        <v>16</v>
      </c>
      <c r="J840">
        <v>8</v>
      </c>
      <c r="K840">
        <v>2</v>
      </c>
      <c r="L840">
        <v>323.13</v>
      </c>
      <c r="M840">
        <f>(Table1[[#This Row],[unit_price]]*Table1[[#This Row],[quantity]])-(Table1[[#This Row],[unit_price]]*Table1[[#This Row],[discount]]*Table1[[#This Row],[quantity]])</f>
        <v>323.13159999999999</v>
      </c>
      <c r="N840">
        <f>DAY(Table1[[#This Row],[order_date]])</f>
        <v>18</v>
      </c>
      <c r="O840" t="str">
        <f>TEXT(Table1[[#This Row],[order_date]],"mmm")</f>
        <v>Apr</v>
      </c>
      <c r="P840">
        <f>YEAR(Table1[[#This Row],[order_date]])</f>
        <v>2024</v>
      </c>
    </row>
    <row r="841" spans="1:16" x14ac:dyDescent="0.3">
      <c r="A841">
        <v>10840</v>
      </c>
      <c r="B841" s="1">
        <v>45401</v>
      </c>
      <c r="C841">
        <v>1252</v>
      </c>
      <c r="D841" t="s">
        <v>19</v>
      </c>
      <c r="E841" t="s">
        <v>20</v>
      </c>
      <c r="F841">
        <v>6</v>
      </c>
      <c r="G841">
        <v>206.94</v>
      </c>
      <c r="H841">
        <v>0.08</v>
      </c>
      <c r="I841" t="s">
        <v>16</v>
      </c>
      <c r="J841">
        <v>7</v>
      </c>
      <c r="K841">
        <v>4.3</v>
      </c>
      <c r="L841">
        <v>1142.31</v>
      </c>
      <c r="M841">
        <f>(Table1[[#This Row],[unit_price]]*Table1[[#This Row],[quantity]])-(Table1[[#This Row],[unit_price]]*Table1[[#This Row],[discount]]*Table1[[#This Row],[quantity]])</f>
        <v>1142.3087999999998</v>
      </c>
      <c r="N841">
        <f>DAY(Table1[[#This Row],[order_date]])</f>
        <v>19</v>
      </c>
      <c r="O841" t="str">
        <f>TEXT(Table1[[#This Row],[order_date]],"mmm")</f>
        <v>Apr</v>
      </c>
      <c r="P841">
        <f>YEAR(Table1[[#This Row],[order_date]])</f>
        <v>2024</v>
      </c>
    </row>
    <row r="842" spans="1:16" x14ac:dyDescent="0.3">
      <c r="A842">
        <v>10841</v>
      </c>
      <c r="B842" s="1">
        <v>45402</v>
      </c>
      <c r="C842">
        <v>1229</v>
      </c>
      <c r="D842" t="s">
        <v>19</v>
      </c>
      <c r="E842" t="s">
        <v>21</v>
      </c>
      <c r="F842">
        <v>3</v>
      </c>
      <c r="G842">
        <v>494.9</v>
      </c>
      <c r="H842">
        <v>0.1</v>
      </c>
      <c r="I842" t="s">
        <v>16</v>
      </c>
      <c r="J842">
        <v>9</v>
      </c>
      <c r="K842">
        <v>3.6</v>
      </c>
      <c r="L842">
        <v>1336.23</v>
      </c>
      <c r="M842">
        <f>(Table1[[#This Row],[unit_price]]*Table1[[#This Row],[quantity]])-(Table1[[#This Row],[unit_price]]*Table1[[#This Row],[discount]]*Table1[[#This Row],[quantity]])</f>
        <v>1336.2299999999998</v>
      </c>
      <c r="N842">
        <f>DAY(Table1[[#This Row],[order_date]])</f>
        <v>20</v>
      </c>
      <c r="O842" t="str">
        <f>TEXT(Table1[[#This Row],[order_date]],"mmm")</f>
        <v>Apr</v>
      </c>
      <c r="P842">
        <f>YEAR(Table1[[#This Row],[order_date]])</f>
        <v>2024</v>
      </c>
    </row>
    <row r="843" spans="1:16" x14ac:dyDescent="0.3">
      <c r="A843">
        <v>10842</v>
      </c>
      <c r="B843" s="1">
        <v>45403</v>
      </c>
      <c r="C843">
        <v>1518</v>
      </c>
      <c r="D843" t="s">
        <v>15</v>
      </c>
      <c r="E843" t="s">
        <v>17</v>
      </c>
      <c r="F843">
        <v>5</v>
      </c>
      <c r="G843">
        <v>122.61</v>
      </c>
      <c r="H843">
        <v>0.21</v>
      </c>
      <c r="I843" t="s">
        <v>16</v>
      </c>
      <c r="J843">
        <v>3</v>
      </c>
      <c r="K843">
        <v>4.4000000000000004</v>
      </c>
      <c r="L843">
        <v>484.31</v>
      </c>
      <c r="M843">
        <f>(Table1[[#This Row],[unit_price]]*Table1[[#This Row],[quantity]])-(Table1[[#This Row],[unit_price]]*Table1[[#This Row],[discount]]*Table1[[#This Row],[quantity]])</f>
        <v>484.30949999999996</v>
      </c>
      <c r="N843">
        <f>DAY(Table1[[#This Row],[order_date]])</f>
        <v>21</v>
      </c>
      <c r="O843" t="str">
        <f>TEXT(Table1[[#This Row],[order_date]],"mmm")</f>
        <v>Apr</v>
      </c>
      <c r="P843">
        <f>YEAR(Table1[[#This Row],[order_date]])</f>
        <v>2024</v>
      </c>
    </row>
    <row r="844" spans="1:16" x14ac:dyDescent="0.3">
      <c r="A844">
        <v>10843</v>
      </c>
      <c r="B844" s="1">
        <v>45404</v>
      </c>
      <c r="C844">
        <v>1173</v>
      </c>
      <c r="D844" t="s">
        <v>19</v>
      </c>
      <c r="E844" t="s">
        <v>21</v>
      </c>
      <c r="F844">
        <v>7</v>
      </c>
      <c r="G844">
        <v>286.81</v>
      </c>
      <c r="H844">
        <v>0.23</v>
      </c>
      <c r="I844" t="s">
        <v>16</v>
      </c>
      <c r="J844">
        <v>8</v>
      </c>
      <c r="K844">
        <v>2.4</v>
      </c>
      <c r="L844">
        <v>1545.91</v>
      </c>
      <c r="M844">
        <f>(Table1[[#This Row],[unit_price]]*Table1[[#This Row],[quantity]])-(Table1[[#This Row],[unit_price]]*Table1[[#This Row],[discount]]*Table1[[#This Row],[quantity]])</f>
        <v>1545.9059</v>
      </c>
      <c r="N844">
        <f>DAY(Table1[[#This Row],[order_date]])</f>
        <v>22</v>
      </c>
      <c r="O844" t="str">
        <f>TEXT(Table1[[#This Row],[order_date]],"mmm")</f>
        <v>Apr</v>
      </c>
      <c r="P844">
        <f>YEAR(Table1[[#This Row],[order_date]])</f>
        <v>2024</v>
      </c>
    </row>
    <row r="845" spans="1:16" x14ac:dyDescent="0.3">
      <c r="A845">
        <v>10844</v>
      </c>
      <c r="B845" s="1">
        <v>45405</v>
      </c>
      <c r="C845">
        <v>1652</v>
      </c>
      <c r="D845" t="s">
        <v>19</v>
      </c>
      <c r="E845" t="s">
        <v>13</v>
      </c>
      <c r="F845">
        <v>7</v>
      </c>
      <c r="G845">
        <v>22.99</v>
      </c>
      <c r="H845">
        <v>0.01</v>
      </c>
      <c r="I845" t="s">
        <v>16</v>
      </c>
      <c r="J845">
        <v>2</v>
      </c>
      <c r="K845">
        <v>2.2999999999999998</v>
      </c>
      <c r="L845">
        <v>159.32</v>
      </c>
      <c r="M845">
        <f>(Table1[[#This Row],[unit_price]]*Table1[[#This Row],[quantity]])-(Table1[[#This Row],[unit_price]]*Table1[[#This Row],[discount]]*Table1[[#This Row],[quantity]])</f>
        <v>159.32069999999999</v>
      </c>
      <c r="N845">
        <f>DAY(Table1[[#This Row],[order_date]])</f>
        <v>23</v>
      </c>
      <c r="O845" t="str">
        <f>TEXT(Table1[[#This Row],[order_date]],"mmm")</f>
        <v>Apr</v>
      </c>
      <c r="P845">
        <f>YEAR(Table1[[#This Row],[order_date]])</f>
        <v>2024</v>
      </c>
    </row>
    <row r="846" spans="1:16" x14ac:dyDescent="0.3">
      <c r="A846">
        <v>10845</v>
      </c>
      <c r="B846" s="1">
        <v>45406</v>
      </c>
      <c r="C846">
        <v>1167</v>
      </c>
      <c r="D846" t="s">
        <v>15</v>
      </c>
      <c r="E846" t="s">
        <v>13</v>
      </c>
      <c r="F846">
        <v>6</v>
      </c>
      <c r="G846">
        <v>296.77999999999997</v>
      </c>
      <c r="H846">
        <v>0.08</v>
      </c>
      <c r="I846" t="s">
        <v>16</v>
      </c>
      <c r="J846">
        <v>9</v>
      </c>
      <c r="K846">
        <v>1.1000000000000001</v>
      </c>
      <c r="L846">
        <v>1638.23</v>
      </c>
      <c r="M846">
        <f>(Table1[[#This Row],[unit_price]]*Table1[[#This Row],[quantity]])-(Table1[[#This Row],[unit_price]]*Table1[[#This Row],[discount]]*Table1[[#This Row],[quantity]])</f>
        <v>1638.2255999999998</v>
      </c>
      <c r="N846">
        <f>DAY(Table1[[#This Row],[order_date]])</f>
        <v>24</v>
      </c>
      <c r="O846" t="str">
        <f>TEXT(Table1[[#This Row],[order_date]],"mmm")</f>
        <v>Apr</v>
      </c>
      <c r="P846">
        <f>YEAR(Table1[[#This Row],[order_date]])</f>
        <v>2024</v>
      </c>
    </row>
    <row r="847" spans="1:16" x14ac:dyDescent="0.3">
      <c r="A847">
        <v>10846</v>
      </c>
      <c r="B847" s="1">
        <v>45407</v>
      </c>
      <c r="C847">
        <v>1169</v>
      </c>
      <c r="D847" t="s">
        <v>22</v>
      </c>
      <c r="E847" t="s">
        <v>21</v>
      </c>
      <c r="F847">
        <v>4</v>
      </c>
      <c r="G847">
        <v>47.67</v>
      </c>
      <c r="H847">
        <v>0.15</v>
      </c>
      <c r="I847" t="s">
        <v>14</v>
      </c>
      <c r="J847">
        <v>1</v>
      </c>
      <c r="K847">
        <v>4.0999999999999996</v>
      </c>
      <c r="L847">
        <v>162.08000000000001</v>
      </c>
      <c r="M847">
        <f>(Table1[[#This Row],[unit_price]]*Table1[[#This Row],[quantity]])-(Table1[[#This Row],[unit_price]]*Table1[[#This Row],[discount]]*Table1[[#This Row],[quantity]])</f>
        <v>162.078</v>
      </c>
      <c r="N847">
        <f>DAY(Table1[[#This Row],[order_date]])</f>
        <v>25</v>
      </c>
      <c r="O847" t="str">
        <f>TEXT(Table1[[#This Row],[order_date]],"mmm")</f>
        <v>Apr</v>
      </c>
      <c r="P847">
        <f>YEAR(Table1[[#This Row],[order_date]])</f>
        <v>2024</v>
      </c>
    </row>
    <row r="848" spans="1:16" x14ac:dyDescent="0.3">
      <c r="A848">
        <v>10847</v>
      </c>
      <c r="B848" s="1">
        <v>45408</v>
      </c>
      <c r="C848">
        <v>1392</v>
      </c>
      <c r="D848" t="s">
        <v>15</v>
      </c>
      <c r="E848" t="s">
        <v>20</v>
      </c>
      <c r="F848">
        <v>3</v>
      </c>
      <c r="G848">
        <v>586.97</v>
      </c>
      <c r="H848">
        <v>0.12</v>
      </c>
      <c r="I848" t="s">
        <v>16</v>
      </c>
      <c r="J848">
        <v>10</v>
      </c>
      <c r="K848">
        <v>2.2999999999999998</v>
      </c>
      <c r="L848">
        <v>1549.6</v>
      </c>
      <c r="M848">
        <f>(Table1[[#This Row],[unit_price]]*Table1[[#This Row],[quantity]])-(Table1[[#This Row],[unit_price]]*Table1[[#This Row],[discount]]*Table1[[#This Row],[quantity]])</f>
        <v>1549.6008000000002</v>
      </c>
      <c r="N848">
        <f>DAY(Table1[[#This Row],[order_date]])</f>
        <v>26</v>
      </c>
      <c r="O848" t="str">
        <f>TEXT(Table1[[#This Row],[order_date]],"mmm")</f>
        <v>Apr</v>
      </c>
      <c r="P848">
        <f>YEAR(Table1[[#This Row],[order_date]])</f>
        <v>2024</v>
      </c>
    </row>
    <row r="849" spans="1:16" x14ac:dyDescent="0.3">
      <c r="A849">
        <v>10848</v>
      </c>
      <c r="B849" s="1">
        <v>45409</v>
      </c>
      <c r="C849">
        <v>1945</v>
      </c>
      <c r="D849" t="s">
        <v>19</v>
      </c>
      <c r="E849" t="s">
        <v>17</v>
      </c>
      <c r="F849">
        <v>6</v>
      </c>
      <c r="G849">
        <v>477.5</v>
      </c>
      <c r="H849">
        <v>0.31</v>
      </c>
      <c r="I849" t="s">
        <v>16</v>
      </c>
      <c r="J849">
        <v>7</v>
      </c>
      <c r="K849">
        <v>2.2999999999999998</v>
      </c>
      <c r="L849">
        <v>1976.85</v>
      </c>
      <c r="M849">
        <f>(Table1[[#This Row],[unit_price]]*Table1[[#This Row],[quantity]])-(Table1[[#This Row],[unit_price]]*Table1[[#This Row],[discount]]*Table1[[#This Row],[quantity]])</f>
        <v>1976.85</v>
      </c>
      <c r="N849">
        <f>DAY(Table1[[#This Row],[order_date]])</f>
        <v>27</v>
      </c>
      <c r="O849" t="str">
        <f>TEXT(Table1[[#This Row],[order_date]],"mmm")</f>
        <v>Apr</v>
      </c>
      <c r="P849">
        <f>YEAR(Table1[[#This Row],[order_date]])</f>
        <v>2024</v>
      </c>
    </row>
    <row r="850" spans="1:16" x14ac:dyDescent="0.3">
      <c r="A850">
        <v>10849</v>
      </c>
      <c r="B850" s="1">
        <v>45410</v>
      </c>
      <c r="C850">
        <v>1794</v>
      </c>
      <c r="D850" t="s">
        <v>22</v>
      </c>
      <c r="E850" t="s">
        <v>13</v>
      </c>
      <c r="F850">
        <v>7</v>
      </c>
      <c r="G850">
        <v>301.72000000000003</v>
      </c>
      <c r="H850">
        <v>0.28000000000000003</v>
      </c>
      <c r="I850" t="s">
        <v>18</v>
      </c>
      <c r="J850">
        <v>10</v>
      </c>
      <c r="K850">
        <v>3.8</v>
      </c>
      <c r="L850">
        <v>1520.67</v>
      </c>
      <c r="M850">
        <f>(Table1[[#This Row],[unit_price]]*Table1[[#This Row],[quantity]])-(Table1[[#This Row],[unit_price]]*Table1[[#This Row],[discount]]*Table1[[#This Row],[quantity]])</f>
        <v>1520.6687999999999</v>
      </c>
      <c r="N850">
        <f>DAY(Table1[[#This Row],[order_date]])</f>
        <v>28</v>
      </c>
      <c r="O850" t="str">
        <f>TEXT(Table1[[#This Row],[order_date]],"mmm")</f>
        <v>Apr</v>
      </c>
      <c r="P850">
        <f>YEAR(Table1[[#This Row],[order_date]])</f>
        <v>2024</v>
      </c>
    </row>
    <row r="851" spans="1:16" x14ac:dyDescent="0.3">
      <c r="A851">
        <v>10850</v>
      </c>
      <c r="B851" s="1">
        <v>45411</v>
      </c>
      <c r="C851">
        <v>1633</v>
      </c>
      <c r="D851" t="s">
        <v>19</v>
      </c>
      <c r="E851" t="s">
        <v>13</v>
      </c>
      <c r="F851">
        <v>3</v>
      </c>
      <c r="G851">
        <v>65.650000000000006</v>
      </c>
      <c r="H851">
        <v>0.22</v>
      </c>
      <c r="I851" t="s">
        <v>14</v>
      </c>
      <c r="J851">
        <v>1</v>
      </c>
      <c r="K851">
        <v>2</v>
      </c>
      <c r="L851">
        <v>153.62</v>
      </c>
      <c r="M851">
        <f>(Table1[[#This Row],[unit_price]]*Table1[[#This Row],[quantity]])-(Table1[[#This Row],[unit_price]]*Table1[[#This Row],[discount]]*Table1[[#This Row],[quantity]])</f>
        <v>153.62100000000001</v>
      </c>
      <c r="N851">
        <f>DAY(Table1[[#This Row],[order_date]])</f>
        <v>29</v>
      </c>
      <c r="O851" t="str">
        <f>TEXT(Table1[[#This Row],[order_date]],"mmm")</f>
        <v>Apr</v>
      </c>
      <c r="P851">
        <f>YEAR(Table1[[#This Row],[order_date]])</f>
        <v>2024</v>
      </c>
    </row>
    <row r="852" spans="1:16" x14ac:dyDescent="0.3">
      <c r="A852">
        <v>10851</v>
      </c>
      <c r="B852" s="1">
        <v>45412</v>
      </c>
      <c r="C852">
        <v>1193</v>
      </c>
      <c r="D852" t="s">
        <v>19</v>
      </c>
      <c r="E852" t="s">
        <v>21</v>
      </c>
      <c r="F852">
        <v>3</v>
      </c>
      <c r="G852">
        <v>361.58</v>
      </c>
      <c r="H852">
        <v>0.12</v>
      </c>
      <c r="I852" t="s">
        <v>16</v>
      </c>
      <c r="J852">
        <v>6</v>
      </c>
      <c r="K852">
        <v>4.5999999999999996</v>
      </c>
      <c r="L852">
        <v>954.57</v>
      </c>
      <c r="M852">
        <f>(Table1[[#This Row],[unit_price]]*Table1[[#This Row],[quantity]])-(Table1[[#This Row],[unit_price]]*Table1[[#This Row],[discount]]*Table1[[#This Row],[quantity]])</f>
        <v>954.57120000000009</v>
      </c>
      <c r="N852">
        <f>DAY(Table1[[#This Row],[order_date]])</f>
        <v>30</v>
      </c>
      <c r="O852" t="str">
        <f>TEXT(Table1[[#This Row],[order_date]],"mmm")</f>
        <v>Apr</v>
      </c>
      <c r="P852">
        <f>YEAR(Table1[[#This Row],[order_date]])</f>
        <v>2024</v>
      </c>
    </row>
    <row r="853" spans="1:16" x14ac:dyDescent="0.3">
      <c r="A853">
        <v>10852</v>
      </c>
      <c r="B853" s="1">
        <v>45413</v>
      </c>
      <c r="C853">
        <v>1516</v>
      </c>
      <c r="D853" t="s">
        <v>22</v>
      </c>
      <c r="E853" t="s">
        <v>13</v>
      </c>
      <c r="F853">
        <v>7</v>
      </c>
      <c r="G853">
        <v>458.88</v>
      </c>
      <c r="H853">
        <v>0.25</v>
      </c>
      <c r="I853" t="s">
        <v>14</v>
      </c>
      <c r="J853">
        <v>1</v>
      </c>
      <c r="K853">
        <v>3.2</v>
      </c>
      <c r="L853">
        <v>2409.12</v>
      </c>
      <c r="M853">
        <f>(Table1[[#This Row],[unit_price]]*Table1[[#This Row],[quantity]])-(Table1[[#This Row],[unit_price]]*Table1[[#This Row],[discount]]*Table1[[#This Row],[quantity]])</f>
        <v>2409.12</v>
      </c>
      <c r="N853">
        <f>DAY(Table1[[#This Row],[order_date]])</f>
        <v>1</v>
      </c>
      <c r="O853" t="str">
        <f>TEXT(Table1[[#This Row],[order_date]],"mmm")</f>
        <v>May</v>
      </c>
      <c r="P853">
        <f>YEAR(Table1[[#This Row],[order_date]])</f>
        <v>2024</v>
      </c>
    </row>
    <row r="854" spans="1:16" x14ac:dyDescent="0.3">
      <c r="A854">
        <v>10853</v>
      </c>
      <c r="B854" s="1">
        <v>45414</v>
      </c>
      <c r="C854">
        <v>1028</v>
      </c>
      <c r="D854" t="s">
        <v>15</v>
      </c>
      <c r="E854" t="s">
        <v>13</v>
      </c>
      <c r="F854">
        <v>4</v>
      </c>
      <c r="G854">
        <v>126.57</v>
      </c>
      <c r="H854">
        <v>0.3</v>
      </c>
      <c r="I854" t="s">
        <v>16</v>
      </c>
      <c r="J854">
        <v>4</v>
      </c>
      <c r="K854">
        <v>4.9000000000000004</v>
      </c>
      <c r="L854">
        <v>354.4</v>
      </c>
      <c r="M854">
        <f>(Table1[[#This Row],[unit_price]]*Table1[[#This Row],[quantity]])-(Table1[[#This Row],[unit_price]]*Table1[[#This Row],[discount]]*Table1[[#This Row],[quantity]])</f>
        <v>354.39599999999996</v>
      </c>
      <c r="N854">
        <f>DAY(Table1[[#This Row],[order_date]])</f>
        <v>2</v>
      </c>
      <c r="O854" t="str">
        <f>TEXT(Table1[[#This Row],[order_date]],"mmm")</f>
        <v>May</v>
      </c>
      <c r="P854">
        <f>YEAR(Table1[[#This Row],[order_date]])</f>
        <v>2024</v>
      </c>
    </row>
    <row r="855" spans="1:16" x14ac:dyDescent="0.3">
      <c r="A855">
        <v>10854</v>
      </c>
      <c r="B855" s="1">
        <v>45415</v>
      </c>
      <c r="C855">
        <v>1164</v>
      </c>
      <c r="D855" t="s">
        <v>22</v>
      </c>
      <c r="E855" t="s">
        <v>17</v>
      </c>
      <c r="F855">
        <v>4</v>
      </c>
      <c r="G855">
        <v>347.4</v>
      </c>
      <c r="H855">
        <v>0.21</v>
      </c>
      <c r="I855" t="s">
        <v>16</v>
      </c>
      <c r="J855">
        <v>7</v>
      </c>
      <c r="K855">
        <v>1.3</v>
      </c>
      <c r="L855">
        <v>1097.78</v>
      </c>
      <c r="M855">
        <f>(Table1[[#This Row],[unit_price]]*Table1[[#This Row],[quantity]])-(Table1[[#This Row],[unit_price]]*Table1[[#This Row],[discount]]*Table1[[#This Row],[quantity]])</f>
        <v>1097.7839999999999</v>
      </c>
      <c r="N855">
        <f>DAY(Table1[[#This Row],[order_date]])</f>
        <v>3</v>
      </c>
      <c r="O855" t="str">
        <f>TEXT(Table1[[#This Row],[order_date]],"mmm")</f>
        <v>May</v>
      </c>
      <c r="P855">
        <f>YEAR(Table1[[#This Row],[order_date]])</f>
        <v>2024</v>
      </c>
    </row>
    <row r="856" spans="1:16" x14ac:dyDescent="0.3">
      <c r="A856">
        <v>10855</v>
      </c>
      <c r="B856" s="1">
        <v>45416</v>
      </c>
      <c r="C856">
        <v>1421</v>
      </c>
      <c r="D856" t="s">
        <v>19</v>
      </c>
      <c r="E856" t="s">
        <v>20</v>
      </c>
      <c r="F856">
        <v>7</v>
      </c>
      <c r="G856">
        <v>491.31</v>
      </c>
      <c r="H856">
        <v>0.27</v>
      </c>
      <c r="I856" t="s">
        <v>16</v>
      </c>
      <c r="J856">
        <v>2</v>
      </c>
      <c r="K856">
        <v>2.2999999999999998</v>
      </c>
      <c r="L856">
        <v>2510.59</v>
      </c>
      <c r="M856">
        <f>(Table1[[#This Row],[unit_price]]*Table1[[#This Row],[quantity]])-(Table1[[#This Row],[unit_price]]*Table1[[#This Row],[discount]]*Table1[[#This Row],[quantity]])</f>
        <v>2510.5941000000003</v>
      </c>
      <c r="N856">
        <f>DAY(Table1[[#This Row],[order_date]])</f>
        <v>4</v>
      </c>
      <c r="O856" t="str">
        <f>TEXT(Table1[[#This Row],[order_date]],"mmm")</f>
        <v>May</v>
      </c>
      <c r="P856">
        <f>YEAR(Table1[[#This Row],[order_date]])</f>
        <v>2024</v>
      </c>
    </row>
    <row r="857" spans="1:16" x14ac:dyDescent="0.3">
      <c r="A857">
        <v>10856</v>
      </c>
      <c r="B857" s="1">
        <v>45417</v>
      </c>
      <c r="C857">
        <v>1338</v>
      </c>
      <c r="D857" t="s">
        <v>22</v>
      </c>
      <c r="E857" t="s">
        <v>17</v>
      </c>
      <c r="F857">
        <v>3</v>
      </c>
      <c r="G857">
        <v>464.42</v>
      </c>
      <c r="H857">
        <v>0.26</v>
      </c>
      <c r="I857" t="s">
        <v>18</v>
      </c>
      <c r="J857">
        <v>3</v>
      </c>
      <c r="K857">
        <v>2.5</v>
      </c>
      <c r="L857">
        <v>1031.01</v>
      </c>
      <c r="M857">
        <f>(Table1[[#This Row],[unit_price]]*Table1[[#This Row],[quantity]])-(Table1[[#This Row],[unit_price]]*Table1[[#This Row],[discount]]*Table1[[#This Row],[quantity]])</f>
        <v>1031.0124000000001</v>
      </c>
      <c r="N857">
        <f>DAY(Table1[[#This Row],[order_date]])</f>
        <v>5</v>
      </c>
      <c r="O857" t="str">
        <f>TEXT(Table1[[#This Row],[order_date]],"mmm")</f>
        <v>May</v>
      </c>
      <c r="P857">
        <f>YEAR(Table1[[#This Row],[order_date]])</f>
        <v>2024</v>
      </c>
    </row>
    <row r="858" spans="1:16" x14ac:dyDescent="0.3">
      <c r="A858">
        <v>10857</v>
      </c>
      <c r="B858" s="1">
        <v>45418</v>
      </c>
      <c r="C858">
        <v>1647</v>
      </c>
      <c r="D858" t="s">
        <v>15</v>
      </c>
      <c r="E858" t="s">
        <v>20</v>
      </c>
      <c r="F858">
        <v>6</v>
      </c>
      <c r="G858">
        <v>484.75</v>
      </c>
      <c r="H858">
        <v>0.2</v>
      </c>
      <c r="I858" t="s">
        <v>16</v>
      </c>
      <c r="J858">
        <v>4</v>
      </c>
      <c r="K858">
        <v>3.9</v>
      </c>
      <c r="L858">
        <v>2326.8000000000002</v>
      </c>
      <c r="M858">
        <f>(Table1[[#This Row],[unit_price]]*Table1[[#This Row],[quantity]])-(Table1[[#This Row],[unit_price]]*Table1[[#This Row],[discount]]*Table1[[#This Row],[quantity]])</f>
        <v>2326.8000000000002</v>
      </c>
      <c r="N858">
        <f>DAY(Table1[[#This Row],[order_date]])</f>
        <v>6</v>
      </c>
      <c r="O858" t="str">
        <f>TEXT(Table1[[#This Row],[order_date]],"mmm")</f>
        <v>May</v>
      </c>
      <c r="P858">
        <f>YEAR(Table1[[#This Row],[order_date]])</f>
        <v>2024</v>
      </c>
    </row>
    <row r="859" spans="1:16" x14ac:dyDescent="0.3">
      <c r="A859">
        <v>10858</v>
      </c>
      <c r="B859" s="1">
        <v>45419</v>
      </c>
      <c r="C859">
        <v>1495</v>
      </c>
      <c r="D859" t="s">
        <v>15</v>
      </c>
      <c r="E859" t="s">
        <v>17</v>
      </c>
      <c r="F859">
        <v>2</v>
      </c>
      <c r="G859">
        <v>529.4</v>
      </c>
      <c r="H859">
        <v>0.11</v>
      </c>
      <c r="I859" t="s">
        <v>18</v>
      </c>
      <c r="J859">
        <v>6</v>
      </c>
      <c r="K859">
        <v>1.9</v>
      </c>
      <c r="L859">
        <v>942.33</v>
      </c>
      <c r="M859">
        <f>(Table1[[#This Row],[unit_price]]*Table1[[#This Row],[quantity]])-(Table1[[#This Row],[unit_price]]*Table1[[#This Row],[discount]]*Table1[[#This Row],[quantity]])</f>
        <v>942.33199999999999</v>
      </c>
      <c r="N859">
        <f>DAY(Table1[[#This Row],[order_date]])</f>
        <v>7</v>
      </c>
      <c r="O859" t="str">
        <f>TEXT(Table1[[#This Row],[order_date]],"mmm")</f>
        <v>May</v>
      </c>
      <c r="P859">
        <f>YEAR(Table1[[#This Row],[order_date]])</f>
        <v>2024</v>
      </c>
    </row>
    <row r="860" spans="1:16" x14ac:dyDescent="0.3">
      <c r="A860">
        <v>10859</v>
      </c>
      <c r="B860" s="1">
        <v>45420</v>
      </c>
      <c r="C860">
        <v>1364</v>
      </c>
      <c r="D860" t="s">
        <v>15</v>
      </c>
      <c r="E860" t="s">
        <v>21</v>
      </c>
      <c r="F860">
        <v>1</v>
      </c>
      <c r="G860">
        <v>563.54</v>
      </c>
      <c r="H860">
        <v>0.26</v>
      </c>
      <c r="I860" t="s">
        <v>16</v>
      </c>
      <c r="J860">
        <v>9</v>
      </c>
      <c r="K860">
        <v>2.5</v>
      </c>
      <c r="L860">
        <v>417.02</v>
      </c>
      <c r="M860">
        <f>(Table1[[#This Row],[unit_price]]*Table1[[#This Row],[quantity]])-(Table1[[#This Row],[unit_price]]*Table1[[#This Row],[discount]]*Table1[[#This Row],[quantity]])</f>
        <v>417.01959999999997</v>
      </c>
      <c r="N860">
        <f>DAY(Table1[[#This Row],[order_date]])</f>
        <v>8</v>
      </c>
      <c r="O860" t="str">
        <f>TEXT(Table1[[#This Row],[order_date]],"mmm")</f>
        <v>May</v>
      </c>
      <c r="P860">
        <f>YEAR(Table1[[#This Row],[order_date]])</f>
        <v>2024</v>
      </c>
    </row>
    <row r="861" spans="1:16" x14ac:dyDescent="0.3">
      <c r="A861">
        <v>10860</v>
      </c>
      <c r="B861" s="1">
        <v>45421</v>
      </c>
      <c r="C861">
        <v>1832</v>
      </c>
      <c r="D861" t="s">
        <v>12</v>
      </c>
      <c r="E861" t="s">
        <v>13</v>
      </c>
      <c r="F861">
        <v>4</v>
      </c>
      <c r="G861">
        <v>252.23</v>
      </c>
      <c r="H861">
        <v>7.0000000000000007E-2</v>
      </c>
      <c r="I861" t="s">
        <v>18</v>
      </c>
      <c r="J861">
        <v>4</v>
      </c>
      <c r="K861">
        <v>4.5999999999999996</v>
      </c>
      <c r="L861">
        <v>938.3</v>
      </c>
      <c r="M861">
        <f>(Table1[[#This Row],[unit_price]]*Table1[[#This Row],[quantity]])-(Table1[[#This Row],[unit_price]]*Table1[[#This Row],[discount]]*Table1[[#This Row],[quantity]])</f>
        <v>938.29559999999992</v>
      </c>
      <c r="N861">
        <f>DAY(Table1[[#This Row],[order_date]])</f>
        <v>9</v>
      </c>
      <c r="O861" t="str">
        <f>TEXT(Table1[[#This Row],[order_date]],"mmm")</f>
        <v>May</v>
      </c>
      <c r="P861">
        <f>YEAR(Table1[[#This Row],[order_date]])</f>
        <v>2024</v>
      </c>
    </row>
    <row r="862" spans="1:16" x14ac:dyDescent="0.3">
      <c r="A862">
        <v>10861</v>
      </c>
      <c r="B862" s="1">
        <v>45422</v>
      </c>
      <c r="C862">
        <v>1341</v>
      </c>
      <c r="D862" t="s">
        <v>15</v>
      </c>
      <c r="E862" t="s">
        <v>20</v>
      </c>
      <c r="F862">
        <v>7</v>
      </c>
      <c r="G862">
        <v>347.73</v>
      </c>
      <c r="H862">
        <v>0.27</v>
      </c>
      <c r="I862" t="s">
        <v>16</v>
      </c>
      <c r="J862">
        <v>6</v>
      </c>
      <c r="K862">
        <v>1.5</v>
      </c>
      <c r="L862">
        <v>1776.9</v>
      </c>
      <c r="M862">
        <f>(Table1[[#This Row],[unit_price]]*Table1[[#This Row],[quantity]])-(Table1[[#This Row],[unit_price]]*Table1[[#This Row],[discount]]*Table1[[#This Row],[quantity]])</f>
        <v>1776.9003</v>
      </c>
      <c r="N862">
        <f>DAY(Table1[[#This Row],[order_date]])</f>
        <v>10</v>
      </c>
      <c r="O862" t="str">
        <f>TEXT(Table1[[#This Row],[order_date]],"mmm")</f>
        <v>May</v>
      </c>
      <c r="P862">
        <f>YEAR(Table1[[#This Row],[order_date]])</f>
        <v>2024</v>
      </c>
    </row>
    <row r="863" spans="1:16" x14ac:dyDescent="0.3">
      <c r="A863">
        <v>10862</v>
      </c>
      <c r="B863" s="1">
        <v>45423</v>
      </c>
      <c r="C863">
        <v>1499</v>
      </c>
      <c r="D863" t="s">
        <v>15</v>
      </c>
      <c r="E863" t="s">
        <v>21</v>
      </c>
      <c r="F863">
        <v>2</v>
      </c>
      <c r="G863">
        <v>477.54</v>
      </c>
      <c r="H863">
        <v>0.28000000000000003</v>
      </c>
      <c r="I863" t="s">
        <v>18</v>
      </c>
      <c r="J863">
        <v>7</v>
      </c>
      <c r="K863">
        <v>4</v>
      </c>
      <c r="L863">
        <v>687.66</v>
      </c>
      <c r="M863">
        <f>(Table1[[#This Row],[unit_price]]*Table1[[#This Row],[quantity]])-(Table1[[#This Row],[unit_price]]*Table1[[#This Row],[discount]]*Table1[[#This Row],[quantity]])</f>
        <v>687.6576</v>
      </c>
      <c r="N863">
        <f>DAY(Table1[[#This Row],[order_date]])</f>
        <v>11</v>
      </c>
      <c r="O863" t="str">
        <f>TEXT(Table1[[#This Row],[order_date]],"mmm")</f>
        <v>May</v>
      </c>
      <c r="P863">
        <f>YEAR(Table1[[#This Row],[order_date]])</f>
        <v>2024</v>
      </c>
    </row>
    <row r="864" spans="1:16" x14ac:dyDescent="0.3">
      <c r="A864">
        <v>10863</v>
      </c>
      <c r="B864" s="1">
        <v>45424</v>
      </c>
      <c r="C864">
        <v>1656</v>
      </c>
      <c r="D864" t="s">
        <v>12</v>
      </c>
      <c r="E864" t="s">
        <v>13</v>
      </c>
      <c r="F864">
        <v>4</v>
      </c>
      <c r="G864">
        <v>422.83</v>
      </c>
      <c r="H864">
        <v>0.28999999999999998</v>
      </c>
      <c r="I864" t="s">
        <v>18</v>
      </c>
      <c r="J864">
        <v>4</v>
      </c>
      <c r="K864">
        <v>3.8</v>
      </c>
      <c r="L864">
        <v>1200.8399999999999</v>
      </c>
      <c r="M864">
        <f>(Table1[[#This Row],[unit_price]]*Table1[[#This Row],[quantity]])-(Table1[[#This Row],[unit_price]]*Table1[[#This Row],[discount]]*Table1[[#This Row],[quantity]])</f>
        <v>1200.8371999999999</v>
      </c>
      <c r="N864">
        <f>DAY(Table1[[#This Row],[order_date]])</f>
        <v>12</v>
      </c>
      <c r="O864" t="str">
        <f>TEXT(Table1[[#This Row],[order_date]],"mmm")</f>
        <v>May</v>
      </c>
      <c r="P864">
        <f>YEAR(Table1[[#This Row],[order_date]])</f>
        <v>2024</v>
      </c>
    </row>
    <row r="865" spans="1:16" x14ac:dyDescent="0.3">
      <c r="A865">
        <v>10864</v>
      </c>
      <c r="B865" s="1">
        <v>45425</v>
      </c>
      <c r="C865">
        <v>1510</v>
      </c>
      <c r="D865" t="s">
        <v>22</v>
      </c>
      <c r="E865" t="s">
        <v>13</v>
      </c>
      <c r="F865">
        <v>3</v>
      </c>
      <c r="G865">
        <v>597.38</v>
      </c>
      <c r="H865">
        <v>0.17</v>
      </c>
      <c r="I865" t="s">
        <v>18</v>
      </c>
      <c r="J865">
        <v>6</v>
      </c>
      <c r="K865">
        <v>1.5</v>
      </c>
      <c r="L865">
        <v>1487.48</v>
      </c>
      <c r="M865">
        <f>(Table1[[#This Row],[unit_price]]*Table1[[#This Row],[quantity]])-(Table1[[#This Row],[unit_price]]*Table1[[#This Row],[discount]]*Table1[[#This Row],[quantity]])</f>
        <v>1487.4761999999998</v>
      </c>
      <c r="N865">
        <f>DAY(Table1[[#This Row],[order_date]])</f>
        <v>13</v>
      </c>
      <c r="O865" t="str">
        <f>TEXT(Table1[[#This Row],[order_date]],"mmm")</f>
        <v>May</v>
      </c>
      <c r="P865">
        <f>YEAR(Table1[[#This Row],[order_date]])</f>
        <v>2024</v>
      </c>
    </row>
    <row r="866" spans="1:16" x14ac:dyDescent="0.3">
      <c r="A866">
        <v>10865</v>
      </c>
      <c r="B866" s="1">
        <v>45426</v>
      </c>
      <c r="C866">
        <v>1326</v>
      </c>
      <c r="D866" t="s">
        <v>15</v>
      </c>
      <c r="E866" t="s">
        <v>13</v>
      </c>
      <c r="F866">
        <v>7</v>
      </c>
      <c r="G866">
        <v>23</v>
      </c>
      <c r="H866">
        <v>7.0000000000000007E-2</v>
      </c>
      <c r="I866" t="s">
        <v>16</v>
      </c>
      <c r="J866">
        <v>3</v>
      </c>
      <c r="K866">
        <v>3.8</v>
      </c>
      <c r="L866">
        <v>149.72999999999999</v>
      </c>
      <c r="M866">
        <f>(Table1[[#This Row],[unit_price]]*Table1[[#This Row],[quantity]])-(Table1[[#This Row],[unit_price]]*Table1[[#This Row],[discount]]*Table1[[#This Row],[quantity]])</f>
        <v>149.72999999999999</v>
      </c>
      <c r="N866">
        <f>DAY(Table1[[#This Row],[order_date]])</f>
        <v>14</v>
      </c>
      <c r="O866" t="str">
        <f>TEXT(Table1[[#This Row],[order_date]],"mmm")</f>
        <v>May</v>
      </c>
      <c r="P866">
        <f>YEAR(Table1[[#This Row],[order_date]])</f>
        <v>2024</v>
      </c>
    </row>
    <row r="867" spans="1:16" x14ac:dyDescent="0.3">
      <c r="A867">
        <v>10866</v>
      </c>
      <c r="B867" s="1">
        <v>45427</v>
      </c>
      <c r="C867">
        <v>1216</v>
      </c>
      <c r="D867" t="s">
        <v>22</v>
      </c>
      <c r="E867" t="s">
        <v>17</v>
      </c>
      <c r="F867">
        <v>2</v>
      </c>
      <c r="G867">
        <v>222.75</v>
      </c>
      <c r="H867">
        <v>0.03</v>
      </c>
      <c r="I867" t="s">
        <v>14</v>
      </c>
      <c r="J867">
        <v>5</v>
      </c>
      <c r="K867">
        <v>3.3</v>
      </c>
      <c r="L867">
        <v>432.14</v>
      </c>
      <c r="M867">
        <f>(Table1[[#This Row],[unit_price]]*Table1[[#This Row],[quantity]])-(Table1[[#This Row],[unit_price]]*Table1[[#This Row],[discount]]*Table1[[#This Row],[quantity]])</f>
        <v>432.13499999999999</v>
      </c>
      <c r="N867">
        <f>DAY(Table1[[#This Row],[order_date]])</f>
        <v>15</v>
      </c>
      <c r="O867" t="str">
        <f>TEXT(Table1[[#This Row],[order_date]],"mmm")</f>
        <v>May</v>
      </c>
      <c r="P867">
        <f>YEAR(Table1[[#This Row],[order_date]])</f>
        <v>2024</v>
      </c>
    </row>
    <row r="868" spans="1:16" x14ac:dyDescent="0.3">
      <c r="A868">
        <v>10867</v>
      </c>
      <c r="B868" s="1">
        <v>45428</v>
      </c>
      <c r="C868">
        <v>1300</v>
      </c>
      <c r="D868" t="s">
        <v>15</v>
      </c>
      <c r="E868" t="s">
        <v>21</v>
      </c>
      <c r="F868">
        <v>7</v>
      </c>
      <c r="G868">
        <v>179.4</v>
      </c>
      <c r="H868">
        <v>0.26</v>
      </c>
      <c r="I868" t="s">
        <v>18</v>
      </c>
      <c r="J868">
        <v>11</v>
      </c>
      <c r="K868">
        <v>2.2000000000000002</v>
      </c>
      <c r="L868">
        <v>929.29</v>
      </c>
      <c r="M868">
        <f>(Table1[[#This Row],[unit_price]]*Table1[[#This Row],[quantity]])-(Table1[[#This Row],[unit_price]]*Table1[[#This Row],[discount]]*Table1[[#This Row],[quantity]])</f>
        <v>929.29199999999992</v>
      </c>
      <c r="N868">
        <f>DAY(Table1[[#This Row],[order_date]])</f>
        <v>16</v>
      </c>
      <c r="O868" t="str">
        <f>TEXT(Table1[[#This Row],[order_date]],"mmm")</f>
        <v>May</v>
      </c>
      <c r="P868">
        <f>YEAR(Table1[[#This Row],[order_date]])</f>
        <v>2024</v>
      </c>
    </row>
    <row r="869" spans="1:16" x14ac:dyDescent="0.3">
      <c r="A869">
        <v>10868</v>
      </c>
      <c r="B869" s="1">
        <v>45429</v>
      </c>
      <c r="C869">
        <v>1131</v>
      </c>
      <c r="D869" t="s">
        <v>19</v>
      </c>
      <c r="E869" t="s">
        <v>21</v>
      </c>
      <c r="F869">
        <v>6</v>
      </c>
      <c r="G869">
        <v>168.45</v>
      </c>
      <c r="H869">
        <v>0.31</v>
      </c>
      <c r="I869" t="s">
        <v>16</v>
      </c>
      <c r="J869">
        <v>10</v>
      </c>
      <c r="K869">
        <v>2.2000000000000002</v>
      </c>
      <c r="L869">
        <v>697.38</v>
      </c>
      <c r="M869">
        <f>(Table1[[#This Row],[unit_price]]*Table1[[#This Row],[quantity]])-(Table1[[#This Row],[unit_price]]*Table1[[#This Row],[discount]]*Table1[[#This Row],[quantity]])</f>
        <v>697.38299999999992</v>
      </c>
      <c r="N869">
        <f>DAY(Table1[[#This Row],[order_date]])</f>
        <v>17</v>
      </c>
      <c r="O869" t="str">
        <f>TEXT(Table1[[#This Row],[order_date]],"mmm")</f>
        <v>May</v>
      </c>
      <c r="P869">
        <f>YEAR(Table1[[#This Row],[order_date]])</f>
        <v>2024</v>
      </c>
    </row>
    <row r="870" spans="1:16" x14ac:dyDescent="0.3">
      <c r="A870">
        <v>10869</v>
      </c>
      <c r="B870" s="1">
        <v>45430</v>
      </c>
      <c r="C870">
        <v>1803</v>
      </c>
      <c r="D870" t="s">
        <v>15</v>
      </c>
      <c r="E870" t="s">
        <v>13</v>
      </c>
      <c r="F870">
        <v>6</v>
      </c>
      <c r="G870">
        <v>145.18</v>
      </c>
      <c r="H870">
        <v>0.23</v>
      </c>
      <c r="I870" t="s">
        <v>14</v>
      </c>
      <c r="J870">
        <v>4</v>
      </c>
      <c r="K870">
        <v>4.3</v>
      </c>
      <c r="L870">
        <v>670.73</v>
      </c>
      <c r="M870">
        <f>(Table1[[#This Row],[unit_price]]*Table1[[#This Row],[quantity]])-(Table1[[#This Row],[unit_price]]*Table1[[#This Row],[discount]]*Table1[[#This Row],[quantity]])</f>
        <v>670.73160000000007</v>
      </c>
      <c r="N870">
        <f>DAY(Table1[[#This Row],[order_date]])</f>
        <v>18</v>
      </c>
      <c r="O870" t="str">
        <f>TEXT(Table1[[#This Row],[order_date]],"mmm")</f>
        <v>May</v>
      </c>
      <c r="P870">
        <f>YEAR(Table1[[#This Row],[order_date]])</f>
        <v>2024</v>
      </c>
    </row>
    <row r="871" spans="1:16" x14ac:dyDescent="0.3">
      <c r="A871">
        <v>10870</v>
      </c>
      <c r="B871" s="1">
        <v>45431</v>
      </c>
      <c r="C871">
        <v>1069</v>
      </c>
      <c r="D871" t="s">
        <v>12</v>
      </c>
      <c r="E871" t="s">
        <v>20</v>
      </c>
      <c r="F871">
        <v>5</v>
      </c>
      <c r="G871">
        <v>429.84</v>
      </c>
      <c r="H871">
        <v>0.05</v>
      </c>
      <c r="I871" t="s">
        <v>18</v>
      </c>
      <c r="J871">
        <v>7</v>
      </c>
      <c r="K871">
        <v>1.9</v>
      </c>
      <c r="L871">
        <v>2041.74</v>
      </c>
      <c r="M871">
        <f>(Table1[[#This Row],[unit_price]]*Table1[[#This Row],[quantity]])-(Table1[[#This Row],[unit_price]]*Table1[[#This Row],[discount]]*Table1[[#This Row],[quantity]])</f>
        <v>2041.7399999999998</v>
      </c>
      <c r="N871">
        <f>DAY(Table1[[#This Row],[order_date]])</f>
        <v>19</v>
      </c>
      <c r="O871" t="str">
        <f>TEXT(Table1[[#This Row],[order_date]],"mmm")</f>
        <v>May</v>
      </c>
      <c r="P871">
        <f>YEAR(Table1[[#This Row],[order_date]])</f>
        <v>2024</v>
      </c>
    </row>
    <row r="872" spans="1:16" x14ac:dyDescent="0.3">
      <c r="A872">
        <v>10871</v>
      </c>
      <c r="B872" s="1">
        <v>45432</v>
      </c>
      <c r="C872">
        <v>1251</v>
      </c>
      <c r="D872" t="s">
        <v>12</v>
      </c>
      <c r="E872" t="s">
        <v>21</v>
      </c>
      <c r="F872">
        <v>1</v>
      </c>
      <c r="G872">
        <v>64.58</v>
      </c>
      <c r="H872">
        <v>0.33</v>
      </c>
      <c r="I872" t="s">
        <v>18</v>
      </c>
      <c r="J872">
        <v>6</v>
      </c>
      <c r="K872">
        <v>3.1</v>
      </c>
      <c r="L872">
        <v>43.27</v>
      </c>
      <c r="M872">
        <f>(Table1[[#This Row],[unit_price]]*Table1[[#This Row],[quantity]])-(Table1[[#This Row],[unit_price]]*Table1[[#This Row],[discount]]*Table1[[#This Row],[quantity]])</f>
        <v>43.268599999999999</v>
      </c>
      <c r="N872">
        <f>DAY(Table1[[#This Row],[order_date]])</f>
        <v>20</v>
      </c>
      <c r="O872" t="str">
        <f>TEXT(Table1[[#This Row],[order_date]],"mmm")</f>
        <v>May</v>
      </c>
      <c r="P872">
        <f>YEAR(Table1[[#This Row],[order_date]])</f>
        <v>2024</v>
      </c>
    </row>
    <row r="873" spans="1:16" x14ac:dyDescent="0.3">
      <c r="A873">
        <v>10872</v>
      </c>
      <c r="B873" s="1">
        <v>45433</v>
      </c>
      <c r="C873">
        <v>1414</v>
      </c>
      <c r="D873" t="s">
        <v>19</v>
      </c>
      <c r="E873" t="s">
        <v>17</v>
      </c>
      <c r="F873">
        <v>1</v>
      </c>
      <c r="G873">
        <v>448.84</v>
      </c>
      <c r="H873">
        <v>0.35</v>
      </c>
      <c r="I873" t="s">
        <v>16</v>
      </c>
      <c r="J873">
        <v>7</v>
      </c>
      <c r="K873">
        <v>3.7</v>
      </c>
      <c r="L873">
        <v>291.75</v>
      </c>
      <c r="M873">
        <f>(Table1[[#This Row],[unit_price]]*Table1[[#This Row],[quantity]])-(Table1[[#This Row],[unit_price]]*Table1[[#This Row],[discount]]*Table1[[#This Row],[quantity]])</f>
        <v>291.74599999999998</v>
      </c>
      <c r="N873">
        <f>DAY(Table1[[#This Row],[order_date]])</f>
        <v>21</v>
      </c>
      <c r="O873" t="str">
        <f>TEXT(Table1[[#This Row],[order_date]],"mmm")</f>
        <v>May</v>
      </c>
      <c r="P873">
        <f>YEAR(Table1[[#This Row],[order_date]])</f>
        <v>2024</v>
      </c>
    </row>
    <row r="874" spans="1:16" x14ac:dyDescent="0.3">
      <c r="A874">
        <v>10873</v>
      </c>
      <c r="B874" s="1">
        <v>45434</v>
      </c>
      <c r="C874">
        <v>1786</v>
      </c>
      <c r="D874" t="s">
        <v>15</v>
      </c>
      <c r="E874" t="s">
        <v>20</v>
      </c>
      <c r="F874">
        <v>4</v>
      </c>
      <c r="G874">
        <v>420.65</v>
      </c>
      <c r="H874">
        <v>0.15</v>
      </c>
      <c r="I874" t="s">
        <v>18</v>
      </c>
      <c r="J874">
        <v>6</v>
      </c>
      <c r="K874">
        <v>1.5</v>
      </c>
      <c r="L874">
        <v>1430.21</v>
      </c>
      <c r="M874">
        <f>(Table1[[#This Row],[unit_price]]*Table1[[#This Row],[quantity]])-(Table1[[#This Row],[unit_price]]*Table1[[#This Row],[discount]]*Table1[[#This Row],[quantity]])</f>
        <v>1430.21</v>
      </c>
      <c r="N874">
        <f>DAY(Table1[[#This Row],[order_date]])</f>
        <v>22</v>
      </c>
      <c r="O874" t="str">
        <f>TEXT(Table1[[#This Row],[order_date]],"mmm")</f>
        <v>May</v>
      </c>
      <c r="P874">
        <f>YEAR(Table1[[#This Row],[order_date]])</f>
        <v>2024</v>
      </c>
    </row>
    <row r="875" spans="1:16" x14ac:dyDescent="0.3">
      <c r="A875">
        <v>10874</v>
      </c>
      <c r="B875" s="1">
        <v>45435</v>
      </c>
      <c r="C875">
        <v>1444</v>
      </c>
      <c r="D875" t="s">
        <v>19</v>
      </c>
      <c r="E875" t="s">
        <v>20</v>
      </c>
      <c r="F875">
        <v>1</v>
      </c>
      <c r="G875">
        <v>161.72</v>
      </c>
      <c r="H875">
        <v>0.21</v>
      </c>
      <c r="I875" t="s">
        <v>16</v>
      </c>
      <c r="J875">
        <v>2</v>
      </c>
      <c r="K875">
        <v>4.7</v>
      </c>
      <c r="L875">
        <v>127.76</v>
      </c>
      <c r="M875">
        <f>(Table1[[#This Row],[unit_price]]*Table1[[#This Row],[quantity]])-(Table1[[#This Row],[unit_price]]*Table1[[#This Row],[discount]]*Table1[[#This Row],[quantity]])</f>
        <v>127.75880000000001</v>
      </c>
      <c r="N875">
        <f>DAY(Table1[[#This Row],[order_date]])</f>
        <v>23</v>
      </c>
      <c r="O875" t="str">
        <f>TEXT(Table1[[#This Row],[order_date]],"mmm")</f>
        <v>May</v>
      </c>
      <c r="P875">
        <f>YEAR(Table1[[#This Row],[order_date]])</f>
        <v>2024</v>
      </c>
    </row>
    <row r="876" spans="1:16" x14ac:dyDescent="0.3">
      <c r="A876">
        <v>10875</v>
      </c>
      <c r="B876" s="1">
        <v>45436</v>
      </c>
      <c r="C876">
        <v>1875</v>
      </c>
      <c r="D876" t="s">
        <v>12</v>
      </c>
      <c r="E876" t="s">
        <v>20</v>
      </c>
      <c r="F876">
        <v>7</v>
      </c>
      <c r="G876">
        <v>162.91</v>
      </c>
      <c r="H876">
        <v>0.27</v>
      </c>
      <c r="I876" t="s">
        <v>16</v>
      </c>
      <c r="J876">
        <v>7</v>
      </c>
      <c r="K876">
        <v>2</v>
      </c>
      <c r="L876">
        <v>832.47</v>
      </c>
      <c r="M876">
        <f>(Table1[[#This Row],[unit_price]]*Table1[[#This Row],[quantity]])-(Table1[[#This Row],[unit_price]]*Table1[[#This Row],[discount]]*Table1[[#This Row],[quantity]])</f>
        <v>832.47009999999989</v>
      </c>
      <c r="N876">
        <f>DAY(Table1[[#This Row],[order_date]])</f>
        <v>24</v>
      </c>
      <c r="O876" t="str">
        <f>TEXT(Table1[[#This Row],[order_date]],"mmm")</f>
        <v>May</v>
      </c>
      <c r="P876">
        <f>YEAR(Table1[[#This Row],[order_date]])</f>
        <v>2024</v>
      </c>
    </row>
    <row r="877" spans="1:16" x14ac:dyDescent="0.3">
      <c r="A877">
        <v>10876</v>
      </c>
      <c r="B877" s="1">
        <v>45437</v>
      </c>
      <c r="C877">
        <v>1181</v>
      </c>
      <c r="D877" t="s">
        <v>12</v>
      </c>
      <c r="E877" t="s">
        <v>20</v>
      </c>
      <c r="F877">
        <v>7</v>
      </c>
      <c r="G877">
        <v>382.88</v>
      </c>
      <c r="H877">
        <v>0.26</v>
      </c>
      <c r="I877" t="s">
        <v>16</v>
      </c>
      <c r="J877">
        <v>8</v>
      </c>
      <c r="K877">
        <v>2.2999999999999998</v>
      </c>
      <c r="L877">
        <v>1983.32</v>
      </c>
      <c r="M877">
        <f>(Table1[[#This Row],[unit_price]]*Table1[[#This Row],[quantity]])-(Table1[[#This Row],[unit_price]]*Table1[[#This Row],[discount]]*Table1[[#This Row],[quantity]])</f>
        <v>1983.3183999999999</v>
      </c>
      <c r="N877">
        <f>DAY(Table1[[#This Row],[order_date]])</f>
        <v>25</v>
      </c>
      <c r="O877" t="str">
        <f>TEXT(Table1[[#This Row],[order_date]],"mmm")</f>
        <v>May</v>
      </c>
      <c r="P877">
        <f>YEAR(Table1[[#This Row],[order_date]])</f>
        <v>2024</v>
      </c>
    </row>
    <row r="878" spans="1:16" x14ac:dyDescent="0.3">
      <c r="A878">
        <v>10877</v>
      </c>
      <c r="B878" s="1">
        <v>45438</v>
      </c>
      <c r="C878">
        <v>1166</v>
      </c>
      <c r="D878" t="s">
        <v>15</v>
      </c>
      <c r="E878" t="s">
        <v>21</v>
      </c>
      <c r="F878">
        <v>5</v>
      </c>
      <c r="G878">
        <v>460.87</v>
      </c>
      <c r="H878">
        <v>0.34</v>
      </c>
      <c r="I878" t="s">
        <v>18</v>
      </c>
      <c r="J878">
        <v>7</v>
      </c>
      <c r="K878">
        <v>3.7</v>
      </c>
      <c r="L878">
        <v>1520.87</v>
      </c>
      <c r="M878">
        <f>(Table1[[#This Row],[unit_price]]*Table1[[#This Row],[quantity]])-(Table1[[#This Row],[unit_price]]*Table1[[#This Row],[discount]]*Table1[[#This Row],[quantity]])</f>
        <v>1520.8709999999999</v>
      </c>
      <c r="N878">
        <f>DAY(Table1[[#This Row],[order_date]])</f>
        <v>26</v>
      </c>
      <c r="O878" t="str">
        <f>TEXT(Table1[[#This Row],[order_date]],"mmm")</f>
        <v>May</v>
      </c>
      <c r="P878">
        <f>YEAR(Table1[[#This Row],[order_date]])</f>
        <v>2024</v>
      </c>
    </row>
    <row r="879" spans="1:16" x14ac:dyDescent="0.3">
      <c r="A879">
        <v>10878</v>
      </c>
      <c r="B879" s="1">
        <v>45439</v>
      </c>
      <c r="C879">
        <v>1090</v>
      </c>
      <c r="D879" t="s">
        <v>22</v>
      </c>
      <c r="E879" t="s">
        <v>13</v>
      </c>
      <c r="F879">
        <v>6</v>
      </c>
      <c r="G879">
        <v>527.74</v>
      </c>
      <c r="H879">
        <v>0.04</v>
      </c>
      <c r="I879" t="s">
        <v>16</v>
      </c>
      <c r="J879">
        <v>4</v>
      </c>
      <c r="K879">
        <v>1.3</v>
      </c>
      <c r="L879">
        <v>3039.78</v>
      </c>
      <c r="M879">
        <f>(Table1[[#This Row],[unit_price]]*Table1[[#This Row],[quantity]])-(Table1[[#This Row],[unit_price]]*Table1[[#This Row],[discount]]*Table1[[#This Row],[quantity]])</f>
        <v>3039.7824000000001</v>
      </c>
      <c r="N879">
        <f>DAY(Table1[[#This Row],[order_date]])</f>
        <v>27</v>
      </c>
      <c r="O879" t="str">
        <f>TEXT(Table1[[#This Row],[order_date]],"mmm")</f>
        <v>May</v>
      </c>
      <c r="P879">
        <f>YEAR(Table1[[#This Row],[order_date]])</f>
        <v>2024</v>
      </c>
    </row>
    <row r="880" spans="1:16" x14ac:dyDescent="0.3">
      <c r="A880">
        <v>10879</v>
      </c>
      <c r="B880" s="1">
        <v>45440</v>
      </c>
      <c r="C880">
        <v>1713</v>
      </c>
      <c r="D880" t="s">
        <v>22</v>
      </c>
      <c r="E880" t="s">
        <v>20</v>
      </c>
      <c r="F880">
        <v>2</v>
      </c>
      <c r="G880">
        <v>513.5</v>
      </c>
      <c r="H880">
        <v>0.2</v>
      </c>
      <c r="I880" t="s">
        <v>14</v>
      </c>
      <c r="J880">
        <v>4</v>
      </c>
      <c r="K880">
        <v>3.5</v>
      </c>
      <c r="L880">
        <v>821.6</v>
      </c>
      <c r="M880">
        <f>(Table1[[#This Row],[unit_price]]*Table1[[#This Row],[quantity]])-(Table1[[#This Row],[unit_price]]*Table1[[#This Row],[discount]]*Table1[[#This Row],[quantity]])</f>
        <v>821.6</v>
      </c>
      <c r="N880">
        <f>DAY(Table1[[#This Row],[order_date]])</f>
        <v>28</v>
      </c>
      <c r="O880" t="str">
        <f>TEXT(Table1[[#This Row],[order_date]],"mmm")</f>
        <v>May</v>
      </c>
      <c r="P880">
        <f>YEAR(Table1[[#This Row],[order_date]])</f>
        <v>2024</v>
      </c>
    </row>
    <row r="881" spans="1:16" x14ac:dyDescent="0.3">
      <c r="A881">
        <v>10880</v>
      </c>
      <c r="B881" s="1">
        <v>45441</v>
      </c>
      <c r="C881">
        <v>1857</v>
      </c>
      <c r="D881" t="s">
        <v>15</v>
      </c>
      <c r="E881" t="s">
        <v>17</v>
      </c>
      <c r="F881">
        <v>2</v>
      </c>
      <c r="G881">
        <v>579.46</v>
      </c>
      <c r="H881">
        <v>0.24</v>
      </c>
      <c r="I881" t="s">
        <v>16</v>
      </c>
      <c r="J881">
        <v>5</v>
      </c>
      <c r="K881">
        <v>4.7</v>
      </c>
      <c r="L881">
        <v>880.78</v>
      </c>
      <c r="M881">
        <f>(Table1[[#This Row],[unit_price]]*Table1[[#This Row],[quantity]])-(Table1[[#This Row],[unit_price]]*Table1[[#This Row],[discount]]*Table1[[#This Row],[quantity]])</f>
        <v>880.77920000000006</v>
      </c>
      <c r="N881">
        <f>DAY(Table1[[#This Row],[order_date]])</f>
        <v>29</v>
      </c>
      <c r="O881" t="str">
        <f>TEXT(Table1[[#This Row],[order_date]],"mmm")</f>
        <v>May</v>
      </c>
      <c r="P881">
        <f>YEAR(Table1[[#This Row],[order_date]])</f>
        <v>2024</v>
      </c>
    </row>
    <row r="882" spans="1:16" x14ac:dyDescent="0.3">
      <c r="A882">
        <v>10881</v>
      </c>
      <c r="B882" s="1">
        <v>45442</v>
      </c>
      <c r="C882">
        <v>1530</v>
      </c>
      <c r="D882" t="s">
        <v>19</v>
      </c>
      <c r="E882" t="s">
        <v>17</v>
      </c>
      <c r="F882">
        <v>6</v>
      </c>
      <c r="G882">
        <v>355.11</v>
      </c>
      <c r="H882">
        <v>0.31</v>
      </c>
      <c r="I882" t="s">
        <v>16</v>
      </c>
      <c r="J882">
        <v>9</v>
      </c>
      <c r="K882">
        <v>2</v>
      </c>
      <c r="L882">
        <v>1470.16</v>
      </c>
      <c r="M882">
        <f>(Table1[[#This Row],[unit_price]]*Table1[[#This Row],[quantity]])-(Table1[[#This Row],[unit_price]]*Table1[[#This Row],[discount]]*Table1[[#This Row],[quantity]])</f>
        <v>1470.1553999999999</v>
      </c>
      <c r="N882">
        <f>DAY(Table1[[#This Row],[order_date]])</f>
        <v>30</v>
      </c>
      <c r="O882" t="str">
        <f>TEXT(Table1[[#This Row],[order_date]],"mmm")</f>
        <v>May</v>
      </c>
      <c r="P882">
        <f>YEAR(Table1[[#This Row],[order_date]])</f>
        <v>2024</v>
      </c>
    </row>
    <row r="883" spans="1:16" x14ac:dyDescent="0.3">
      <c r="A883">
        <v>10882</v>
      </c>
      <c r="B883" s="1">
        <v>45443</v>
      </c>
      <c r="C883">
        <v>1038</v>
      </c>
      <c r="D883" t="s">
        <v>15</v>
      </c>
      <c r="E883" t="s">
        <v>13</v>
      </c>
      <c r="F883">
        <v>3</v>
      </c>
      <c r="G883">
        <v>546.55999999999995</v>
      </c>
      <c r="H883">
        <v>0.31</v>
      </c>
      <c r="I883" t="s">
        <v>18</v>
      </c>
      <c r="J883">
        <v>5</v>
      </c>
      <c r="K883">
        <v>2.4</v>
      </c>
      <c r="L883">
        <v>1131.3800000000001</v>
      </c>
      <c r="M883">
        <f>(Table1[[#This Row],[unit_price]]*Table1[[#This Row],[quantity]])-(Table1[[#This Row],[unit_price]]*Table1[[#This Row],[discount]]*Table1[[#This Row],[quantity]])</f>
        <v>1131.3791999999999</v>
      </c>
      <c r="N883">
        <f>DAY(Table1[[#This Row],[order_date]])</f>
        <v>31</v>
      </c>
      <c r="O883" t="str">
        <f>TEXT(Table1[[#This Row],[order_date]],"mmm")</f>
        <v>May</v>
      </c>
      <c r="P883">
        <f>YEAR(Table1[[#This Row],[order_date]])</f>
        <v>2024</v>
      </c>
    </row>
    <row r="884" spans="1:16" x14ac:dyDescent="0.3">
      <c r="A884">
        <v>10883</v>
      </c>
      <c r="B884" s="1">
        <v>45444</v>
      </c>
      <c r="C884">
        <v>1125</v>
      </c>
      <c r="D884" t="s">
        <v>22</v>
      </c>
      <c r="E884" t="s">
        <v>21</v>
      </c>
      <c r="F884">
        <v>6</v>
      </c>
      <c r="G884">
        <v>487.98</v>
      </c>
      <c r="H884">
        <v>0.34</v>
      </c>
      <c r="I884" t="s">
        <v>18</v>
      </c>
      <c r="J884">
        <v>2</v>
      </c>
      <c r="K884">
        <v>1.9</v>
      </c>
      <c r="L884">
        <v>1932.4</v>
      </c>
      <c r="M884">
        <f>(Table1[[#This Row],[unit_price]]*Table1[[#This Row],[quantity]])-(Table1[[#This Row],[unit_price]]*Table1[[#This Row],[discount]]*Table1[[#This Row],[quantity]])</f>
        <v>1932.4007999999999</v>
      </c>
      <c r="N884">
        <f>DAY(Table1[[#This Row],[order_date]])</f>
        <v>1</v>
      </c>
      <c r="O884" t="str">
        <f>TEXT(Table1[[#This Row],[order_date]],"mmm")</f>
        <v>Jun</v>
      </c>
      <c r="P884">
        <f>YEAR(Table1[[#This Row],[order_date]])</f>
        <v>2024</v>
      </c>
    </row>
    <row r="885" spans="1:16" x14ac:dyDescent="0.3">
      <c r="A885">
        <v>10884</v>
      </c>
      <c r="B885" s="1">
        <v>45445</v>
      </c>
      <c r="C885">
        <v>1450</v>
      </c>
      <c r="D885" t="s">
        <v>22</v>
      </c>
      <c r="E885" t="s">
        <v>13</v>
      </c>
      <c r="F885">
        <v>2</v>
      </c>
      <c r="G885">
        <v>538.38</v>
      </c>
      <c r="H885">
        <v>0.18</v>
      </c>
      <c r="I885" t="s">
        <v>16</v>
      </c>
      <c r="J885">
        <v>5</v>
      </c>
      <c r="K885">
        <v>4.3</v>
      </c>
      <c r="L885">
        <v>882.94</v>
      </c>
      <c r="M885">
        <f>(Table1[[#This Row],[unit_price]]*Table1[[#This Row],[quantity]])-(Table1[[#This Row],[unit_price]]*Table1[[#This Row],[discount]]*Table1[[#This Row],[quantity]])</f>
        <v>882.94319999999993</v>
      </c>
      <c r="N885">
        <f>DAY(Table1[[#This Row],[order_date]])</f>
        <v>2</v>
      </c>
      <c r="O885" t="str">
        <f>TEXT(Table1[[#This Row],[order_date]],"mmm")</f>
        <v>Jun</v>
      </c>
      <c r="P885">
        <f>YEAR(Table1[[#This Row],[order_date]])</f>
        <v>2024</v>
      </c>
    </row>
    <row r="886" spans="1:16" x14ac:dyDescent="0.3">
      <c r="A886">
        <v>10885</v>
      </c>
      <c r="B886" s="1">
        <v>45446</v>
      </c>
      <c r="C886">
        <v>1172</v>
      </c>
      <c r="D886" t="s">
        <v>15</v>
      </c>
      <c r="E886" t="s">
        <v>20</v>
      </c>
      <c r="F886">
        <v>4</v>
      </c>
      <c r="G886">
        <v>21.8</v>
      </c>
      <c r="H886">
        <v>0.28999999999999998</v>
      </c>
      <c r="I886" t="s">
        <v>16</v>
      </c>
      <c r="J886">
        <v>3</v>
      </c>
      <c r="K886">
        <v>1.7</v>
      </c>
      <c r="L886">
        <v>61.91</v>
      </c>
      <c r="M886">
        <f>(Table1[[#This Row],[unit_price]]*Table1[[#This Row],[quantity]])-(Table1[[#This Row],[unit_price]]*Table1[[#This Row],[discount]]*Table1[[#This Row],[quantity]])</f>
        <v>61.912000000000006</v>
      </c>
      <c r="N886">
        <f>DAY(Table1[[#This Row],[order_date]])</f>
        <v>3</v>
      </c>
      <c r="O886" t="str">
        <f>TEXT(Table1[[#This Row],[order_date]],"mmm")</f>
        <v>Jun</v>
      </c>
      <c r="P886">
        <f>YEAR(Table1[[#This Row],[order_date]])</f>
        <v>2024</v>
      </c>
    </row>
    <row r="887" spans="1:16" x14ac:dyDescent="0.3">
      <c r="A887">
        <v>10886</v>
      </c>
      <c r="B887" s="1">
        <v>45447</v>
      </c>
      <c r="C887">
        <v>1652</v>
      </c>
      <c r="D887" t="s">
        <v>12</v>
      </c>
      <c r="E887" t="s">
        <v>21</v>
      </c>
      <c r="F887">
        <v>5</v>
      </c>
      <c r="G887">
        <v>580.04999999999995</v>
      </c>
      <c r="H887">
        <v>0.15</v>
      </c>
      <c r="I887" t="s">
        <v>16</v>
      </c>
      <c r="J887">
        <v>10</v>
      </c>
      <c r="K887">
        <v>2.4</v>
      </c>
      <c r="L887">
        <v>2465.21</v>
      </c>
      <c r="M887">
        <f>(Table1[[#This Row],[unit_price]]*Table1[[#This Row],[quantity]])-(Table1[[#This Row],[unit_price]]*Table1[[#This Row],[discount]]*Table1[[#This Row],[quantity]])</f>
        <v>2465.2125000000001</v>
      </c>
      <c r="N887">
        <f>DAY(Table1[[#This Row],[order_date]])</f>
        <v>4</v>
      </c>
      <c r="O887" t="str">
        <f>TEXT(Table1[[#This Row],[order_date]],"mmm")</f>
        <v>Jun</v>
      </c>
      <c r="P887">
        <f>YEAR(Table1[[#This Row],[order_date]])</f>
        <v>2024</v>
      </c>
    </row>
    <row r="888" spans="1:16" x14ac:dyDescent="0.3">
      <c r="A888">
        <v>10887</v>
      </c>
      <c r="B888" s="1">
        <v>45448</v>
      </c>
      <c r="C888">
        <v>1753</v>
      </c>
      <c r="D888" t="s">
        <v>19</v>
      </c>
      <c r="E888" t="s">
        <v>21</v>
      </c>
      <c r="F888">
        <v>6</v>
      </c>
      <c r="G888">
        <v>292.02</v>
      </c>
      <c r="H888">
        <v>0.15</v>
      </c>
      <c r="I888" t="s">
        <v>18</v>
      </c>
      <c r="J888">
        <v>8</v>
      </c>
      <c r="K888">
        <v>3.4</v>
      </c>
      <c r="L888">
        <v>1489.3</v>
      </c>
      <c r="M888">
        <f>(Table1[[#This Row],[unit_price]]*Table1[[#This Row],[quantity]])-(Table1[[#This Row],[unit_price]]*Table1[[#This Row],[discount]]*Table1[[#This Row],[quantity]])</f>
        <v>1489.3019999999999</v>
      </c>
      <c r="N888">
        <f>DAY(Table1[[#This Row],[order_date]])</f>
        <v>5</v>
      </c>
      <c r="O888" t="str">
        <f>TEXT(Table1[[#This Row],[order_date]],"mmm")</f>
        <v>Jun</v>
      </c>
      <c r="P888">
        <f>YEAR(Table1[[#This Row],[order_date]])</f>
        <v>2024</v>
      </c>
    </row>
    <row r="889" spans="1:16" x14ac:dyDescent="0.3">
      <c r="A889">
        <v>10888</v>
      </c>
      <c r="B889" s="1">
        <v>45449</v>
      </c>
      <c r="C889">
        <v>1219</v>
      </c>
      <c r="D889" t="s">
        <v>15</v>
      </c>
      <c r="E889" t="s">
        <v>20</v>
      </c>
      <c r="F889">
        <v>3</v>
      </c>
      <c r="G889">
        <v>481.94</v>
      </c>
      <c r="H889">
        <v>0.09</v>
      </c>
      <c r="I889" t="s">
        <v>16</v>
      </c>
      <c r="J889">
        <v>10</v>
      </c>
      <c r="K889">
        <v>2.6</v>
      </c>
      <c r="L889">
        <v>1315.7</v>
      </c>
      <c r="M889">
        <f>(Table1[[#This Row],[unit_price]]*Table1[[#This Row],[quantity]])-(Table1[[#This Row],[unit_price]]*Table1[[#This Row],[discount]]*Table1[[#This Row],[quantity]])</f>
        <v>1315.6961999999999</v>
      </c>
      <c r="N889">
        <f>DAY(Table1[[#This Row],[order_date]])</f>
        <v>6</v>
      </c>
      <c r="O889" t="str">
        <f>TEXT(Table1[[#This Row],[order_date]],"mmm")</f>
        <v>Jun</v>
      </c>
      <c r="P889">
        <f>YEAR(Table1[[#This Row],[order_date]])</f>
        <v>2024</v>
      </c>
    </row>
    <row r="890" spans="1:16" x14ac:dyDescent="0.3">
      <c r="A890">
        <v>10889</v>
      </c>
      <c r="B890" s="1">
        <v>45450</v>
      </c>
      <c r="C890">
        <v>1637</v>
      </c>
      <c r="D890" t="s">
        <v>22</v>
      </c>
      <c r="E890" t="s">
        <v>17</v>
      </c>
      <c r="F890">
        <v>4</v>
      </c>
      <c r="G890">
        <v>89.41</v>
      </c>
      <c r="H890">
        <v>0.28999999999999998</v>
      </c>
      <c r="I890" t="s">
        <v>18</v>
      </c>
      <c r="J890">
        <v>10</v>
      </c>
      <c r="K890">
        <v>1.3</v>
      </c>
      <c r="L890">
        <v>253.92</v>
      </c>
      <c r="M890">
        <f>(Table1[[#This Row],[unit_price]]*Table1[[#This Row],[quantity]])-(Table1[[#This Row],[unit_price]]*Table1[[#This Row],[discount]]*Table1[[#This Row],[quantity]])</f>
        <v>253.92439999999999</v>
      </c>
      <c r="N890">
        <f>DAY(Table1[[#This Row],[order_date]])</f>
        <v>7</v>
      </c>
      <c r="O890" t="str">
        <f>TEXT(Table1[[#This Row],[order_date]],"mmm")</f>
        <v>Jun</v>
      </c>
      <c r="P890">
        <f>YEAR(Table1[[#This Row],[order_date]])</f>
        <v>2024</v>
      </c>
    </row>
    <row r="891" spans="1:16" x14ac:dyDescent="0.3">
      <c r="A891">
        <v>10890</v>
      </c>
      <c r="B891" s="1">
        <v>45451</v>
      </c>
      <c r="C891">
        <v>1057</v>
      </c>
      <c r="D891" t="s">
        <v>22</v>
      </c>
      <c r="E891" t="s">
        <v>20</v>
      </c>
      <c r="F891">
        <v>6</v>
      </c>
      <c r="G891">
        <v>246.63</v>
      </c>
      <c r="H891">
        <v>0.35</v>
      </c>
      <c r="I891" t="s">
        <v>18</v>
      </c>
      <c r="J891">
        <v>2</v>
      </c>
      <c r="K891">
        <v>4.8</v>
      </c>
      <c r="L891">
        <v>961.86</v>
      </c>
      <c r="M891">
        <f>(Table1[[#This Row],[unit_price]]*Table1[[#This Row],[quantity]])-(Table1[[#This Row],[unit_price]]*Table1[[#This Row],[discount]]*Table1[[#This Row],[quantity]])</f>
        <v>961.85699999999997</v>
      </c>
      <c r="N891">
        <f>DAY(Table1[[#This Row],[order_date]])</f>
        <v>8</v>
      </c>
      <c r="O891" t="str">
        <f>TEXT(Table1[[#This Row],[order_date]],"mmm")</f>
        <v>Jun</v>
      </c>
      <c r="P891">
        <f>YEAR(Table1[[#This Row],[order_date]])</f>
        <v>2024</v>
      </c>
    </row>
    <row r="892" spans="1:16" x14ac:dyDescent="0.3">
      <c r="A892">
        <v>10891</v>
      </c>
      <c r="B892" s="1">
        <v>45452</v>
      </c>
      <c r="C892">
        <v>1659</v>
      </c>
      <c r="D892" t="s">
        <v>15</v>
      </c>
      <c r="E892" t="s">
        <v>13</v>
      </c>
      <c r="F892">
        <v>4</v>
      </c>
      <c r="G892">
        <v>173.8</v>
      </c>
      <c r="H892">
        <v>0.09</v>
      </c>
      <c r="I892" t="s">
        <v>16</v>
      </c>
      <c r="J892">
        <v>11</v>
      </c>
      <c r="K892">
        <v>2.4</v>
      </c>
      <c r="L892">
        <v>632.63</v>
      </c>
      <c r="M892">
        <f>(Table1[[#This Row],[unit_price]]*Table1[[#This Row],[quantity]])-(Table1[[#This Row],[unit_price]]*Table1[[#This Row],[discount]]*Table1[[#This Row],[quantity]])</f>
        <v>632.63200000000006</v>
      </c>
      <c r="N892">
        <f>DAY(Table1[[#This Row],[order_date]])</f>
        <v>9</v>
      </c>
      <c r="O892" t="str">
        <f>TEXT(Table1[[#This Row],[order_date]],"mmm")</f>
        <v>Jun</v>
      </c>
      <c r="P892">
        <f>YEAR(Table1[[#This Row],[order_date]])</f>
        <v>2024</v>
      </c>
    </row>
    <row r="893" spans="1:16" x14ac:dyDescent="0.3">
      <c r="A893">
        <v>10892</v>
      </c>
      <c r="B893" s="1">
        <v>45453</v>
      </c>
      <c r="C893">
        <v>1475</v>
      </c>
      <c r="D893" t="s">
        <v>19</v>
      </c>
      <c r="E893" t="s">
        <v>20</v>
      </c>
      <c r="F893">
        <v>6</v>
      </c>
      <c r="G893">
        <v>185.62</v>
      </c>
      <c r="H893">
        <v>0.02</v>
      </c>
      <c r="I893" t="s">
        <v>16</v>
      </c>
      <c r="J893">
        <v>4</v>
      </c>
      <c r="K893">
        <v>2.8</v>
      </c>
      <c r="L893">
        <v>1091.45</v>
      </c>
      <c r="M893">
        <f>(Table1[[#This Row],[unit_price]]*Table1[[#This Row],[quantity]])-(Table1[[#This Row],[unit_price]]*Table1[[#This Row],[discount]]*Table1[[#This Row],[quantity]])</f>
        <v>1091.4456</v>
      </c>
      <c r="N893">
        <f>DAY(Table1[[#This Row],[order_date]])</f>
        <v>10</v>
      </c>
      <c r="O893" t="str">
        <f>TEXT(Table1[[#This Row],[order_date]],"mmm")</f>
        <v>Jun</v>
      </c>
      <c r="P893">
        <f>YEAR(Table1[[#This Row],[order_date]])</f>
        <v>2024</v>
      </c>
    </row>
    <row r="894" spans="1:16" x14ac:dyDescent="0.3">
      <c r="A894">
        <v>10893</v>
      </c>
      <c r="B894" s="1">
        <v>45454</v>
      </c>
      <c r="C894">
        <v>1455</v>
      </c>
      <c r="D894" t="s">
        <v>19</v>
      </c>
      <c r="E894" t="s">
        <v>17</v>
      </c>
      <c r="F894">
        <v>4</v>
      </c>
      <c r="G894">
        <v>87.1</v>
      </c>
      <c r="H894">
        <v>0.28999999999999998</v>
      </c>
      <c r="I894" t="s">
        <v>16</v>
      </c>
      <c r="J894">
        <v>5</v>
      </c>
      <c r="K894">
        <v>1.7</v>
      </c>
      <c r="L894">
        <v>247.36</v>
      </c>
      <c r="M894">
        <f>(Table1[[#This Row],[unit_price]]*Table1[[#This Row],[quantity]])-(Table1[[#This Row],[unit_price]]*Table1[[#This Row],[discount]]*Table1[[#This Row],[quantity]])</f>
        <v>247.36399999999998</v>
      </c>
      <c r="N894">
        <f>DAY(Table1[[#This Row],[order_date]])</f>
        <v>11</v>
      </c>
      <c r="O894" t="str">
        <f>TEXT(Table1[[#This Row],[order_date]],"mmm")</f>
        <v>Jun</v>
      </c>
      <c r="P894">
        <f>YEAR(Table1[[#This Row],[order_date]])</f>
        <v>2024</v>
      </c>
    </row>
    <row r="895" spans="1:16" x14ac:dyDescent="0.3">
      <c r="A895">
        <v>10894</v>
      </c>
      <c r="B895" s="1">
        <v>45455</v>
      </c>
      <c r="C895">
        <v>1828</v>
      </c>
      <c r="D895" t="s">
        <v>15</v>
      </c>
      <c r="E895" t="s">
        <v>20</v>
      </c>
      <c r="F895">
        <v>7</v>
      </c>
      <c r="G895">
        <v>486.37</v>
      </c>
      <c r="H895">
        <v>0.22</v>
      </c>
      <c r="I895" t="s">
        <v>16</v>
      </c>
      <c r="J895">
        <v>4</v>
      </c>
      <c r="K895">
        <v>4.5</v>
      </c>
      <c r="L895">
        <v>2655.58</v>
      </c>
      <c r="M895">
        <f>(Table1[[#This Row],[unit_price]]*Table1[[#This Row],[quantity]])-(Table1[[#This Row],[unit_price]]*Table1[[#This Row],[discount]]*Table1[[#This Row],[quantity]])</f>
        <v>2655.5802000000003</v>
      </c>
      <c r="N895">
        <f>DAY(Table1[[#This Row],[order_date]])</f>
        <v>12</v>
      </c>
      <c r="O895" t="str">
        <f>TEXT(Table1[[#This Row],[order_date]],"mmm")</f>
        <v>Jun</v>
      </c>
      <c r="P895">
        <f>YEAR(Table1[[#This Row],[order_date]])</f>
        <v>2024</v>
      </c>
    </row>
    <row r="896" spans="1:16" x14ac:dyDescent="0.3">
      <c r="A896">
        <v>10895</v>
      </c>
      <c r="B896" s="1">
        <v>45456</v>
      </c>
      <c r="C896">
        <v>1894</v>
      </c>
      <c r="D896" t="s">
        <v>15</v>
      </c>
      <c r="E896" t="s">
        <v>13</v>
      </c>
      <c r="F896">
        <v>1</v>
      </c>
      <c r="G896">
        <v>20.41</v>
      </c>
      <c r="H896">
        <v>0.34</v>
      </c>
      <c r="I896" t="s">
        <v>18</v>
      </c>
      <c r="J896">
        <v>5</v>
      </c>
      <c r="K896">
        <v>2.2000000000000002</v>
      </c>
      <c r="L896">
        <v>13.47</v>
      </c>
      <c r="M896">
        <f>(Table1[[#This Row],[unit_price]]*Table1[[#This Row],[quantity]])-(Table1[[#This Row],[unit_price]]*Table1[[#This Row],[discount]]*Table1[[#This Row],[quantity]])</f>
        <v>13.470599999999999</v>
      </c>
      <c r="N896">
        <f>DAY(Table1[[#This Row],[order_date]])</f>
        <v>13</v>
      </c>
      <c r="O896" t="str">
        <f>TEXT(Table1[[#This Row],[order_date]],"mmm")</f>
        <v>Jun</v>
      </c>
      <c r="P896">
        <f>YEAR(Table1[[#This Row],[order_date]])</f>
        <v>2024</v>
      </c>
    </row>
    <row r="897" spans="1:16" x14ac:dyDescent="0.3">
      <c r="A897">
        <v>10896</v>
      </c>
      <c r="B897" s="1">
        <v>45457</v>
      </c>
      <c r="C897">
        <v>1360</v>
      </c>
      <c r="D897" t="s">
        <v>19</v>
      </c>
      <c r="E897" t="s">
        <v>13</v>
      </c>
      <c r="F897">
        <v>4</v>
      </c>
      <c r="G897">
        <v>197.82</v>
      </c>
      <c r="H897">
        <v>0.09</v>
      </c>
      <c r="I897" t="s">
        <v>18</v>
      </c>
      <c r="J897">
        <v>10</v>
      </c>
      <c r="K897">
        <v>1.1000000000000001</v>
      </c>
      <c r="L897">
        <v>720.06</v>
      </c>
      <c r="M897">
        <f>(Table1[[#This Row],[unit_price]]*Table1[[#This Row],[quantity]])-(Table1[[#This Row],[unit_price]]*Table1[[#This Row],[discount]]*Table1[[#This Row],[quantity]])</f>
        <v>720.06479999999999</v>
      </c>
      <c r="N897">
        <f>DAY(Table1[[#This Row],[order_date]])</f>
        <v>14</v>
      </c>
      <c r="O897" t="str">
        <f>TEXT(Table1[[#This Row],[order_date]],"mmm")</f>
        <v>Jun</v>
      </c>
      <c r="P897">
        <f>YEAR(Table1[[#This Row],[order_date]])</f>
        <v>2024</v>
      </c>
    </row>
    <row r="898" spans="1:16" x14ac:dyDescent="0.3">
      <c r="A898">
        <v>10897</v>
      </c>
      <c r="B898" s="1">
        <v>45458</v>
      </c>
      <c r="C898">
        <v>1934</v>
      </c>
      <c r="D898" t="s">
        <v>22</v>
      </c>
      <c r="E898" t="s">
        <v>17</v>
      </c>
      <c r="F898">
        <v>7</v>
      </c>
      <c r="G898">
        <v>117.03</v>
      </c>
      <c r="H898">
        <v>0.02</v>
      </c>
      <c r="I898" t="s">
        <v>18</v>
      </c>
      <c r="J898">
        <v>11</v>
      </c>
      <c r="K898">
        <v>2.2999999999999998</v>
      </c>
      <c r="L898">
        <v>802.83</v>
      </c>
      <c r="M898">
        <f>(Table1[[#This Row],[unit_price]]*Table1[[#This Row],[quantity]])-(Table1[[#This Row],[unit_price]]*Table1[[#This Row],[discount]]*Table1[[#This Row],[quantity]])</f>
        <v>802.82580000000007</v>
      </c>
      <c r="N898">
        <f>DAY(Table1[[#This Row],[order_date]])</f>
        <v>15</v>
      </c>
      <c r="O898" t="str">
        <f>TEXT(Table1[[#This Row],[order_date]],"mmm")</f>
        <v>Jun</v>
      </c>
      <c r="P898">
        <f>YEAR(Table1[[#This Row],[order_date]])</f>
        <v>2024</v>
      </c>
    </row>
    <row r="899" spans="1:16" x14ac:dyDescent="0.3">
      <c r="A899">
        <v>10898</v>
      </c>
      <c r="B899" s="1">
        <v>45459</v>
      </c>
      <c r="C899">
        <v>1000</v>
      </c>
      <c r="D899" t="s">
        <v>15</v>
      </c>
      <c r="E899" t="s">
        <v>13</v>
      </c>
      <c r="F899">
        <v>1</v>
      </c>
      <c r="G899">
        <v>359.59</v>
      </c>
      <c r="H899">
        <v>0.17</v>
      </c>
      <c r="I899" t="s">
        <v>16</v>
      </c>
      <c r="J899">
        <v>4</v>
      </c>
      <c r="K899">
        <v>4.9000000000000004</v>
      </c>
      <c r="L899">
        <v>298.45999999999998</v>
      </c>
      <c r="M899">
        <f>(Table1[[#This Row],[unit_price]]*Table1[[#This Row],[quantity]])-(Table1[[#This Row],[unit_price]]*Table1[[#This Row],[discount]]*Table1[[#This Row],[quantity]])</f>
        <v>298.4597</v>
      </c>
      <c r="N899">
        <f>DAY(Table1[[#This Row],[order_date]])</f>
        <v>16</v>
      </c>
      <c r="O899" t="str">
        <f>TEXT(Table1[[#This Row],[order_date]],"mmm")</f>
        <v>Jun</v>
      </c>
      <c r="P899">
        <f>YEAR(Table1[[#This Row],[order_date]])</f>
        <v>2024</v>
      </c>
    </row>
    <row r="900" spans="1:16" x14ac:dyDescent="0.3">
      <c r="A900">
        <v>10899</v>
      </c>
      <c r="B900" s="1">
        <v>45460</v>
      </c>
      <c r="C900">
        <v>1386</v>
      </c>
      <c r="D900" t="s">
        <v>22</v>
      </c>
      <c r="E900" t="s">
        <v>13</v>
      </c>
      <c r="F900">
        <v>2</v>
      </c>
      <c r="G900">
        <v>163.74</v>
      </c>
      <c r="H900">
        <v>0.03</v>
      </c>
      <c r="I900" t="s">
        <v>14</v>
      </c>
      <c r="J900">
        <v>3</v>
      </c>
      <c r="K900">
        <v>1.6</v>
      </c>
      <c r="L900">
        <v>317.66000000000003</v>
      </c>
      <c r="M900">
        <f>(Table1[[#This Row],[unit_price]]*Table1[[#This Row],[quantity]])-(Table1[[#This Row],[unit_price]]*Table1[[#This Row],[discount]]*Table1[[#This Row],[quantity]])</f>
        <v>317.65559999999999</v>
      </c>
      <c r="N900">
        <f>DAY(Table1[[#This Row],[order_date]])</f>
        <v>17</v>
      </c>
      <c r="O900" t="str">
        <f>TEXT(Table1[[#This Row],[order_date]],"mmm")</f>
        <v>Jun</v>
      </c>
      <c r="P900">
        <f>YEAR(Table1[[#This Row],[order_date]])</f>
        <v>2024</v>
      </c>
    </row>
    <row r="901" spans="1:16" x14ac:dyDescent="0.3">
      <c r="A901">
        <v>10900</v>
      </c>
      <c r="B901" s="1">
        <v>45461</v>
      </c>
      <c r="C901">
        <v>1972</v>
      </c>
      <c r="D901" t="s">
        <v>22</v>
      </c>
      <c r="E901" t="s">
        <v>20</v>
      </c>
      <c r="F901">
        <v>1</v>
      </c>
      <c r="G901">
        <v>166.51</v>
      </c>
      <c r="H901">
        <v>0.09</v>
      </c>
      <c r="I901" t="s">
        <v>16</v>
      </c>
      <c r="J901">
        <v>1</v>
      </c>
      <c r="K901">
        <v>1.1000000000000001</v>
      </c>
      <c r="L901">
        <v>151.52000000000001</v>
      </c>
      <c r="M901">
        <f>(Table1[[#This Row],[unit_price]]*Table1[[#This Row],[quantity]])-(Table1[[#This Row],[unit_price]]*Table1[[#This Row],[discount]]*Table1[[#This Row],[quantity]])</f>
        <v>151.5241</v>
      </c>
      <c r="N901">
        <f>DAY(Table1[[#This Row],[order_date]])</f>
        <v>18</v>
      </c>
      <c r="O901" t="str">
        <f>TEXT(Table1[[#This Row],[order_date]],"mmm")</f>
        <v>Jun</v>
      </c>
      <c r="P901">
        <f>YEAR(Table1[[#This Row],[order_date]])</f>
        <v>2024</v>
      </c>
    </row>
    <row r="902" spans="1:16" x14ac:dyDescent="0.3">
      <c r="A902">
        <v>10901</v>
      </c>
      <c r="B902" s="1">
        <v>45462</v>
      </c>
      <c r="C902">
        <v>1347</v>
      </c>
      <c r="D902" t="s">
        <v>19</v>
      </c>
      <c r="E902" t="s">
        <v>21</v>
      </c>
      <c r="F902">
        <v>4</v>
      </c>
      <c r="G902">
        <v>300.68</v>
      </c>
      <c r="H902">
        <v>0.04</v>
      </c>
      <c r="I902" t="s">
        <v>16</v>
      </c>
      <c r="J902">
        <v>4</v>
      </c>
      <c r="K902">
        <v>3.3</v>
      </c>
      <c r="L902">
        <v>1154.6099999999999</v>
      </c>
      <c r="M902">
        <f>(Table1[[#This Row],[unit_price]]*Table1[[#This Row],[quantity]])-(Table1[[#This Row],[unit_price]]*Table1[[#This Row],[discount]]*Table1[[#This Row],[quantity]])</f>
        <v>1154.6112000000001</v>
      </c>
      <c r="N902">
        <f>DAY(Table1[[#This Row],[order_date]])</f>
        <v>19</v>
      </c>
      <c r="O902" t="str">
        <f>TEXT(Table1[[#This Row],[order_date]],"mmm")</f>
        <v>Jun</v>
      </c>
      <c r="P902">
        <f>YEAR(Table1[[#This Row],[order_date]])</f>
        <v>2024</v>
      </c>
    </row>
    <row r="903" spans="1:16" x14ac:dyDescent="0.3">
      <c r="A903">
        <v>10902</v>
      </c>
      <c r="B903" s="1">
        <v>45463</v>
      </c>
      <c r="C903">
        <v>1189</v>
      </c>
      <c r="D903" t="s">
        <v>19</v>
      </c>
      <c r="E903" t="s">
        <v>13</v>
      </c>
      <c r="F903">
        <v>5</v>
      </c>
      <c r="G903">
        <v>396.82</v>
      </c>
      <c r="H903">
        <v>0.08</v>
      </c>
      <c r="I903" t="s">
        <v>18</v>
      </c>
      <c r="J903">
        <v>9</v>
      </c>
      <c r="K903">
        <v>2.5</v>
      </c>
      <c r="L903">
        <v>1825.37</v>
      </c>
      <c r="M903">
        <f>(Table1[[#This Row],[unit_price]]*Table1[[#This Row],[quantity]])-(Table1[[#This Row],[unit_price]]*Table1[[#This Row],[discount]]*Table1[[#This Row],[quantity]])</f>
        <v>1825.3719999999998</v>
      </c>
      <c r="N903">
        <f>DAY(Table1[[#This Row],[order_date]])</f>
        <v>20</v>
      </c>
      <c r="O903" t="str">
        <f>TEXT(Table1[[#This Row],[order_date]],"mmm")</f>
        <v>Jun</v>
      </c>
      <c r="P903">
        <f>YEAR(Table1[[#This Row],[order_date]])</f>
        <v>2024</v>
      </c>
    </row>
    <row r="904" spans="1:16" x14ac:dyDescent="0.3">
      <c r="A904">
        <v>10903</v>
      </c>
      <c r="B904" s="1">
        <v>45464</v>
      </c>
      <c r="C904">
        <v>1504</v>
      </c>
      <c r="D904" t="s">
        <v>22</v>
      </c>
      <c r="E904" t="s">
        <v>13</v>
      </c>
      <c r="F904">
        <v>5</v>
      </c>
      <c r="G904">
        <v>85.96</v>
      </c>
      <c r="H904">
        <v>0.04</v>
      </c>
      <c r="I904" t="s">
        <v>14</v>
      </c>
      <c r="J904">
        <v>1</v>
      </c>
      <c r="K904">
        <v>4.2</v>
      </c>
      <c r="L904">
        <v>412.61</v>
      </c>
      <c r="M904">
        <f>(Table1[[#This Row],[unit_price]]*Table1[[#This Row],[quantity]])-(Table1[[#This Row],[unit_price]]*Table1[[#This Row],[discount]]*Table1[[#This Row],[quantity]])</f>
        <v>412.60799999999995</v>
      </c>
      <c r="N904">
        <f>DAY(Table1[[#This Row],[order_date]])</f>
        <v>21</v>
      </c>
      <c r="O904" t="str">
        <f>TEXT(Table1[[#This Row],[order_date]],"mmm")</f>
        <v>Jun</v>
      </c>
      <c r="P904">
        <f>YEAR(Table1[[#This Row],[order_date]])</f>
        <v>2024</v>
      </c>
    </row>
    <row r="905" spans="1:16" x14ac:dyDescent="0.3">
      <c r="A905">
        <v>10904</v>
      </c>
      <c r="B905" s="1">
        <v>45465</v>
      </c>
      <c r="C905">
        <v>1190</v>
      </c>
      <c r="D905" t="s">
        <v>15</v>
      </c>
      <c r="E905" t="s">
        <v>17</v>
      </c>
      <c r="F905">
        <v>2</v>
      </c>
      <c r="G905">
        <v>117.67</v>
      </c>
      <c r="H905">
        <v>0.33</v>
      </c>
      <c r="I905" t="s">
        <v>16</v>
      </c>
      <c r="J905">
        <v>7</v>
      </c>
      <c r="K905">
        <v>3.9</v>
      </c>
      <c r="L905">
        <v>157.68</v>
      </c>
      <c r="M905">
        <f>(Table1[[#This Row],[unit_price]]*Table1[[#This Row],[quantity]])-(Table1[[#This Row],[unit_price]]*Table1[[#This Row],[discount]]*Table1[[#This Row],[quantity]])</f>
        <v>157.67779999999999</v>
      </c>
      <c r="N905">
        <f>DAY(Table1[[#This Row],[order_date]])</f>
        <v>22</v>
      </c>
      <c r="O905" t="str">
        <f>TEXT(Table1[[#This Row],[order_date]],"mmm")</f>
        <v>Jun</v>
      </c>
      <c r="P905">
        <f>YEAR(Table1[[#This Row],[order_date]])</f>
        <v>2024</v>
      </c>
    </row>
    <row r="906" spans="1:16" x14ac:dyDescent="0.3">
      <c r="A906">
        <v>10905</v>
      </c>
      <c r="B906" s="1">
        <v>45466</v>
      </c>
      <c r="C906">
        <v>1507</v>
      </c>
      <c r="D906" t="s">
        <v>22</v>
      </c>
      <c r="E906" t="s">
        <v>17</v>
      </c>
      <c r="F906">
        <v>4</v>
      </c>
      <c r="G906">
        <v>159.6</v>
      </c>
      <c r="H906">
        <v>0.1</v>
      </c>
      <c r="I906" t="s">
        <v>18</v>
      </c>
      <c r="J906">
        <v>3</v>
      </c>
      <c r="K906">
        <v>1.7</v>
      </c>
      <c r="L906">
        <v>574.55999999999995</v>
      </c>
      <c r="M906">
        <f>(Table1[[#This Row],[unit_price]]*Table1[[#This Row],[quantity]])-(Table1[[#This Row],[unit_price]]*Table1[[#This Row],[discount]]*Table1[[#This Row],[quantity]])</f>
        <v>574.55999999999995</v>
      </c>
      <c r="N906">
        <f>DAY(Table1[[#This Row],[order_date]])</f>
        <v>23</v>
      </c>
      <c r="O906" t="str">
        <f>TEXT(Table1[[#This Row],[order_date]],"mmm")</f>
        <v>Jun</v>
      </c>
      <c r="P906">
        <f>YEAR(Table1[[#This Row],[order_date]])</f>
        <v>2024</v>
      </c>
    </row>
    <row r="907" spans="1:16" x14ac:dyDescent="0.3">
      <c r="A907">
        <v>10906</v>
      </c>
      <c r="B907" s="1">
        <v>45467</v>
      </c>
      <c r="C907">
        <v>1368</v>
      </c>
      <c r="D907" t="s">
        <v>22</v>
      </c>
      <c r="E907" t="s">
        <v>20</v>
      </c>
      <c r="F907">
        <v>1</v>
      </c>
      <c r="G907">
        <v>584.64</v>
      </c>
      <c r="H907">
        <v>0.16</v>
      </c>
      <c r="I907" t="s">
        <v>14</v>
      </c>
      <c r="J907">
        <v>8</v>
      </c>
      <c r="K907">
        <v>3.3</v>
      </c>
      <c r="L907">
        <v>491.1</v>
      </c>
      <c r="M907">
        <f>(Table1[[#This Row],[unit_price]]*Table1[[#This Row],[quantity]])-(Table1[[#This Row],[unit_price]]*Table1[[#This Row],[discount]]*Table1[[#This Row],[quantity]])</f>
        <v>491.0976</v>
      </c>
      <c r="N907">
        <f>DAY(Table1[[#This Row],[order_date]])</f>
        <v>24</v>
      </c>
      <c r="O907" t="str">
        <f>TEXT(Table1[[#This Row],[order_date]],"mmm")</f>
        <v>Jun</v>
      </c>
      <c r="P907">
        <f>YEAR(Table1[[#This Row],[order_date]])</f>
        <v>2024</v>
      </c>
    </row>
    <row r="908" spans="1:16" x14ac:dyDescent="0.3">
      <c r="A908">
        <v>10907</v>
      </c>
      <c r="B908" s="1">
        <v>45468</v>
      </c>
      <c r="C908">
        <v>1408</v>
      </c>
      <c r="D908" t="s">
        <v>22</v>
      </c>
      <c r="E908" t="s">
        <v>20</v>
      </c>
      <c r="F908">
        <v>5</v>
      </c>
      <c r="G908">
        <v>247.33</v>
      </c>
      <c r="H908">
        <v>0.31</v>
      </c>
      <c r="I908" t="s">
        <v>18</v>
      </c>
      <c r="J908">
        <v>6</v>
      </c>
      <c r="K908">
        <v>1.1000000000000001</v>
      </c>
      <c r="L908">
        <v>853.29</v>
      </c>
      <c r="M908">
        <f>(Table1[[#This Row],[unit_price]]*Table1[[#This Row],[quantity]])-(Table1[[#This Row],[unit_price]]*Table1[[#This Row],[discount]]*Table1[[#This Row],[quantity]])</f>
        <v>853.28850000000011</v>
      </c>
      <c r="N908">
        <f>DAY(Table1[[#This Row],[order_date]])</f>
        <v>25</v>
      </c>
      <c r="O908" t="str">
        <f>TEXT(Table1[[#This Row],[order_date]],"mmm")</f>
        <v>Jun</v>
      </c>
      <c r="P908">
        <f>YEAR(Table1[[#This Row],[order_date]])</f>
        <v>2024</v>
      </c>
    </row>
    <row r="909" spans="1:16" x14ac:dyDescent="0.3">
      <c r="A909">
        <v>10908</v>
      </c>
      <c r="B909" s="1">
        <v>45469</v>
      </c>
      <c r="C909">
        <v>1823</v>
      </c>
      <c r="D909" t="s">
        <v>12</v>
      </c>
      <c r="E909" t="s">
        <v>13</v>
      </c>
      <c r="F909">
        <v>6</v>
      </c>
      <c r="G909">
        <v>365.41</v>
      </c>
      <c r="H909">
        <v>0.24</v>
      </c>
      <c r="I909" t="s">
        <v>16</v>
      </c>
      <c r="J909">
        <v>1</v>
      </c>
      <c r="K909">
        <v>2.8</v>
      </c>
      <c r="L909">
        <v>1666.27</v>
      </c>
      <c r="M909">
        <f>(Table1[[#This Row],[unit_price]]*Table1[[#This Row],[quantity]])-(Table1[[#This Row],[unit_price]]*Table1[[#This Row],[discount]]*Table1[[#This Row],[quantity]])</f>
        <v>1666.2696000000001</v>
      </c>
      <c r="N909">
        <f>DAY(Table1[[#This Row],[order_date]])</f>
        <v>26</v>
      </c>
      <c r="O909" t="str">
        <f>TEXT(Table1[[#This Row],[order_date]],"mmm")</f>
        <v>Jun</v>
      </c>
      <c r="P909">
        <f>YEAR(Table1[[#This Row],[order_date]])</f>
        <v>2024</v>
      </c>
    </row>
    <row r="910" spans="1:16" x14ac:dyDescent="0.3">
      <c r="A910">
        <v>10909</v>
      </c>
      <c r="B910" s="1">
        <v>45470</v>
      </c>
      <c r="C910">
        <v>1928</v>
      </c>
      <c r="D910" t="s">
        <v>15</v>
      </c>
      <c r="E910" t="s">
        <v>21</v>
      </c>
      <c r="F910">
        <v>3</v>
      </c>
      <c r="G910">
        <v>156.30000000000001</v>
      </c>
      <c r="H910">
        <v>0.22</v>
      </c>
      <c r="I910" t="s">
        <v>14</v>
      </c>
      <c r="J910">
        <v>10</v>
      </c>
      <c r="K910">
        <v>3.9</v>
      </c>
      <c r="L910">
        <v>365.74</v>
      </c>
      <c r="M910">
        <f>(Table1[[#This Row],[unit_price]]*Table1[[#This Row],[quantity]])-(Table1[[#This Row],[unit_price]]*Table1[[#This Row],[discount]]*Table1[[#This Row],[quantity]])</f>
        <v>365.74200000000002</v>
      </c>
      <c r="N910">
        <f>DAY(Table1[[#This Row],[order_date]])</f>
        <v>27</v>
      </c>
      <c r="O910" t="str">
        <f>TEXT(Table1[[#This Row],[order_date]],"mmm")</f>
        <v>Jun</v>
      </c>
      <c r="P910">
        <f>YEAR(Table1[[#This Row],[order_date]])</f>
        <v>2024</v>
      </c>
    </row>
    <row r="911" spans="1:16" x14ac:dyDescent="0.3">
      <c r="A911">
        <v>10910</v>
      </c>
      <c r="B911" s="1">
        <v>45471</v>
      </c>
      <c r="C911">
        <v>1933</v>
      </c>
      <c r="D911" t="s">
        <v>15</v>
      </c>
      <c r="E911" t="s">
        <v>21</v>
      </c>
      <c r="F911">
        <v>4</v>
      </c>
      <c r="G911">
        <v>301.92</v>
      </c>
      <c r="H911">
        <v>0.25</v>
      </c>
      <c r="I911" t="s">
        <v>18</v>
      </c>
      <c r="J911">
        <v>5</v>
      </c>
      <c r="K911">
        <v>2.7</v>
      </c>
      <c r="L911">
        <v>905.76</v>
      </c>
      <c r="M911">
        <f>(Table1[[#This Row],[unit_price]]*Table1[[#This Row],[quantity]])-(Table1[[#This Row],[unit_price]]*Table1[[#This Row],[discount]]*Table1[[#This Row],[quantity]])</f>
        <v>905.76</v>
      </c>
      <c r="N911">
        <f>DAY(Table1[[#This Row],[order_date]])</f>
        <v>28</v>
      </c>
      <c r="O911" t="str">
        <f>TEXT(Table1[[#This Row],[order_date]],"mmm")</f>
        <v>Jun</v>
      </c>
      <c r="P911">
        <f>YEAR(Table1[[#This Row],[order_date]])</f>
        <v>2024</v>
      </c>
    </row>
    <row r="912" spans="1:16" x14ac:dyDescent="0.3">
      <c r="A912">
        <v>10911</v>
      </c>
      <c r="B912" s="1">
        <v>45472</v>
      </c>
      <c r="C912">
        <v>1116</v>
      </c>
      <c r="D912" t="s">
        <v>15</v>
      </c>
      <c r="E912" t="s">
        <v>20</v>
      </c>
      <c r="F912">
        <v>7</v>
      </c>
      <c r="G912">
        <v>58.36</v>
      </c>
      <c r="H912">
        <v>0.28999999999999998</v>
      </c>
      <c r="I912" t="s">
        <v>18</v>
      </c>
      <c r="J912">
        <v>8</v>
      </c>
      <c r="K912">
        <v>1.5</v>
      </c>
      <c r="L912">
        <v>290.05</v>
      </c>
      <c r="M912">
        <f>(Table1[[#This Row],[unit_price]]*Table1[[#This Row],[quantity]])-(Table1[[#This Row],[unit_price]]*Table1[[#This Row],[discount]]*Table1[[#This Row],[quantity]])</f>
        <v>290.04919999999998</v>
      </c>
      <c r="N912">
        <f>DAY(Table1[[#This Row],[order_date]])</f>
        <v>29</v>
      </c>
      <c r="O912" t="str">
        <f>TEXT(Table1[[#This Row],[order_date]],"mmm")</f>
        <v>Jun</v>
      </c>
      <c r="P912">
        <f>YEAR(Table1[[#This Row],[order_date]])</f>
        <v>2024</v>
      </c>
    </row>
    <row r="913" spans="1:16" x14ac:dyDescent="0.3">
      <c r="A913">
        <v>10912</v>
      </c>
      <c r="B913" s="1">
        <v>45473</v>
      </c>
      <c r="C913">
        <v>1133</v>
      </c>
      <c r="D913" t="s">
        <v>19</v>
      </c>
      <c r="E913" t="s">
        <v>17</v>
      </c>
      <c r="F913">
        <v>7</v>
      </c>
      <c r="G913">
        <v>35.32</v>
      </c>
      <c r="H913">
        <v>0.31</v>
      </c>
      <c r="I913" t="s">
        <v>18</v>
      </c>
      <c r="J913">
        <v>11</v>
      </c>
      <c r="K913">
        <v>1.2</v>
      </c>
      <c r="L913">
        <v>170.6</v>
      </c>
      <c r="M913">
        <f>(Table1[[#This Row],[unit_price]]*Table1[[#This Row],[quantity]])-(Table1[[#This Row],[unit_price]]*Table1[[#This Row],[discount]]*Table1[[#This Row],[quantity]])</f>
        <v>170.59560000000002</v>
      </c>
      <c r="N913">
        <f>DAY(Table1[[#This Row],[order_date]])</f>
        <v>30</v>
      </c>
      <c r="O913" t="str">
        <f>TEXT(Table1[[#This Row],[order_date]],"mmm")</f>
        <v>Jun</v>
      </c>
      <c r="P913">
        <f>YEAR(Table1[[#This Row],[order_date]])</f>
        <v>2024</v>
      </c>
    </row>
    <row r="914" spans="1:16" x14ac:dyDescent="0.3">
      <c r="A914">
        <v>10913</v>
      </c>
      <c r="B914" s="1">
        <v>45474</v>
      </c>
      <c r="C914">
        <v>1057</v>
      </c>
      <c r="D914" t="s">
        <v>15</v>
      </c>
      <c r="E914" t="s">
        <v>13</v>
      </c>
      <c r="F914">
        <v>6</v>
      </c>
      <c r="G914">
        <v>289.20999999999998</v>
      </c>
      <c r="H914">
        <v>0.22</v>
      </c>
      <c r="I914" t="s">
        <v>14</v>
      </c>
      <c r="J914">
        <v>3</v>
      </c>
      <c r="K914">
        <v>4.4000000000000004</v>
      </c>
      <c r="L914">
        <v>1353.5</v>
      </c>
      <c r="M914">
        <f>(Table1[[#This Row],[unit_price]]*Table1[[#This Row],[quantity]])-(Table1[[#This Row],[unit_price]]*Table1[[#This Row],[discount]]*Table1[[#This Row],[quantity]])</f>
        <v>1353.5027999999998</v>
      </c>
      <c r="N914">
        <f>DAY(Table1[[#This Row],[order_date]])</f>
        <v>1</v>
      </c>
      <c r="O914" t="str">
        <f>TEXT(Table1[[#This Row],[order_date]],"mmm")</f>
        <v>Jul</v>
      </c>
      <c r="P914">
        <f>YEAR(Table1[[#This Row],[order_date]])</f>
        <v>2024</v>
      </c>
    </row>
    <row r="915" spans="1:16" x14ac:dyDescent="0.3">
      <c r="A915">
        <v>10914</v>
      </c>
      <c r="B915" s="1">
        <v>45475</v>
      </c>
      <c r="C915">
        <v>1555</v>
      </c>
      <c r="D915" t="s">
        <v>19</v>
      </c>
      <c r="E915" t="s">
        <v>13</v>
      </c>
      <c r="F915">
        <v>6</v>
      </c>
      <c r="G915">
        <v>248.22</v>
      </c>
      <c r="H915">
        <v>0.31</v>
      </c>
      <c r="I915" t="s">
        <v>16</v>
      </c>
      <c r="J915">
        <v>4</v>
      </c>
      <c r="K915">
        <v>4.5999999999999996</v>
      </c>
      <c r="L915">
        <v>1027.6300000000001</v>
      </c>
      <c r="M915">
        <f>(Table1[[#This Row],[unit_price]]*Table1[[#This Row],[quantity]])-(Table1[[#This Row],[unit_price]]*Table1[[#This Row],[discount]]*Table1[[#This Row],[quantity]])</f>
        <v>1027.6307999999999</v>
      </c>
      <c r="N915">
        <f>DAY(Table1[[#This Row],[order_date]])</f>
        <v>2</v>
      </c>
      <c r="O915" t="str">
        <f>TEXT(Table1[[#This Row],[order_date]],"mmm")</f>
        <v>Jul</v>
      </c>
      <c r="P915">
        <f>YEAR(Table1[[#This Row],[order_date]])</f>
        <v>2024</v>
      </c>
    </row>
    <row r="916" spans="1:16" x14ac:dyDescent="0.3">
      <c r="A916">
        <v>10915</v>
      </c>
      <c r="B916" s="1">
        <v>45476</v>
      </c>
      <c r="C916">
        <v>1684</v>
      </c>
      <c r="D916" t="s">
        <v>12</v>
      </c>
      <c r="E916" t="s">
        <v>21</v>
      </c>
      <c r="F916">
        <v>4</v>
      </c>
      <c r="G916">
        <v>95.07</v>
      </c>
      <c r="H916">
        <v>0.19</v>
      </c>
      <c r="I916" t="s">
        <v>16</v>
      </c>
      <c r="J916">
        <v>7</v>
      </c>
      <c r="K916">
        <v>2.4</v>
      </c>
      <c r="L916">
        <v>308.02999999999997</v>
      </c>
      <c r="M916">
        <f>(Table1[[#This Row],[unit_price]]*Table1[[#This Row],[quantity]])-(Table1[[#This Row],[unit_price]]*Table1[[#This Row],[discount]]*Table1[[#This Row],[quantity]])</f>
        <v>308.02679999999998</v>
      </c>
      <c r="N916">
        <f>DAY(Table1[[#This Row],[order_date]])</f>
        <v>3</v>
      </c>
      <c r="O916" t="str">
        <f>TEXT(Table1[[#This Row],[order_date]],"mmm")</f>
        <v>Jul</v>
      </c>
      <c r="P916">
        <f>YEAR(Table1[[#This Row],[order_date]])</f>
        <v>2024</v>
      </c>
    </row>
    <row r="917" spans="1:16" x14ac:dyDescent="0.3">
      <c r="A917">
        <v>10916</v>
      </c>
      <c r="B917" s="1">
        <v>45477</v>
      </c>
      <c r="C917">
        <v>1671</v>
      </c>
      <c r="D917" t="s">
        <v>15</v>
      </c>
      <c r="E917" t="s">
        <v>20</v>
      </c>
      <c r="F917">
        <v>3</v>
      </c>
      <c r="G917">
        <v>417.25</v>
      </c>
      <c r="H917">
        <v>0.1</v>
      </c>
      <c r="I917" t="s">
        <v>18</v>
      </c>
      <c r="J917">
        <v>11</v>
      </c>
      <c r="K917">
        <v>1.7</v>
      </c>
      <c r="L917">
        <v>1126.58</v>
      </c>
      <c r="M917">
        <f>(Table1[[#This Row],[unit_price]]*Table1[[#This Row],[quantity]])-(Table1[[#This Row],[unit_price]]*Table1[[#This Row],[discount]]*Table1[[#This Row],[quantity]])</f>
        <v>1126.575</v>
      </c>
      <c r="N917">
        <f>DAY(Table1[[#This Row],[order_date]])</f>
        <v>4</v>
      </c>
      <c r="O917" t="str">
        <f>TEXT(Table1[[#This Row],[order_date]],"mmm")</f>
        <v>Jul</v>
      </c>
      <c r="P917">
        <f>YEAR(Table1[[#This Row],[order_date]])</f>
        <v>2024</v>
      </c>
    </row>
    <row r="918" spans="1:16" x14ac:dyDescent="0.3">
      <c r="A918">
        <v>10917</v>
      </c>
      <c r="B918" s="1">
        <v>45478</v>
      </c>
      <c r="C918">
        <v>1172</v>
      </c>
      <c r="D918" t="s">
        <v>15</v>
      </c>
      <c r="E918" t="s">
        <v>21</v>
      </c>
      <c r="F918">
        <v>5</v>
      </c>
      <c r="G918">
        <v>595.85</v>
      </c>
      <c r="H918">
        <v>0.31</v>
      </c>
      <c r="I918" t="s">
        <v>16</v>
      </c>
      <c r="J918">
        <v>6</v>
      </c>
      <c r="K918">
        <v>4.9000000000000004</v>
      </c>
      <c r="L918">
        <v>2055.6799999999998</v>
      </c>
      <c r="M918">
        <f>(Table1[[#This Row],[unit_price]]*Table1[[#This Row],[quantity]])-(Table1[[#This Row],[unit_price]]*Table1[[#This Row],[discount]]*Table1[[#This Row],[quantity]])</f>
        <v>2055.6824999999999</v>
      </c>
      <c r="N918">
        <f>DAY(Table1[[#This Row],[order_date]])</f>
        <v>5</v>
      </c>
      <c r="O918" t="str">
        <f>TEXT(Table1[[#This Row],[order_date]],"mmm")</f>
        <v>Jul</v>
      </c>
      <c r="P918">
        <f>YEAR(Table1[[#This Row],[order_date]])</f>
        <v>2024</v>
      </c>
    </row>
    <row r="919" spans="1:16" x14ac:dyDescent="0.3">
      <c r="A919">
        <v>10918</v>
      </c>
      <c r="B919" s="1">
        <v>45479</v>
      </c>
      <c r="C919">
        <v>1828</v>
      </c>
      <c r="D919" t="s">
        <v>15</v>
      </c>
      <c r="E919" t="s">
        <v>21</v>
      </c>
      <c r="F919">
        <v>3</v>
      </c>
      <c r="G919">
        <v>246.45</v>
      </c>
      <c r="H919">
        <v>0.19</v>
      </c>
      <c r="I919" t="s">
        <v>16</v>
      </c>
      <c r="J919">
        <v>7</v>
      </c>
      <c r="K919">
        <v>3.2</v>
      </c>
      <c r="L919">
        <v>598.87</v>
      </c>
      <c r="M919">
        <f>(Table1[[#This Row],[unit_price]]*Table1[[#This Row],[quantity]])-(Table1[[#This Row],[unit_price]]*Table1[[#This Row],[discount]]*Table1[[#This Row],[quantity]])</f>
        <v>598.87349999999992</v>
      </c>
      <c r="N919">
        <f>DAY(Table1[[#This Row],[order_date]])</f>
        <v>6</v>
      </c>
      <c r="O919" t="str">
        <f>TEXT(Table1[[#This Row],[order_date]],"mmm")</f>
        <v>Jul</v>
      </c>
      <c r="P919">
        <f>YEAR(Table1[[#This Row],[order_date]])</f>
        <v>2024</v>
      </c>
    </row>
    <row r="920" spans="1:16" x14ac:dyDescent="0.3">
      <c r="A920">
        <v>10919</v>
      </c>
      <c r="B920" s="1">
        <v>45480</v>
      </c>
      <c r="C920">
        <v>1814</v>
      </c>
      <c r="D920" t="s">
        <v>19</v>
      </c>
      <c r="E920" t="s">
        <v>20</v>
      </c>
      <c r="F920">
        <v>2</v>
      </c>
      <c r="G920">
        <v>380.37</v>
      </c>
      <c r="H920">
        <v>0.32</v>
      </c>
      <c r="I920" t="s">
        <v>18</v>
      </c>
      <c r="J920">
        <v>9</v>
      </c>
      <c r="K920">
        <v>2.9</v>
      </c>
      <c r="L920">
        <v>517.29999999999995</v>
      </c>
      <c r="M920">
        <f>(Table1[[#This Row],[unit_price]]*Table1[[#This Row],[quantity]])-(Table1[[#This Row],[unit_price]]*Table1[[#This Row],[discount]]*Table1[[#This Row],[quantity]])</f>
        <v>517.30320000000006</v>
      </c>
      <c r="N920">
        <f>DAY(Table1[[#This Row],[order_date]])</f>
        <v>7</v>
      </c>
      <c r="O920" t="str">
        <f>TEXT(Table1[[#This Row],[order_date]],"mmm")</f>
        <v>Jul</v>
      </c>
      <c r="P920">
        <f>YEAR(Table1[[#This Row],[order_date]])</f>
        <v>2024</v>
      </c>
    </row>
    <row r="921" spans="1:16" x14ac:dyDescent="0.3">
      <c r="A921">
        <v>10920</v>
      </c>
      <c r="B921" s="1">
        <v>45481</v>
      </c>
      <c r="C921">
        <v>1148</v>
      </c>
      <c r="D921" t="s">
        <v>19</v>
      </c>
      <c r="E921" t="s">
        <v>17</v>
      </c>
      <c r="F921">
        <v>1</v>
      </c>
      <c r="G921">
        <v>578.34</v>
      </c>
      <c r="H921">
        <v>0.01</v>
      </c>
      <c r="I921" t="s">
        <v>16</v>
      </c>
      <c r="J921">
        <v>9</v>
      </c>
      <c r="K921">
        <v>4</v>
      </c>
      <c r="L921">
        <v>572.55999999999995</v>
      </c>
      <c r="M921">
        <f>(Table1[[#This Row],[unit_price]]*Table1[[#This Row],[quantity]])-(Table1[[#This Row],[unit_price]]*Table1[[#This Row],[discount]]*Table1[[#This Row],[quantity]])</f>
        <v>572.5566</v>
      </c>
      <c r="N921">
        <f>DAY(Table1[[#This Row],[order_date]])</f>
        <v>8</v>
      </c>
      <c r="O921" t="str">
        <f>TEXT(Table1[[#This Row],[order_date]],"mmm")</f>
        <v>Jul</v>
      </c>
      <c r="P921">
        <f>YEAR(Table1[[#This Row],[order_date]])</f>
        <v>2024</v>
      </c>
    </row>
    <row r="922" spans="1:16" x14ac:dyDescent="0.3">
      <c r="A922">
        <v>10921</v>
      </c>
      <c r="B922" s="1">
        <v>45482</v>
      </c>
      <c r="C922">
        <v>1079</v>
      </c>
      <c r="D922" t="s">
        <v>15</v>
      </c>
      <c r="E922" t="s">
        <v>13</v>
      </c>
      <c r="F922">
        <v>1</v>
      </c>
      <c r="G922">
        <v>501.45</v>
      </c>
      <c r="H922">
        <v>0.14000000000000001</v>
      </c>
      <c r="I922" t="s">
        <v>18</v>
      </c>
      <c r="J922">
        <v>2</v>
      </c>
      <c r="K922">
        <v>1.7</v>
      </c>
      <c r="L922">
        <v>431.25</v>
      </c>
      <c r="M922">
        <f>(Table1[[#This Row],[unit_price]]*Table1[[#This Row],[quantity]])-(Table1[[#This Row],[unit_price]]*Table1[[#This Row],[discount]]*Table1[[#This Row],[quantity]])</f>
        <v>431.24699999999996</v>
      </c>
      <c r="N922">
        <f>DAY(Table1[[#This Row],[order_date]])</f>
        <v>9</v>
      </c>
      <c r="O922" t="str">
        <f>TEXT(Table1[[#This Row],[order_date]],"mmm")</f>
        <v>Jul</v>
      </c>
      <c r="P922">
        <f>YEAR(Table1[[#This Row],[order_date]])</f>
        <v>2024</v>
      </c>
    </row>
    <row r="923" spans="1:16" x14ac:dyDescent="0.3">
      <c r="A923">
        <v>10922</v>
      </c>
      <c r="B923" s="1">
        <v>45483</v>
      </c>
      <c r="C923">
        <v>1885</v>
      </c>
      <c r="D923" t="s">
        <v>19</v>
      </c>
      <c r="E923" t="s">
        <v>17</v>
      </c>
      <c r="F923">
        <v>6</v>
      </c>
      <c r="G923">
        <v>286.18</v>
      </c>
      <c r="H923">
        <v>0.33</v>
      </c>
      <c r="I923" t="s">
        <v>14</v>
      </c>
      <c r="J923">
        <v>3</v>
      </c>
      <c r="K923">
        <v>3.3</v>
      </c>
      <c r="L923">
        <v>1150.44</v>
      </c>
      <c r="M923">
        <f>(Table1[[#This Row],[unit_price]]*Table1[[#This Row],[quantity]])-(Table1[[#This Row],[unit_price]]*Table1[[#This Row],[discount]]*Table1[[#This Row],[quantity]])</f>
        <v>1150.4435999999998</v>
      </c>
      <c r="N923">
        <f>DAY(Table1[[#This Row],[order_date]])</f>
        <v>10</v>
      </c>
      <c r="O923" t="str">
        <f>TEXT(Table1[[#This Row],[order_date]],"mmm")</f>
        <v>Jul</v>
      </c>
      <c r="P923">
        <f>YEAR(Table1[[#This Row],[order_date]])</f>
        <v>2024</v>
      </c>
    </row>
    <row r="924" spans="1:16" x14ac:dyDescent="0.3">
      <c r="A924">
        <v>10923</v>
      </c>
      <c r="B924" s="1">
        <v>45484</v>
      </c>
      <c r="C924">
        <v>1212</v>
      </c>
      <c r="D924" t="s">
        <v>15</v>
      </c>
      <c r="E924" t="s">
        <v>20</v>
      </c>
      <c r="F924">
        <v>5</v>
      </c>
      <c r="G924">
        <v>446.43</v>
      </c>
      <c r="H924">
        <v>0.09</v>
      </c>
      <c r="I924" t="s">
        <v>16</v>
      </c>
      <c r="J924">
        <v>4</v>
      </c>
      <c r="K924">
        <v>4.5999999999999996</v>
      </c>
      <c r="L924">
        <v>2031.26</v>
      </c>
      <c r="M924">
        <f>(Table1[[#This Row],[unit_price]]*Table1[[#This Row],[quantity]])-(Table1[[#This Row],[unit_price]]*Table1[[#This Row],[discount]]*Table1[[#This Row],[quantity]])</f>
        <v>2031.2565000000002</v>
      </c>
      <c r="N924">
        <f>DAY(Table1[[#This Row],[order_date]])</f>
        <v>11</v>
      </c>
      <c r="O924" t="str">
        <f>TEXT(Table1[[#This Row],[order_date]],"mmm")</f>
        <v>Jul</v>
      </c>
      <c r="P924">
        <f>YEAR(Table1[[#This Row],[order_date]])</f>
        <v>2024</v>
      </c>
    </row>
    <row r="925" spans="1:16" x14ac:dyDescent="0.3">
      <c r="A925">
        <v>10924</v>
      </c>
      <c r="B925" s="1">
        <v>45485</v>
      </c>
      <c r="C925">
        <v>1202</v>
      </c>
      <c r="D925" t="s">
        <v>12</v>
      </c>
      <c r="E925" t="s">
        <v>20</v>
      </c>
      <c r="F925">
        <v>3</v>
      </c>
      <c r="G925">
        <v>89.96</v>
      </c>
      <c r="H925">
        <v>0.33</v>
      </c>
      <c r="I925" t="s">
        <v>14</v>
      </c>
      <c r="J925">
        <v>6</v>
      </c>
      <c r="K925">
        <v>1.1000000000000001</v>
      </c>
      <c r="L925">
        <v>180.82</v>
      </c>
      <c r="M925">
        <f>(Table1[[#This Row],[unit_price]]*Table1[[#This Row],[quantity]])-(Table1[[#This Row],[unit_price]]*Table1[[#This Row],[discount]]*Table1[[#This Row],[quantity]])</f>
        <v>180.81960000000001</v>
      </c>
      <c r="N925">
        <f>DAY(Table1[[#This Row],[order_date]])</f>
        <v>12</v>
      </c>
      <c r="O925" t="str">
        <f>TEXT(Table1[[#This Row],[order_date]],"mmm")</f>
        <v>Jul</v>
      </c>
      <c r="P925">
        <f>YEAR(Table1[[#This Row],[order_date]])</f>
        <v>2024</v>
      </c>
    </row>
    <row r="926" spans="1:16" x14ac:dyDescent="0.3">
      <c r="A926">
        <v>10925</v>
      </c>
      <c r="B926" s="1">
        <v>45486</v>
      </c>
      <c r="C926">
        <v>1763</v>
      </c>
      <c r="D926" t="s">
        <v>12</v>
      </c>
      <c r="E926" t="s">
        <v>13</v>
      </c>
      <c r="F926">
        <v>6</v>
      </c>
      <c r="G926">
        <v>314.58</v>
      </c>
      <c r="H926">
        <v>0.33</v>
      </c>
      <c r="I926" t="s">
        <v>16</v>
      </c>
      <c r="J926">
        <v>5</v>
      </c>
      <c r="K926">
        <v>3.7</v>
      </c>
      <c r="L926">
        <v>1264.6099999999999</v>
      </c>
      <c r="M926">
        <f>(Table1[[#This Row],[unit_price]]*Table1[[#This Row],[quantity]])-(Table1[[#This Row],[unit_price]]*Table1[[#This Row],[discount]]*Table1[[#This Row],[quantity]])</f>
        <v>1264.6116</v>
      </c>
      <c r="N926">
        <f>DAY(Table1[[#This Row],[order_date]])</f>
        <v>13</v>
      </c>
      <c r="O926" t="str">
        <f>TEXT(Table1[[#This Row],[order_date]],"mmm")</f>
        <v>Jul</v>
      </c>
      <c r="P926">
        <f>YEAR(Table1[[#This Row],[order_date]])</f>
        <v>2024</v>
      </c>
    </row>
    <row r="927" spans="1:16" x14ac:dyDescent="0.3">
      <c r="A927">
        <v>10926</v>
      </c>
      <c r="B927" s="1">
        <v>45487</v>
      </c>
      <c r="C927">
        <v>1228</v>
      </c>
      <c r="D927" t="s">
        <v>22</v>
      </c>
      <c r="E927" t="s">
        <v>17</v>
      </c>
      <c r="F927">
        <v>4</v>
      </c>
      <c r="G927">
        <v>178.25</v>
      </c>
      <c r="H927">
        <v>0.31</v>
      </c>
      <c r="I927" t="s">
        <v>14</v>
      </c>
      <c r="J927">
        <v>6</v>
      </c>
      <c r="K927">
        <v>3.2</v>
      </c>
      <c r="L927">
        <v>491.97</v>
      </c>
      <c r="M927">
        <f>(Table1[[#This Row],[unit_price]]*Table1[[#This Row],[quantity]])-(Table1[[#This Row],[unit_price]]*Table1[[#This Row],[discount]]*Table1[[#This Row],[quantity]])</f>
        <v>491.97</v>
      </c>
      <c r="N927">
        <f>DAY(Table1[[#This Row],[order_date]])</f>
        <v>14</v>
      </c>
      <c r="O927" t="str">
        <f>TEXT(Table1[[#This Row],[order_date]],"mmm")</f>
        <v>Jul</v>
      </c>
      <c r="P927">
        <f>YEAR(Table1[[#This Row],[order_date]])</f>
        <v>2024</v>
      </c>
    </row>
    <row r="928" spans="1:16" x14ac:dyDescent="0.3">
      <c r="A928">
        <v>10927</v>
      </c>
      <c r="B928" s="1">
        <v>45488</v>
      </c>
      <c r="C928">
        <v>1675</v>
      </c>
      <c r="D928" t="s">
        <v>19</v>
      </c>
      <c r="E928" t="s">
        <v>13</v>
      </c>
      <c r="F928">
        <v>6</v>
      </c>
      <c r="G928">
        <v>109.28</v>
      </c>
      <c r="H928">
        <v>0.2</v>
      </c>
      <c r="I928" t="s">
        <v>14</v>
      </c>
      <c r="J928">
        <v>11</v>
      </c>
      <c r="K928">
        <v>4.8</v>
      </c>
      <c r="L928">
        <v>524.54</v>
      </c>
      <c r="M928">
        <f>(Table1[[#This Row],[unit_price]]*Table1[[#This Row],[quantity]])-(Table1[[#This Row],[unit_price]]*Table1[[#This Row],[discount]]*Table1[[#This Row],[quantity]])</f>
        <v>524.5440000000001</v>
      </c>
      <c r="N928">
        <f>DAY(Table1[[#This Row],[order_date]])</f>
        <v>15</v>
      </c>
      <c r="O928" t="str">
        <f>TEXT(Table1[[#This Row],[order_date]],"mmm")</f>
        <v>Jul</v>
      </c>
      <c r="P928">
        <f>YEAR(Table1[[#This Row],[order_date]])</f>
        <v>2024</v>
      </c>
    </row>
    <row r="929" spans="1:16" x14ac:dyDescent="0.3">
      <c r="A929">
        <v>10928</v>
      </c>
      <c r="B929" s="1">
        <v>45489</v>
      </c>
      <c r="C929">
        <v>1226</v>
      </c>
      <c r="D929" t="s">
        <v>12</v>
      </c>
      <c r="E929" t="s">
        <v>21</v>
      </c>
      <c r="F929">
        <v>4</v>
      </c>
      <c r="G929">
        <v>264.37</v>
      </c>
      <c r="H929">
        <v>0.23</v>
      </c>
      <c r="I929" t="s">
        <v>16</v>
      </c>
      <c r="J929">
        <v>8</v>
      </c>
      <c r="K929">
        <v>2</v>
      </c>
      <c r="L929">
        <v>814.26</v>
      </c>
      <c r="M929">
        <f>(Table1[[#This Row],[unit_price]]*Table1[[#This Row],[quantity]])-(Table1[[#This Row],[unit_price]]*Table1[[#This Row],[discount]]*Table1[[#This Row],[quantity]])</f>
        <v>814.25959999999998</v>
      </c>
      <c r="N929">
        <f>DAY(Table1[[#This Row],[order_date]])</f>
        <v>16</v>
      </c>
      <c r="O929" t="str">
        <f>TEXT(Table1[[#This Row],[order_date]],"mmm")</f>
        <v>Jul</v>
      </c>
      <c r="P929">
        <f>YEAR(Table1[[#This Row],[order_date]])</f>
        <v>2024</v>
      </c>
    </row>
    <row r="930" spans="1:16" x14ac:dyDescent="0.3">
      <c r="A930">
        <v>10929</v>
      </c>
      <c r="B930" s="1">
        <v>45490</v>
      </c>
      <c r="C930">
        <v>1658</v>
      </c>
      <c r="D930" t="s">
        <v>12</v>
      </c>
      <c r="E930" t="s">
        <v>21</v>
      </c>
      <c r="F930">
        <v>4</v>
      </c>
      <c r="G930">
        <v>91.64</v>
      </c>
      <c r="H930">
        <v>0.3</v>
      </c>
      <c r="I930" t="s">
        <v>16</v>
      </c>
      <c r="J930">
        <v>2</v>
      </c>
      <c r="K930">
        <v>4.4000000000000004</v>
      </c>
      <c r="L930">
        <v>256.58999999999997</v>
      </c>
      <c r="M930">
        <f>(Table1[[#This Row],[unit_price]]*Table1[[#This Row],[quantity]])-(Table1[[#This Row],[unit_price]]*Table1[[#This Row],[discount]]*Table1[[#This Row],[quantity]])</f>
        <v>256.59199999999998</v>
      </c>
      <c r="N930">
        <f>DAY(Table1[[#This Row],[order_date]])</f>
        <v>17</v>
      </c>
      <c r="O930" t="str">
        <f>TEXT(Table1[[#This Row],[order_date]],"mmm")</f>
        <v>Jul</v>
      </c>
      <c r="P930">
        <f>YEAR(Table1[[#This Row],[order_date]])</f>
        <v>2024</v>
      </c>
    </row>
    <row r="931" spans="1:16" x14ac:dyDescent="0.3">
      <c r="A931">
        <v>10930</v>
      </c>
      <c r="B931" s="1">
        <v>45491</v>
      </c>
      <c r="C931">
        <v>1531</v>
      </c>
      <c r="D931" t="s">
        <v>19</v>
      </c>
      <c r="E931" t="s">
        <v>21</v>
      </c>
      <c r="F931">
        <v>2</v>
      </c>
      <c r="G931">
        <v>423.91</v>
      </c>
      <c r="H931">
        <v>0.27</v>
      </c>
      <c r="I931" t="s">
        <v>16</v>
      </c>
      <c r="J931">
        <v>6</v>
      </c>
      <c r="K931">
        <v>2.2000000000000002</v>
      </c>
      <c r="L931">
        <v>618.91</v>
      </c>
      <c r="M931">
        <f>(Table1[[#This Row],[unit_price]]*Table1[[#This Row],[quantity]])-(Table1[[#This Row],[unit_price]]*Table1[[#This Row],[discount]]*Table1[[#This Row],[quantity]])</f>
        <v>618.90859999999998</v>
      </c>
      <c r="N931">
        <f>DAY(Table1[[#This Row],[order_date]])</f>
        <v>18</v>
      </c>
      <c r="O931" t="str">
        <f>TEXT(Table1[[#This Row],[order_date]],"mmm")</f>
        <v>Jul</v>
      </c>
      <c r="P931">
        <f>YEAR(Table1[[#This Row],[order_date]])</f>
        <v>2024</v>
      </c>
    </row>
    <row r="932" spans="1:16" x14ac:dyDescent="0.3">
      <c r="A932">
        <v>10931</v>
      </c>
      <c r="B932" s="1">
        <v>45492</v>
      </c>
      <c r="C932">
        <v>1440</v>
      </c>
      <c r="D932" t="s">
        <v>22</v>
      </c>
      <c r="E932" t="s">
        <v>17</v>
      </c>
      <c r="F932">
        <v>2</v>
      </c>
      <c r="G932">
        <v>281.89999999999998</v>
      </c>
      <c r="H932">
        <v>0.22</v>
      </c>
      <c r="I932" t="s">
        <v>14</v>
      </c>
      <c r="J932">
        <v>9</v>
      </c>
      <c r="K932">
        <v>2.7</v>
      </c>
      <c r="L932">
        <v>439.76</v>
      </c>
      <c r="M932">
        <f>(Table1[[#This Row],[unit_price]]*Table1[[#This Row],[quantity]])-(Table1[[#This Row],[unit_price]]*Table1[[#This Row],[discount]]*Table1[[#This Row],[quantity]])</f>
        <v>439.76399999999995</v>
      </c>
      <c r="N932">
        <f>DAY(Table1[[#This Row],[order_date]])</f>
        <v>19</v>
      </c>
      <c r="O932" t="str">
        <f>TEXT(Table1[[#This Row],[order_date]],"mmm")</f>
        <v>Jul</v>
      </c>
      <c r="P932">
        <f>YEAR(Table1[[#This Row],[order_date]])</f>
        <v>2024</v>
      </c>
    </row>
    <row r="933" spans="1:16" x14ac:dyDescent="0.3">
      <c r="A933">
        <v>10932</v>
      </c>
      <c r="B933" s="1">
        <v>45493</v>
      </c>
      <c r="C933">
        <v>1401</v>
      </c>
      <c r="D933" t="s">
        <v>19</v>
      </c>
      <c r="E933" t="s">
        <v>21</v>
      </c>
      <c r="F933">
        <v>4</v>
      </c>
      <c r="G933">
        <v>325.72000000000003</v>
      </c>
      <c r="H933">
        <v>0.34</v>
      </c>
      <c r="I933" t="s">
        <v>14</v>
      </c>
      <c r="J933">
        <v>5</v>
      </c>
      <c r="K933">
        <v>1.9</v>
      </c>
      <c r="L933">
        <v>859.9</v>
      </c>
      <c r="M933">
        <f>(Table1[[#This Row],[unit_price]]*Table1[[#This Row],[quantity]])-(Table1[[#This Row],[unit_price]]*Table1[[#This Row],[discount]]*Table1[[#This Row],[quantity]])</f>
        <v>859.90080000000012</v>
      </c>
      <c r="N933">
        <f>DAY(Table1[[#This Row],[order_date]])</f>
        <v>20</v>
      </c>
      <c r="O933" t="str">
        <f>TEXT(Table1[[#This Row],[order_date]],"mmm")</f>
        <v>Jul</v>
      </c>
      <c r="P933">
        <f>YEAR(Table1[[#This Row],[order_date]])</f>
        <v>2024</v>
      </c>
    </row>
    <row r="934" spans="1:16" x14ac:dyDescent="0.3">
      <c r="A934">
        <v>10933</v>
      </c>
      <c r="B934" s="1">
        <v>45494</v>
      </c>
      <c r="C934">
        <v>1046</v>
      </c>
      <c r="D934" t="s">
        <v>22</v>
      </c>
      <c r="E934" t="s">
        <v>13</v>
      </c>
      <c r="F934">
        <v>5</v>
      </c>
      <c r="G934">
        <v>100.63</v>
      </c>
      <c r="H934">
        <v>0.24</v>
      </c>
      <c r="I934" t="s">
        <v>16</v>
      </c>
      <c r="J934">
        <v>1</v>
      </c>
      <c r="K934">
        <v>4.5</v>
      </c>
      <c r="L934">
        <v>382.39</v>
      </c>
      <c r="M934">
        <f>(Table1[[#This Row],[unit_price]]*Table1[[#This Row],[quantity]])-(Table1[[#This Row],[unit_price]]*Table1[[#This Row],[discount]]*Table1[[#This Row],[quantity]])</f>
        <v>382.39400000000001</v>
      </c>
      <c r="N934">
        <f>DAY(Table1[[#This Row],[order_date]])</f>
        <v>21</v>
      </c>
      <c r="O934" t="str">
        <f>TEXT(Table1[[#This Row],[order_date]],"mmm")</f>
        <v>Jul</v>
      </c>
      <c r="P934">
        <f>YEAR(Table1[[#This Row],[order_date]])</f>
        <v>2024</v>
      </c>
    </row>
    <row r="935" spans="1:16" x14ac:dyDescent="0.3">
      <c r="A935">
        <v>10934</v>
      </c>
      <c r="B935" s="1">
        <v>45495</v>
      </c>
      <c r="C935">
        <v>1232</v>
      </c>
      <c r="D935" t="s">
        <v>12</v>
      </c>
      <c r="E935" t="s">
        <v>17</v>
      </c>
      <c r="F935">
        <v>2</v>
      </c>
      <c r="G935">
        <v>96.77</v>
      </c>
      <c r="H935">
        <v>0.34</v>
      </c>
      <c r="I935" t="s">
        <v>18</v>
      </c>
      <c r="J935">
        <v>8</v>
      </c>
      <c r="K935">
        <v>1.8</v>
      </c>
      <c r="L935">
        <v>127.74</v>
      </c>
      <c r="M935">
        <f>(Table1[[#This Row],[unit_price]]*Table1[[#This Row],[quantity]])-(Table1[[#This Row],[unit_price]]*Table1[[#This Row],[discount]]*Table1[[#This Row],[quantity]])</f>
        <v>127.73639999999999</v>
      </c>
      <c r="N935">
        <f>DAY(Table1[[#This Row],[order_date]])</f>
        <v>22</v>
      </c>
      <c r="O935" t="str">
        <f>TEXT(Table1[[#This Row],[order_date]],"mmm")</f>
        <v>Jul</v>
      </c>
      <c r="P935">
        <f>YEAR(Table1[[#This Row],[order_date]])</f>
        <v>2024</v>
      </c>
    </row>
    <row r="936" spans="1:16" x14ac:dyDescent="0.3">
      <c r="A936">
        <v>10935</v>
      </c>
      <c r="B936" s="1">
        <v>45496</v>
      </c>
      <c r="C936">
        <v>1304</v>
      </c>
      <c r="D936" t="s">
        <v>19</v>
      </c>
      <c r="E936" t="s">
        <v>13</v>
      </c>
      <c r="F936">
        <v>2</v>
      </c>
      <c r="G936">
        <v>356.3</v>
      </c>
      <c r="H936">
        <v>0.02</v>
      </c>
      <c r="I936" t="s">
        <v>16</v>
      </c>
      <c r="J936">
        <v>4</v>
      </c>
      <c r="K936">
        <v>4.4000000000000004</v>
      </c>
      <c r="L936">
        <v>698.35</v>
      </c>
      <c r="M936">
        <f>(Table1[[#This Row],[unit_price]]*Table1[[#This Row],[quantity]])-(Table1[[#This Row],[unit_price]]*Table1[[#This Row],[discount]]*Table1[[#This Row],[quantity]])</f>
        <v>698.34800000000007</v>
      </c>
      <c r="N936">
        <f>DAY(Table1[[#This Row],[order_date]])</f>
        <v>23</v>
      </c>
      <c r="O936" t="str">
        <f>TEXT(Table1[[#This Row],[order_date]],"mmm")</f>
        <v>Jul</v>
      </c>
      <c r="P936">
        <f>YEAR(Table1[[#This Row],[order_date]])</f>
        <v>2024</v>
      </c>
    </row>
    <row r="937" spans="1:16" x14ac:dyDescent="0.3">
      <c r="A937">
        <v>10936</v>
      </c>
      <c r="B937" s="1">
        <v>45497</v>
      </c>
      <c r="C937">
        <v>1525</v>
      </c>
      <c r="D937" t="s">
        <v>12</v>
      </c>
      <c r="E937" t="s">
        <v>20</v>
      </c>
      <c r="F937">
        <v>1</v>
      </c>
      <c r="G937">
        <v>591.23</v>
      </c>
      <c r="H937">
        <v>0.05</v>
      </c>
      <c r="I937" t="s">
        <v>18</v>
      </c>
      <c r="J937">
        <v>8</v>
      </c>
      <c r="K937">
        <v>2.8</v>
      </c>
      <c r="L937">
        <v>561.66999999999996</v>
      </c>
      <c r="M937">
        <f>(Table1[[#This Row],[unit_price]]*Table1[[#This Row],[quantity]])-(Table1[[#This Row],[unit_price]]*Table1[[#This Row],[discount]]*Table1[[#This Row],[quantity]])</f>
        <v>561.66849999999999</v>
      </c>
      <c r="N937">
        <f>DAY(Table1[[#This Row],[order_date]])</f>
        <v>24</v>
      </c>
      <c r="O937" t="str">
        <f>TEXT(Table1[[#This Row],[order_date]],"mmm")</f>
        <v>Jul</v>
      </c>
      <c r="P937">
        <f>YEAR(Table1[[#This Row],[order_date]])</f>
        <v>2024</v>
      </c>
    </row>
    <row r="938" spans="1:16" x14ac:dyDescent="0.3">
      <c r="A938">
        <v>10937</v>
      </c>
      <c r="B938" s="1">
        <v>45498</v>
      </c>
      <c r="C938">
        <v>1142</v>
      </c>
      <c r="D938" t="s">
        <v>15</v>
      </c>
      <c r="E938" t="s">
        <v>17</v>
      </c>
      <c r="F938">
        <v>6</v>
      </c>
      <c r="G938">
        <v>71.31</v>
      </c>
      <c r="H938">
        <v>0.16</v>
      </c>
      <c r="I938" t="s">
        <v>14</v>
      </c>
      <c r="J938">
        <v>4</v>
      </c>
      <c r="K938">
        <v>4.3</v>
      </c>
      <c r="L938">
        <v>359.4</v>
      </c>
      <c r="M938">
        <f>(Table1[[#This Row],[unit_price]]*Table1[[#This Row],[quantity]])-(Table1[[#This Row],[unit_price]]*Table1[[#This Row],[discount]]*Table1[[#This Row],[quantity]])</f>
        <v>359.4024</v>
      </c>
      <c r="N938">
        <f>DAY(Table1[[#This Row],[order_date]])</f>
        <v>25</v>
      </c>
      <c r="O938" t="str">
        <f>TEXT(Table1[[#This Row],[order_date]],"mmm")</f>
        <v>Jul</v>
      </c>
      <c r="P938">
        <f>YEAR(Table1[[#This Row],[order_date]])</f>
        <v>2024</v>
      </c>
    </row>
    <row r="939" spans="1:16" x14ac:dyDescent="0.3">
      <c r="A939">
        <v>10938</v>
      </c>
      <c r="B939" s="1">
        <v>45499</v>
      </c>
      <c r="C939">
        <v>1414</v>
      </c>
      <c r="D939" t="s">
        <v>12</v>
      </c>
      <c r="E939" t="s">
        <v>13</v>
      </c>
      <c r="F939">
        <v>1</v>
      </c>
      <c r="G939">
        <v>182.15</v>
      </c>
      <c r="H939">
        <v>0.13</v>
      </c>
      <c r="I939" t="s">
        <v>16</v>
      </c>
      <c r="J939">
        <v>11</v>
      </c>
      <c r="K939">
        <v>2.1</v>
      </c>
      <c r="L939">
        <v>158.47</v>
      </c>
      <c r="M939">
        <f>(Table1[[#This Row],[unit_price]]*Table1[[#This Row],[quantity]])-(Table1[[#This Row],[unit_price]]*Table1[[#This Row],[discount]]*Table1[[#This Row],[quantity]])</f>
        <v>158.47050000000002</v>
      </c>
      <c r="N939">
        <f>DAY(Table1[[#This Row],[order_date]])</f>
        <v>26</v>
      </c>
      <c r="O939" t="str">
        <f>TEXT(Table1[[#This Row],[order_date]],"mmm")</f>
        <v>Jul</v>
      </c>
      <c r="P939">
        <f>YEAR(Table1[[#This Row],[order_date]])</f>
        <v>2024</v>
      </c>
    </row>
    <row r="940" spans="1:16" x14ac:dyDescent="0.3">
      <c r="A940">
        <v>10939</v>
      </c>
      <c r="B940" s="1">
        <v>45500</v>
      </c>
      <c r="C940">
        <v>1512</v>
      </c>
      <c r="D940" t="s">
        <v>15</v>
      </c>
      <c r="E940" t="s">
        <v>13</v>
      </c>
      <c r="F940">
        <v>5</v>
      </c>
      <c r="G940">
        <v>523.63</v>
      </c>
      <c r="H940">
        <v>0.27</v>
      </c>
      <c r="I940" t="s">
        <v>14</v>
      </c>
      <c r="J940">
        <v>8</v>
      </c>
      <c r="K940">
        <v>1.5</v>
      </c>
      <c r="L940">
        <v>1911.25</v>
      </c>
      <c r="M940">
        <f>(Table1[[#This Row],[unit_price]]*Table1[[#This Row],[quantity]])-(Table1[[#This Row],[unit_price]]*Table1[[#This Row],[discount]]*Table1[[#This Row],[quantity]])</f>
        <v>1911.2495000000001</v>
      </c>
      <c r="N940">
        <f>DAY(Table1[[#This Row],[order_date]])</f>
        <v>27</v>
      </c>
      <c r="O940" t="str">
        <f>TEXT(Table1[[#This Row],[order_date]],"mmm")</f>
        <v>Jul</v>
      </c>
      <c r="P940">
        <f>YEAR(Table1[[#This Row],[order_date]])</f>
        <v>2024</v>
      </c>
    </row>
    <row r="941" spans="1:16" x14ac:dyDescent="0.3">
      <c r="A941">
        <v>10940</v>
      </c>
      <c r="B941" s="1">
        <v>45501</v>
      </c>
      <c r="C941">
        <v>1372</v>
      </c>
      <c r="D941" t="s">
        <v>22</v>
      </c>
      <c r="E941" t="s">
        <v>17</v>
      </c>
      <c r="F941">
        <v>2</v>
      </c>
      <c r="G941">
        <v>57.28</v>
      </c>
      <c r="H941">
        <v>0.06</v>
      </c>
      <c r="I941" t="s">
        <v>14</v>
      </c>
      <c r="J941">
        <v>9</v>
      </c>
      <c r="K941">
        <v>3.2</v>
      </c>
      <c r="L941">
        <v>107.69</v>
      </c>
      <c r="M941">
        <f>(Table1[[#This Row],[unit_price]]*Table1[[#This Row],[quantity]])-(Table1[[#This Row],[unit_price]]*Table1[[#This Row],[discount]]*Table1[[#This Row],[quantity]])</f>
        <v>107.68640000000001</v>
      </c>
      <c r="N941">
        <f>DAY(Table1[[#This Row],[order_date]])</f>
        <v>28</v>
      </c>
      <c r="O941" t="str">
        <f>TEXT(Table1[[#This Row],[order_date]],"mmm")</f>
        <v>Jul</v>
      </c>
      <c r="P941">
        <f>YEAR(Table1[[#This Row],[order_date]])</f>
        <v>2024</v>
      </c>
    </row>
    <row r="942" spans="1:16" x14ac:dyDescent="0.3">
      <c r="A942">
        <v>10941</v>
      </c>
      <c r="B942" s="1">
        <v>45502</v>
      </c>
      <c r="C942">
        <v>1565</v>
      </c>
      <c r="D942" t="s">
        <v>19</v>
      </c>
      <c r="E942" t="s">
        <v>20</v>
      </c>
      <c r="F942">
        <v>7</v>
      </c>
      <c r="G942">
        <v>527.39</v>
      </c>
      <c r="H942">
        <v>0.34</v>
      </c>
      <c r="I942" t="s">
        <v>14</v>
      </c>
      <c r="J942">
        <v>5</v>
      </c>
      <c r="K942">
        <v>3</v>
      </c>
      <c r="L942">
        <v>2436.54</v>
      </c>
      <c r="M942">
        <f>(Table1[[#This Row],[unit_price]]*Table1[[#This Row],[quantity]])-(Table1[[#This Row],[unit_price]]*Table1[[#This Row],[discount]]*Table1[[#This Row],[quantity]])</f>
        <v>2436.5418</v>
      </c>
      <c r="N942">
        <f>DAY(Table1[[#This Row],[order_date]])</f>
        <v>29</v>
      </c>
      <c r="O942" t="str">
        <f>TEXT(Table1[[#This Row],[order_date]],"mmm")</f>
        <v>Jul</v>
      </c>
      <c r="P942">
        <f>YEAR(Table1[[#This Row],[order_date]])</f>
        <v>2024</v>
      </c>
    </row>
    <row r="943" spans="1:16" x14ac:dyDescent="0.3">
      <c r="A943">
        <v>10942</v>
      </c>
      <c r="B943" s="1">
        <v>45503</v>
      </c>
      <c r="C943">
        <v>1885</v>
      </c>
      <c r="D943" t="s">
        <v>19</v>
      </c>
      <c r="E943" t="s">
        <v>17</v>
      </c>
      <c r="F943">
        <v>2</v>
      </c>
      <c r="G943">
        <v>321.70999999999998</v>
      </c>
      <c r="H943">
        <v>0.11</v>
      </c>
      <c r="I943" t="s">
        <v>16</v>
      </c>
      <c r="J943">
        <v>5</v>
      </c>
      <c r="K943">
        <v>2.4</v>
      </c>
      <c r="L943">
        <v>572.64</v>
      </c>
      <c r="M943">
        <f>(Table1[[#This Row],[unit_price]]*Table1[[#This Row],[quantity]])-(Table1[[#This Row],[unit_price]]*Table1[[#This Row],[discount]]*Table1[[#This Row],[quantity]])</f>
        <v>572.64379999999994</v>
      </c>
      <c r="N943">
        <f>DAY(Table1[[#This Row],[order_date]])</f>
        <v>30</v>
      </c>
      <c r="O943" t="str">
        <f>TEXT(Table1[[#This Row],[order_date]],"mmm")</f>
        <v>Jul</v>
      </c>
      <c r="P943">
        <f>YEAR(Table1[[#This Row],[order_date]])</f>
        <v>2024</v>
      </c>
    </row>
    <row r="944" spans="1:16" x14ac:dyDescent="0.3">
      <c r="A944">
        <v>10943</v>
      </c>
      <c r="B944" s="1">
        <v>45504</v>
      </c>
      <c r="C944">
        <v>1258</v>
      </c>
      <c r="D944" t="s">
        <v>19</v>
      </c>
      <c r="E944" t="s">
        <v>21</v>
      </c>
      <c r="F944">
        <v>3</v>
      </c>
      <c r="G944">
        <v>253.84</v>
      </c>
      <c r="H944">
        <v>0.15</v>
      </c>
      <c r="I944" t="s">
        <v>16</v>
      </c>
      <c r="J944">
        <v>2</v>
      </c>
      <c r="K944">
        <v>3.7</v>
      </c>
      <c r="L944">
        <v>647.29</v>
      </c>
      <c r="M944">
        <f>(Table1[[#This Row],[unit_price]]*Table1[[#This Row],[quantity]])-(Table1[[#This Row],[unit_price]]*Table1[[#This Row],[discount]]*Table1[[#This Row],[quantity]])</f>
        <v>647.29199999999992</v>
      </c>
      <c r="N944">
        <f>DAY(Table1[[#This Row],[order_date]])</f>
        <v>31</v>
      </c>
      <c r="O944" t="str">
        <f>TEXT(Table1[[#This Row],[order_date]],"mmm")</f>
        <v>Jul</v>
      </c>
      <c r="P944">
        <f>YEAR(Table1[[#This Row],[order_date]])</f>
        <v>2024</v>
      </c>
    </row>
    <row r="945" spans="1:16" x14ac:dyDescent="0.3">
      <c r="A945">
        <v>10944</v>
      </c>
      <c r="B945" s="1">
        <v>45505</v>
      </c>
      <c r="C945">
        <v>1655</v>
      </c>
      <c r="D945" t="s">
        <v>12</v>
      </c>
      <c r="E945" t="s">
        <v>21</v>
      </c>
      <c r="F945">
        <v>5</v>
      </c>
      <c r="G945">
        <v>196.16</v>
      </c>
      <c r="H945">
        <v>0.1</v>
      </c>
      <c r="I945" t="s">
        <v>16</v>
      </c>
      <c r="J945">
        <v>9</v>
      </c>
      <c r="K945">
        <v>1.4</v>
      </c>
      <c r="L945">
        <v>882.72</v>
      </c>
      <c r="M945">
        <f>(Table1[[#This Row],[unit_price]]*Table1[[#This Row],[quantity]])-(Table1[[#This Row],[unit_price]]*Table1[[#This Row],[discount]]*Table1[[#This Row],[quantity]])</f>
        <v>882.71999999999991</v>
      </c>
      <c r="N945">
        <f>DAY(Table1[[#This Row],[order_date]])</f>
        <v>1</v>
      </c>
      <c r="O945" t="str">
        <f>TEXT(Table1[[#This Row],[order_date]],"mmm")</f>
        <v>Aug</v>
      </c>
      <c r="P945">
        <f>YEAR(Table1[[#This Row],[order_date]])</f>
        <v>2024</v>
      </c>
    </row>
    <row r="946" spans="1:16" x14ac:dyDescent="0.3">
      <c r="A946">
        <v>10945</v>
      </c>
      <c r="B946" s="1">
        <v>45506</v>
      </c>
      <c r="C946">
        <v>1470</v>
      </c>
      <c r="D946" t="s">
        <v>22</v>
      </c>
      <c r="E946" t="s">
        <v>20</v>
      </c>
      <c r="F946">
        <v>7</v>
      </c>
      <c r="G946">
        <v>188.81</v>
      </c>
      <c r="H946">
        <v>0.2</v>
      </c>
      <c r="I946" t="s">
        <v>18</v>
      </c>
      <c r="J946">
        <v>11</v>
      </c>
      <c r="K946">
        <v>3.5</v>
      </c>
      <c r="L946">
        <v>1057.3399999999999</v>
      </c>
      <c r="M946">
        <f>(Table1[[#This Row],[unit_price]]*Table1[[#This Row],[quantity]])-(Table1[[#This Row],[unit_price]]*Table1[[#This Row],[discount]]*Table1[[#This Row],[quantity]])</f>
        <v>1057.336</v>
      </c>
      <c r="N946">
        <f>DAY(Table1[[#This Row],[order_date]])</f>
        <v>2</v>
      </c>
      <c r="O946" t="str">
        <f>TEXT(Table1[[#This Row],[order_date]],"mmm")</f>
        <v>Aug</v>
      </c>
      <c r="P946">
        <f>YEAR(Table1[[#This Row],[order_date]])</f>
        <v>2024</v>
      </c>
    </row>
    <row r="947" spans="1:16" x14ac:dyDescent="0.3">
      <c r="A947">
        <v>10946</v>
      </c>
      <c r="B947" s="1">
        <v>45507</v>
      </c>
      <c r="C947">
        <v>1952</v>
      </c>
      <c r="D947" t="s">
        <v>12</v>
      </c>
      <c r="E947" t="s">
        <v>13</v>
      </c>
      <c r="F947">
        <v>6</v>
      </c>
      <c r="G947">
        <v>193.89</v>
      </c>
      <c r="H947">
        <v>0.02</v>
      </c>
      <c r="I947" t="s">
        <v>18</v>
      </c>
      <c r="J947">
        <v>4</v>
      </c>
      <c r="K947">
        <v>1.8</v>
      </c>
      <c r="L947">
        <v>1140.07</v>
      </c>
      <c r="M947">
        <f>(Table1[[#This Row],[unit_price]]*Table1[[#This Row],[quantity]])-(Table1[[#This Row],[unit_price]]*Table1[[#This Row],[discount]]*Table1[[#This Row],[quantity]])</f>
        <v>1140.0731999999998</v>
      </c>
      <c r="N947">
        <f>DAY(Table1[[#This Row],[order_date]])</f>
        <v>3</v>
      </c>
      <c r="O947" t="str">
        <f>TEXT(Table1[[#This Row],[order_date]],"mmm")</f>
        <v>Aug</v>
      </c>
      <c r="P947">
        <f>YEAR(Table1[[#This Row],[order_date]])</f>
        <v>2024</v>
      </c>
    </row>
    <row r="948" spans="1:16" x14ac:dyDescent="0.3">
      <c r="A948">
        <v>10947</v>
      </c>
      <c r="B948" s="1">
        <v>45508</v>
      </c>
      <c r="C948">
        <v>1970</v>
      </c>
      <c r="D948" t="s">
        <v>12</v>
      </c>
      <c r="E948" t="s">
        <v>13</v>
      </c>
      <c r="F948">
        <v>6</v>
      </c>
      <c r="G948">
        <v>532.61</v>
      </c>
      <c r="H948">
        <v>0.05</v>
      </c>
      <c r="I948" t="s">
        <v>16</v>
      </c>
      <c r="J948">
        <v>3</v>
      </c>
      <c r="K948">
        <v>1.5</v>
      </c>
      <c r="L948">
        <v>3035.88</v>
      </c>
      <c r="M948">
        <f>(Table1[[#This Row],[unit_price]]*Table1[[#This Row],[quantity]])-(Table1[[#This Row],[unit_price]]*Table1[[#This Row],[discount]]*Table1[[#This Row],[quantity]])</f>
        <v>3035.877</v>
      </c>
      <c r="N948">
        <f>DAY(Table1[[#This Row],[order_date]])</f>
        <v>4</v>
      </c>
      <c r="O948" t="str">
        <f>TEXT(Table1[[#This Row],[order_date]],"mmm")</f>
        <v>Aug</v>
      </c>
      <c r="P948">
        <f>YEAR(Table1[[#This Row],[order_date]])</f>
        <v>2024</v>
      </c>
    </row>
    <row r="949" spans="1:16" x14ac:dyDescent="0.3">
      <c r="A949">
        <v>10948</v>
      </c>
      <c r="B949" s="1">
        <v>45509</v>
      </c>
      <c r="C949">
        <v>1011</v>
      </c>
      <c r="D949" t="s">
        <v>19</v>
      </c>
      <c r="E949" t="s">
        <v>13</v>
      </c>
      <c r="F949">
        <v>7</v>
      </c>
      <c r="G949">
        <v>438.42</v>
      </c>
      <c r="H949">
        <v>0.26</v>
      </c>
      <c r="I949" t="s">
        <v>18</v>
      </c>
      <c r="J949">
        <v>2</v>
      </c>
      <c r="K949">
        <v>4.5999999999999996</v>
      </c>
      <c r="L949">
        <v>2271.02</v>
      </c>
      <c r="M949">
        <f>(Table1[[#This Row],[unit_price]]*Table1[[#This Row],[quantity]])-(Table1[[#This Row],[unit_price]]*Table1[[#This Row],[discount]]*Table1[[#This Row],[quantity]])</f>
        <v>2271.0155999999997</v>
      </c>
      <c r="N949">
        <f>DAY(Table1[[#This Row],[order_date]])</f>
        <v>5</v>
      </c>
      <c r="O949" t="str">
        <f>TEXT(Table1[[#This Row],[order_date]],"mmm")</f>
        <v>Aug</v>
      </c>
      <c r="P949">
        <f>YEAR(Table1[[#This Row],[order_date]])</f>
        <v>2024</v>
      </c>
    </row>
    <row r="950" spans="1:16" x14ac:dyDescent="0.3">
      <c r="A950">
        <v>10949</v>
      </c>
      <c r="B950" s="1">
        <v>45510</v>
      </c>
      <c r="C950">
        <v>1329</v>
      </c>
      <c r="D950" t="s">
        <v>15</v>
      </c>
      <c r="E950" t="s">
        <v>17</v>
      </c>
      <c r="F950">
        <v>6</v>
      </c>
      <c r="G950">
        <v>406.79</v>
      </c>
      <c r="H950">
        <v>7.0000000000000007E-2</v>
      </c>
      <c r="I950" t="s">
        <v>16</v>
      </c>
      <c r="J950">
        <v>3</v>
      </c>
      <c r="K950">
        <v>2.8</v>
      </c>
      <c r="L950">
        <v>2269.89</v>
      </c>
      <c r="M950">
        <f>(Table1[[#This Row],[unit_price]]*Table1[[#This Row],[quantity]])-(Table1[[#This Row],[unit_price]]*Table1[[#This Row],[discount]]*Table1[[#This Row],[quantity]])</f>
        <v>2269.8882000000003</v>
      </c>
      <c r="N950">
        <f>DAY(Table1[[#This Row],[order_date]])</f>
        <v>6</v>
      </c>
      <c r="O950" t="str">
        <f>TEXT(Table1[[#This Row],[order_date]],"mmm")</f>
        <v>Aug</v>
      </c>
      <c r="P950">
        <f>YEAR(Table1[[#This Row],[order_date]])</f>
        <v>2024</v>
      </c>
    </row>
    <row r="951" spans="1:16" x14ac:dyDescent="0.3">
      <c r="A951">
        <v>10950</v>
      </c>
      <c r="B951" s="1">
        <v>45511</v>
      </c>
      <c r="C951">
        <v>1735</v>
      </c>
      <c r="D951" t="s">
        <v>19</v>
      </c>
      <c r="E951" t="s">
        <v>17</v>
      </c>
      <c r="F951">
        <v>7</v>
      </c>
      <c r="G951">
        <v>482.27</v>
      </c>
      <c r="H951">
        <v>0.08</v>
      </c>
      <c r="I951" t="s">
        <v>16</v>
      </c>
      <c r="J951">
        <v>4</v>
      </c>
      <c r="K951">
        <v>4.0999999999999996</v>
      </c>
      <c r="L951">
        <v>3105.82</v>
      </c>
      <c r="M951">
        <f>(Table1[[#This Row],[unit_price]]*Table1[[#This Row],[quantity]])-(Table1[[#This Row],[unit_price]]*Table1[[#This Row],[discount]]*Table1[[#This Row],[quantity]])</f>
        <v>3105.8188</v>
      </c>
      <c r="N951">
        <f>DAY(Table1[[#This Row],[order_date]])</f>
        <v>7</v>
      </c>
      <c r="O951" t="str">
        <f>TEXT(Table1[[#This Row],[order_date]],"mmm")</f>
        <v>Aug</v>
      </c>
      <c r="P951">
        <f>YEAR(Table1[[#This Row],[order_date]])</f>
        <v>2024</v>
      </c>
    </row>
    <row r="952" spans="1:16" x14ac:dyDescent="0.3">
      <c r="A952">
        <v>10951</v>
      </c>
      <c r="B952" s="1">
        <v>45512</v>
      </c>
      <c r="C952">
        <v>1783</v>
      </c>
      <c r="D952" t="s">
        <v>19</v>
      </c>
      <c r="E952" t="s">
        <v>20</v>
      </c>
      <c r="F952">
        <v>5</v>
      </c>
      <c r="G952">
        <v>165.41</v>
      </c>
      <c r="H952">
        <v>0.28000000000000003</v>
      </c>
      <c r="I952" t="s">
        <v>16</v>
      </c>
      <c r="J952">
        <v>9</v>
      </c>
      <c r="K952">
        <v>1.4</v>
      </c>
      <c r="L952">
        <v>595.48</v>
      </c>
      <c r="M952">
        <f>(Table1[[#This Row],[unit_price]]*Table1[[#This Row],[quantity]])-(Table1[[#This Row],[unit_price]]*Table1[[#This Row],[discount]]*Table1[[#This Row],[quantity]])</f>
        <v>595.47599999999989</v>
      </c>
      <c r="N952">
        <f>DAY(Table1[[#This Row],[order_date]])</f>
        <v>8</v>
      </c>
      <c r="O952" t="str">
        <f>TEXT(Table1[[#This Row],[order_date]],"mmm")</f>
        <v>Aug</v>
      </c>
      <c r="P952">
        <f>YEAR(Table1[[#This Row],[order_date]])</f>
        <v>2024</v>
      </c>
    </row>
    <row r="953" spans="1:16" x14ac:dyDescent="0.3">
      <c r="A953">
        <v>10952</v>
      </c>
      <c r="B953" s="1">
        <v>45513</v>
      </c>
      <c r="C953">
        <v>1967</v>
      </c>
      <c r="D953" t="s">
        <v>19</v>
      </c>
      <c r="E953" t="s">
        <v>21</v>
      </c>
      <c r="F953">
        <v>7</v>
      </c>
      <c r="G953">
        <v>376.56</v>
      </c>
      <c r="H953">
        <v>0.03</v>
      </c>
      <c r="I953" t="s">
        <v>16</v>
      </c>
      <c r="J953">
        <v>6</v>
      </c>
      <c r="K953">
        <v>1.2</v>
      </c>
      <c r="L953">
        <v>2556.84</v>
      </c>
      <c r="M953">
        <f>(Table1[[#This Row],[unit_price]]*Table1[[#This Row],[quantity]])-(Table1[[#This Row],[unit_price]]*Table1[[#This Row],[discount]]*Table1[[#This Row],[quantity]])</f>
        <v>2556.8424</v>
      </c>
      <c r="N953">
        <f>DAY(Table1[[#This Row],[order_date]])</f>
        <v>9</v>
      </c>
      <c r="O953" t="str">
        <f>TEXT(Table1[[#This Row],[order_date]],"mmm")</f>
        <v>Aug</v>
      </c>
      <c r="P953">
        <f>YEAR(Table1[[#This Row],[order_date]])</f>
        <v>2024</v>
      </c>
    </row>
    <row r="954" spans="1:16" x14ac:dyDescent="0.3">
      <c r="A954">
        <v>10953</v>
      </c>
      <c r="B954" s="1">
        <v>45514</v>
      </c>
      <c r="C954">
        <v>1357</v>
      </c>
      <c r="D954" t="s">
        <v>15</v>
      </c>
      <c r="E954" t="s">
        <v>13</v>
      </c>
      <c r="F954">
        <v>7</v>
      </c>
      <c r="G954">
        <v>284.14</v>
      </c>
      <c r="H954">
        <v>0.15</v>
      </c>
      <c r="I954" t="s">
        <v>16</v>
      </c>
      <c r="J954">
        <v>10</v>
      </c>
      <c r="K954">
        <v>3</v>
      </c>
      <c r="L954">
        <v>1690.63</v>
      </c>
      <c r="M954">
        <f>(Table1[[#This Row],[unit_price]]*Table1[[#This Row],[quantity]])-(Table1[[#This Row],[unit_price]]*Table1[[#This Row],[discount]]*Table1[[#This Row],[quantity]])</f>
        <v>1690.633</v>
      </c>
      <c r="N954">
        <f>DAY(Table1[[#This Row],[order_date]])</f>
        <v>10</v>
      </c>
      <c r="O954" t="str">
        <f>TEXT(Table1[[#This Row],[order_date]],"mmm")</f>
        <v>Aug</v>
      </c>
      <c r="P954">
        <f>YEAR(Table1[[#This Row],[order_date]])</f>
        <v>2024</v>
      </c>
    </row>
    <row r="955" spans="1:16" x14ac:dyDescent="0.3">
      <c r="A955">
        <v>10954</v>
      </c>
      <c r="B955" s="1">
        <v>45515</v>
      </c>
      <c r="C955">
        <v>1971</v>
      </c>
      <c r="D955" t="s">
        <v>19</v>
      </c>
      <c r="E955" t="s">
        <v>21</v>
      </c>
      <c r="F955">
        <v>3</v>
      </c>
      <c r="G955">
        <v>472.73</v>
      </c>
      <c r="H955">
        <v>0.01</v>
      </c>
      <c r="I955" t="s">
        <v>16</v>
      </c>
      <c r="J955">
        <v>5</v>
      </c>
      <c r="K955">
        <v>2.2999999999999998</v>
      </c>
      <c r="L955">
        <v>1404.01</v>
      </c>
      <c r="M955">
        <f>(Table1[[#This Row],[unit_price]]*Table1[[#This Row],[quantity]])-(Table1[[#This Row],[unit_price]]*Table1[[#This Row],[discount]]*Table1[[#This Row],[quantity]])</f>
        <v>1404.0081</v>
      </c>
      <c r="N955">
        <f>DAY(Table1[[#This Row],[order_date]])</f>
        <v>11</v>
      </c>
      <c r="O955" t="str">
        <f>TEXT(Table1[[#This Row],[order_date]],"mmm")</f>
        <v>Aug</v>
      </c>
      <c r="P955">
        <f>YEAR(Table1[[#This Row],[order_date]])</f>
        <v>2024</v>
      </c>
    </row>
    <row r="956" spans="1:16" x14ac:dyDescent="0.3">
      <c r="A956">
        <v>10955</v>
      </c>
      <c r="B956" s="1">
        <v>45516</v>
      </c>
      <c r="C956">
        <v>1407</v>
      </c>
      <c r="D956" t="s">
        <v>19</v>
      </c>
      <c r="E956" t="s">
        <v>17</v>
      </c>
      <c r="F956">
        <v>3</v>
      </c>
      <c r="G956">
        <v>195.91</v>
      </c>
      <c r="H956">
        <v>0.12</v>
      </c>
      <c r="I956" t="s">
        <v>14</v>
      </c>
      <c r="J956">
        <v>9</v>
      </c>
      <c r="K956">
        <v>1</v>
      </c>
      <c r="L956">
        <v>517.20000000000005</v>
      </c>
      <c r="M956">
        <f>(Table1[[#This Row],[unit_price]]*Table1[[#This Row],[quantity]])-(Table1[[#This Row],[unit_price]]*Table1[[#This Row],[discount]]*Table1[[#This Row],[quantity]])</f>
        <v>517.20240000000001</v>
      </c>
      <c r="N956">
        <f>DAY(Table1[[#This Row],[order_date]])</f>
        <v>12</v>
      </c>
      <c r="O956" t="str">
        <f>TEXT(Table1[[#This Row],[order_date]],"mmm")</f>
        <v>Aug</v>
      </c>
      <c r="P956">
        <f>YEAR(Table1[[#This Row],[order_date]])</f>
        <v>2024</v>
      </c>
    </row>
    <row r="957" spans="1:16" x14ac:dyDescent="0.3">
      <c r="A957">
        <v>10956</v>
      </c>
      <c r="B957" s="1">
        <v>45517</v>
      </c>
      <c r="C957">
        <v>1667</v>
      </c>
      <c r="D957" t="s">
        <v>19</v>
      </c>
      <c r="E957" t="s">
        <v>17</v>
      </c>
      <c r="F957">
        <v>1</v>
      </c>
      <c r="G957">
        <v>391.26</v>
      </c>
      <c r="H957">
        <v>0.24</v>
      </c>
      <c r="I957" t="s">
        <v>18</v>
      </c>
      <c r="J957">
        <v>8</v>
      </c>
      <c r="K957">
        <v>1.7</v>
      </c>
      <c r="L957">
        <v>297.36</v>
      </c>
      <c r="M957">
        <f>(Table1[[#This Row],[unit_price]]*Table1[[#This Row],[quantity]])-(Table1[[#This Row],[unit_price]]*Table1[[#This Row],[discount]]*Table1[[#This Row],[quantity]])</f>
        <v>297.35759999999999</v>
      </c>
      <c r="N957">
        <f>DAY(Table1[[#This Row],[order_date]])</f>
        <v>13</v>
      </c>
      <c r="O957" t="str">
        <f>TEXT(Table1[[#This Row],[order_date]],"mmm")</f>
        <v>Aug</v>
      </c>
      <c r="P957">
        <f>YEAR(Table1[[#This Row],[order_date]])</f>
        <v>2024</v>
      </c>
    </row>
    <row r="958" spans="1:16" x14ac:dyDescent="0.3">
      <c r="A958">
        <v>10957</v>
      </c>
      <c r="B958" s="1">
        <v>45518</v>
      </c>
      <c r="C958">
        <v>1372</v>
      </c>
      <c r="D958" t="s">
        <v>19</v>
      </c>
      <c r="E958" t="s">
        <v>17</v>
      </c>
      <c r="F958">
        <v>5</v>
      </c>
      <c r="G958">
        <v>531.09</v>
      </c>
      <c r="H958">
        <v>0.03</v>
      </c>
      <c r="I958" t="s">
        <v>16</v>
      </c>
      <c r="J958">
        <v>6</v>
      </c>
      <c r="K958">
        <v>1.9</v>
      </c>
      <c r="L958">
        <v>2575.79</v>
      </c>
      <c r="M958">
        <f>(Table1[[#This Row],[unit_price]]*Table1[[#This Row],[quantity]])-(Table1[[#This Row],[unit_price]]*Table1[[#This Row],[discount]]*Table1[[#This Row],[quantity]])</f>
        <v>2575.7865000000002</v>
      </c>
      <c r="N958">
        <f>DAY(Table1[[#This Row],[order_date]])</f>
        <v>14</v>
      </c>
      <c r="O958" t="str">
        <f>TEXT(Table1[[#This Row],[order_date]],"mmm")</f>
        <v>Aug</v>
      </c>
      <c r="P958">
        <f>YEAR(Table1[[#This Row],[order_date]])</f>
        <v>2024</v>
      </c>
    </row>
    <row r="959" spans="1:16" x14ac:dyDescent="0.3">
      <c r="A959">
        <v>10958</v>
      </c>
      <c r="B959" s="1">
        <v>45519</v>
      </c>
      <c r="C959">
        <v>1007</v>
      </c>
      <c r="D959" t="s">
        <v>12</v>
      </c>
      <c r="E959" t="s">
        <v>21</v>
      </c>
      <c r="F959">
        <v>5</v>
      </c>
      <c r="G959">
        <v>250.26</v>
      </c>
      <c r="H959">
        <v>0.31</v>
      </c>
      <c r="I959" t="s">
        <v>18</v>
      </c>
      <c r="J959">
        <v>3</v>
      </c>
      <c r="K959">
        <v>2.2000000000000002</v>
      </c>
      <c r="L959">
        <v>863.4</v>
      </c>
      <c r="M959">
        <f>(Table1[[#This Row],[unit_price]]*Table1[[#This Row],[quantity]])-(Table1[[#This Row],[unit_price]]*Table1[[#This Row],[discount]]*Table1[[#This Row],[quantity]])</f>
        <v>863.39699999999993</v>
      </c>
      <c r="N959">
        <f>DAY(Table1[[#This Row],[order_date]])</f>
        <v>15</v>
      </c>
      <c r="O959" t="str">
        <f>TEXT(Table1[[#This Row],[order_date]],"mmm")</f>
        <v>Aug</v>
      </c>
      <c r="P959">
        <f>YEAR(Table1[[#This Row],[order_date]])</f>
        <v>2024</v>
      </c>
    </row>
    <row r="960" spans="1:16" x14ac:dyDescent="0.3">
      <c r="A960">
        <v>10959</v>
      </c>
      <c r="B960" s="1">
        <v>45520</v>
      </c>
      <c r="C960">
        <v>1121</v>
      </c>
      <c r="D960" t="s">
        <v>22</v>
      </c>
      <c r="E960" t="s">
        <v>20</v>
      </c>
      <c r="F960">
        <v>3</v>
      </c>
      <c r="G960">
        <v>53.97</v>
      </c>
      <c r="H960">
        <v>0.32</v>
      </c>
      <c r="I960" t="s">
        <v>18</v>
      </c>
      <c r="J960">
        <v>7</v>
      </c>
      <c r="K960">
        <v>4.5</v>
      </c>
      <c r="L960">
        <v>110.1</v>
      </c>
      <c r="M960">
        <f>(Table1[[#This Row],[unit_price]]*Table1[[#This Row],[quantity]])-(Table1[[#This Row],[unit_price]]*Table1[[#This Row],[discount]]*Table1[[#This Row],[quantity]])</f>
        <v>110.0988</v>
      </c>
      <c r="N960">
        <f>DAY(Table1[[#This Row],[order_date]])</f>
        <v>16</v>
      </c>
      <c r="O960" t="str">
        <f>TEXT(Table1[[#This Row],[order_date]],"mmm")</f>
        <v>Aug</v>
      </c>
      <c r="P960">
        <f>YEAR(Table1[[#This Row],[order_date]])</f>
        <v>2024</v>
      </c>
    </row>
    <row r="961" spans="1:16" x14ac:dyDescent="0.3">
      <c r="A961">
        <v>10960</v>
      </c>
      <c r="B961" s="1">
        <v>45521</v>
      </c>
      <c r="C961">
        <v>1347</v>
      </c>
      <c r="D961" t="s">
        <v>12</v>
      </c>
      <c r="E961" t="s">
        <v>20</v>
      </c>
      <c r="F961">
        <v>4</v>
      </c>
      <c r="G961">
        <v>316.89</v>
      </c>
      <c r="H961">
        <v>0.04</v>
      </c>
      <c r="I961" t="s">
        <v>16</v>
      </c>
      <c r="J961">
        <v>10</v>
      </c>
      <c r="K961">
        <v>2.7</v>
      </c>
      <c r="L961">
        <v>1216.8599999999999</v>
      </c>
      <c r="M961">
        <f>(Table1[[#This Row],[unit_price]]*Table1[[#This Row],[quantity]])-(Table1[[#This Row],[unit_price]]*Table1[[#This Row],[discount]]*Table1[[#This Row],[quantity]])</f>
        <v>1216.8576</v>
      </c>
      <c r="N961">
        <f>DAY(Table1[[#This Row],[order_date]])</f>
        <v>17</v>
      </c>
      <c r="O961" t="str">
        <f>TEXT(Table1[[#This Row],[order_date]],"mmm")</f>
        <v>Aug</v>
      </c>
      <c r="P961">
        <f>YEAR(Table1[[#This Row],[order_date]])</f>
        <v>2024</v>
      </c>
    </row>
    <row r="962" spans="1:16" x14ac:dyDescent="0.3">
      <c r="A962">
        <v>10961</v>
      </c>
      <c r="B962" s="1">
        <v>45522</v>
      </c>
      <c r="C962">
        <v>1675</v>
      </c>
      <c r="D962" t="s">
        <v>15</v>
      </c>
      <c r="E962" t="s">
        <v>17</v>
      </c>
      <c r="F962">
        <v>4</v>
      </c>
      <c r="G962">
        <v>217.39</v>
      </c>
      <c r="H962">
        <v>0.35</v>
      </c>
      <c r="I962" t="s">
        <v>18</v>
      </c>
      <c r="J962">
        <v>6</v>
      </c>
      <c r="K962">
        <v>3.7</v>
      </c>
      <c r="L962">
        <v>565.21</v>
      </c>
      <c r="M962">
        <f>(Table1[[#This Row],[unit_price]]*Table1[[#This Row],[quantity]])-(Table1[[#This Row],[unit_price]]*Table1[[#This Row],[discount]]*Table1[[#This Row],[quantity]])</f>
        <v>565.21399999999994</v>
      </c>
      <c r="N962">
        <f>DAY(Table1[[#This Row],[order_date]])</f>
        <v>18</v>
      </c>
      <c r="O962" t="str">
        <f>TEXT(Table1[[#This Row],[order_date]],"mmm")</f>
        <v>Aug</v>
      </c>
      <c r="P962">
        <f>YEAR(Table1[[#This Row],[order_date]])</f>
        <v>2024</v>
      </c>
    </row>
    <row r="963" spans="1:16" x14ac:dyDescent="0.3">
      <c r="A963">
        <v>10962</v>
      </c>
      <c r="B963" s="1">
        <v>45523</v>
      </c>
      <c r="C963">
        <v>1089</v>
      </c>
      <c r="D963" t="s">
        <v>19</v>
      </c>
      <c r="E963" t="s">
        <v>13</v>
      </c>
      <c r="F963">
        <v>1</v>
      </c>
      <c r="G963">
        <v>408.25</v>
      </c>
      <c r="H963">
        <v>0.1</v>
      </c>
      <c r="I963" t="s">
        <v>18</v>
      </c>
      <c r="J963">
        <v>11</v>
      </c>
      <c r="K963">
        <v>1.1000000000000001</v>
      </c>
      <c r="L963">
        <v>367.42</v>
      </c>
      <c r="M963">
        <f>(Table1[[#This Row],[unit_price]]*Table1[[#This Row],[quantity]])-(Table1[[#This Row],[unit_price]]*Table1[[#This Row],[discount]]*Table1[[#This Row],[quantity]])</f>
        <v>367.42500000000001</v>
      </c>
      <c r="N963">
        <f>DAY(Table1[[#This Row],[order_date]])</f>
        <v>19</v>
      </c>
      <c r="O963" t="str">
        <f>TEXT(Table1[[#This Row],[order_date]],"mmm")</f>
        <v>Aug</v>
      </c>
      <c r="P963">
        <f>YEAR(Table1[[#This Row],[order_date]])</f>
        <v>2024</v>
      </c>
    </row>
    <row r="964" spans="1:16" x14ac:dyDescent="0.3">
      <c r="A964">
        <v>10963</v>
      </c>
      <c r="B964" s="1">
        <v>45524</v>
      </c>
      <c r="C964">
        <v>1647</v>
      </c>
      <c r="D964" t="s">
        <v>22</v>
      </c>
      <c r="E964" t="s">
        <v>21</v>
      </c>
      <c r="F964">
        <v>4</v>
      </c>
      <c r="G964">
        <v>571.35</v>
      </c>
      <c r="H964">
        <v>0.03</v>
      </c>
      <c r="I964" t="s">
        <v>18</v>
      </c>
      <c r="J964">
        <v>8</v>
      </c>
      <c r="K964">
        <v>4.3</v>
      </c>
      <c r="L964">
        <v>2216.84</v>
      </c>
      <c r="M964">
        <f>(Table1[[#This Row],[unit_price]]*Table1[[#This Row],[quantity]])-(Table1[[#This Row],[unit_price]]*Table1[[#This Row],[discount]]*Table1[[#This Row],[quantity]])</f>
        <v>2216.8380000000002</v>
      </c>
      <c r="N964">
        <f>DAY(Table1[[#This Row],[order_date]])</f>
        <v>20</v>
      </c>
      <c r="O964" t="str">
        <f>TEXT(Table1[[#This Row],[order_date]],"mmm")</f>
        <v>Aug</v>
      </c>
      <c r="P964">
        <f>YEAR(Table1[[#This Row],[order_date]])</f>
        <v>2024</v>
      </c>
    </row>
    <row r="965" spans="1:16" x14ac:dyDescent="0.3">
      <c r="A965">
        <v>10964</v>
      </c>
      <c r="B965" s="1">
        <v>45525</v>
      </c>
      <c r="C965">
        <v>1697</v>
      </c>
      <c r="D965" t="s">
        <v>19</v>
      </c>
      <c r="E965" t="s">
        <v>17</v>
      </c>
      <c r="F965">
        <v>4</v>
      </c>
      <c r="G965">
        <v>299.08</v>
      </c>
      <c r="H965">
        <v>0</v>
      </c>
      <c r="I965" t="s">
        <v>18</v>
      </c>
      <c r="J965">
        <v>6</v>
      </c>
      <c r="K965">
        <v>2</v>
      </c>
      <c r="L965">
        <v>1196.32</v>
      </c>
      <c r="M965">
        <f>(Table1[[#This Row],[unit_price]]*Table1[[#This Row],[quantity]])-(Table1[[#This Row],[unit_price]]*Table1[[#This Row],[discount]]*Table1[[#This Row],[quantity]])</f>
        <v>1196.32</v>
      </c>
      <c r="N965">
        <f>DAY(Table1[[#This Row],[order_date]])</f>
        <v>21</v>
      </c>
      <c r="O965" t="str">
        <f>TEXT(Table1[[#This Row],[order_date]],"mmm")</f>
        <v>Aug</v>
      </c>
      <c r="P965">
        <f>YEAR(Table1[[#This Row],[order_date]])</f>
        <v>2024</v>
      </c>
    </row>
    <row r="966" spans="1:16" x14ac:dyDescent="0.3">
      <c r="A966">
        <v>10965</v>
      </c>
      <c r="B966" s="1">
        <v>45526</v>
      </c>
      <c r="C966">
        <v>1315</v>
      </c>
      <c r="D966" t="s">
        <v>19</v>
      </c>
      <c r="E966" t="s">
        <v>21</v>
      </c>
      <c r="F966">
        <v>4</v>
      </c>
      <c r="G966">
        <v>287.72000000000003</v>
      </c>
      <c r="H966">
        <v>0.14000000000000001</v>
      </c>
      <c r="I966" t="s">
        <v>18</v>
      </c>
      <c r="J966">
        <v>11</v>
      </c>
      <c r="K966">
        <v>2.2000000000000002</v>
      </c>
      <c r="L966">
        <v>989.76</v>
      </c>
      <c r="M966">
        <f>(Table1[[#This Row],[unit_price]]*Table1[[#This Row],[quantity]])-(Table1[[#This Row],[unit_price]]*Table1[[#This Row],[discount]]*Table1[[#This Row],[quantity]])</f>
        <v>989.75680000000011</v>
      </c>
      <c r="N966">
        <f>DAY(Table1[[#This Row],[order_date]])</f>
        <v>22</v>
      </c>
      <c r="O966" t="str">
        <f>TEXT(Table1[[#This Row],[order_date]],"mmm")</f>
        <v>Aug</v>
      </c>
      <c r="P966">
        <f>YEAR(Table1[[#This Row],[order_date]])</f>
        <v>2024</v>
      </c>
    </row>
    <row r="967" spans="1:16" x14ac:dyDescent="0.3">
      <c r="A967">
        <v>10966</v>
      </c>
      <c r="B967" s="1">
        <v>45527</v>
      </c>
      <c r="C967">
        <v>1177</v>
      </c>
      <c r="D967" t="s">
        <v>19</v>
      </c>
      <c r="E967" t="s">
        <v>21</v>
      </c>
      <c r="F967">
        <v>2</v>
      </c>
      <c r="G967">
        <v>397.93</v>
      </c>
      <c r="H967">
        <v>0.22</v>
      </c>
      <c r="I967" t="s">
        <v>16</v>
      </c>
      <c r="J967">
        <v>10</v>
      </c>
      <c r="K967">
        <v>1.2</v>
      </c>
      <c r="L967">
        <v>620.77</v>
      </c>
      <c r="M967">
        <f>(Table1[[#This Row],[unit_price]]*Table1[[#This Row],[quantity]])-(Table1[[#This Row],[unit_price]]*Table1[[#This Row],[discount]]*Table1[[#This Row],[quantity]])</f>
        <v>620.77080000000001</v>
      </c>
      <c r="N967">
        <f>DAY(Table1[[#This Row],[order_date]])</f>
        <v>23</v>
      </c>
      <c r="O967" t="str">
        <f>TEXT(Table1[[#This Row],[order_date]],"mmm")</f>
        <v>Aug</v>
      </c>
      <c r="P967">
        <f>YEAR(Table1[[#This Row],[order_date]])</f>
        <v>2024</v>
      </c>
    </row>
    <row r="968" spans="1:16" x14ac:dyDescent="0.3">
      <c r="A968">
        <v>10967</v>
      </c>
      <c r="B968" s="1">
        <v>45528</v>
      </c>
      <c r="C968">
        <v>1539</v>
      </c>
      <c r="D968" t="s">
        <v>19</v>
      </c>
      <c r="E968" t="s">
        <v>20</v>
      </c>
      <c r="F968">
        <v>1</v>
      </c>
      <c r="G968">
        <v>75.55</v>
      </c>
      <c r="H968">
        <v>0.12</v>
      </c>
      <c r="I968" t="s">
        <v>14</v>
      </c>
      <c r="J968">
        <v>4</v>
      </c>
      <c r="K968">
        <v>2.6</v>
      </c>
      <c r="L968">
        <v>66.48</v>
      </c>
      <c r="M968">
        <f>(Table1[[#This Row],[unit_price]]*Table1[[#This Row],[quantity]])-(Table1[[#This Row],[unit_price]]*Table1[[#This Row],[discount]]*Table1[[#This Row],[quantity]])</f>
        <v>66.483999999999995</v>
      </c>
      <c r="N968">
        <f>DAY(Table1[[#This Row],[order_date]])</f>
        <v>24</v>
      </c>
      <c r="O968" t="str">
        <f>TEXT(Table1[[#This Row],[order_date]],"mmm")</f>
        <v>Aug</v>
      </c>
      <c r="P968">
        <f>YEAR(Table1[[#This Row],[order_date]])</f>
        <v>2024</v>
      </c>
    </row>
    <row r="969" spans="1:16" x14ac:dyDescent="0.3">
      <c r="A969">
        <v>10968</v>
      </c>
      <c r="B969" s="1">
        <v>45529</v>
      </c>
      <c r="C969">
        <v>1731</v>
      </c>
      <c r="D969" t="s">
        <v>19</v>
      </c>
      <c r="E969" t="s">
        <v>17</v>
      </c>
      <c r="F969">
        <v>3</v>
      </c>
      <c r="G969">
        <v>163.30000000000001</v>
      </c>
      <c r="H969">
        <v>0.28999999999999998</v>
      </c>
      <c r="I969" t="s">
        <v>16</v>
      </c>
      <c r="J969">
        <v>10</v>
      </c>
      <c r="K969">
        <v>4.4000000000000004</v>
      </c>
      <c r="L969">
        <v>347.83</v>
      </c>
      <c r="M969">
        <f>(Table1[[#This Row],[unit_price]]*Table1[[#This Row],[quantity]])-(Table1[[#This Row],[unit_price]]*Table1[[#This Row],[discount]]*Table1[[#This Row],[quantity]])</f>
        <v>347.82900000000006</v>
      </c>
      <c r="N969">
        <f>DAY(Table1[[#This Row],[order_date]])</f>
        <v>25</v>
      </c>
      <c r="O969" t="str">
        <f>TEXT(Table1[[#This Row],[order_date]],"mmm")</f>
        <v>Aug</v>
      </c>
      <c r="P969">
        <f>YEAR(Table1[[#This Row],[order_date]])</f>
        <v>2024</v>
      </c>
    </row>
    <row r="970" spans="1:16" x14ac:dyDescent="0.3">
      <c r="A970">
        <v>10969</v>
      </c>
      <c r="B970" s="1">
        <v>45530</v>
      </c>
      <c r="C970">
        <v>1868</v>
      </c>
      <c r="D970" t="s">
        <v>15</v>
      </c>
      <c r="E970" t="s">
        <v>20</v>
      </c>
      <c r="F970">
        <v>4</v>
      </c>
      <c r="G970">
        <v>552.6</v>
      </c>
      <c r="H970">
        <v>0.25</v>
      </c>
      <c r="I970" t="s">
        <v>14</v>
      </c>
      <c r="J970">
        <v>7</v>
      </c>
      <c r="K970">
        <v>2.5</v>
      </c>
      <c r="L970">
        <v>1657.8</v>
      </c>
      <c r="M970">
        <f>(Table1[[#This Row],[unit_price]]*Table1[[#This Row],[quantity]])-(Table1[[#This Row],[unit_price]]*Table1[[#This Row],[discount]]*Table1[[#This Row],[quantity]])</f>
        <v>1657.8000000000002</v>
      </c>
      <c r="N970">
        <f>DAY(Table1[[#This Row],[order_date]])</f>
        <v>26</v>
      </c>
      <c r="O970" t="str">
        <f>TEXT(Table1[[#This Row],[order_date]],"mmm")</f>
        <v>Aug</v>
      </c>
      <c r="P970">
        <f>YEAR(Table1[[#This Row],[order_date]])</f>
        <v>2024</v>
      </c>
    </row>
    <row r="971" spans="1:16" x14ac:dyDescent="0.3">
      <c r="A971">
        <v>10970</v>
      </c>
      <c r="B971" s="1">
        <v>45531</v>
      </c>
      <c r="C971">
        <v>1040</v>
      </c>
      <c r="D971" t="s">
        <v>22</v>
      </c>
      <c r="E971" t="s">
        <v>17</v>
      </c>
      <c r="F971">
        <v>6</v>
      </c>
      <c r="G971">
        <v>406.92</v>
      </c>
      <c r="H971">
        <v>0.12</v>
      </c>
      <c r="I971" t="s">
        <v>16</v>
      </c>
      <c r="J971">
        <v>7</v>
      </c>
      <c r="K971">
        <v>4.5999999999999996</v>
      </c>
      <c r="L971">
        <v>2148.54</v>
      </c>
      <c r="M971">
        <f>(Table1[[#This Row],[unit_price]]*Table1[[#This Row],[quantity]])-(Table1[[#This Row],[unit_price]]*Table1[[#This Row],[discount]]*Table1[[#This Row],[quantity]])</f>
        <v>2148.5376000000001</v>
      </c>
      <c r="N971">
        <f>DAY(Table1[[#This Row],[order_date]])</f>
        <v>27</v>
      </c>
      <c r="O971" t="str">
        <f>TEXT(Table1[[#This Row],[order_date]],"mmm")</f>
        <v>Aug</v>
      </c>
      <c r="P971">
        <f>YEAR(Table1[[#This Row],[order_date]])</f>
        <v>2024</v>
      </c>
    </row>
    <row r="972" spans="1:16" x14ac:dyDescent="0.3">
      <c r="A972">
        <v>10971</v>
      </c>
      <c r="B972" s="1">
        <v>45532</v>
      </c>
      <c r="C972">
        <v>1739</v>
      </c>
      <c r="D972" t="s">
        <v>19</v>
      </c>
      <c r="E972" t="s">
        <v>21</v>
      </c>
      <c r="F972">
        <v>7</v>
      </c>
      <c r="G972">
        <v>22.86</v>
      </c>
      <c r="H972">
        <v>0.26</v>
      </c>
      <c r="I972" t="s">
        <v>16</v>
      </c>
      <c r="J972">
        <v>11</v>
      </c>
      <c r="K972">
        <v>4.5</v>
      </c>
      <c r="L972">
        <v>118.41</v>
      </c>
      <c r="M972">
        <f>(Table1[[#This Row],[unit_price]]*Table1[[#This Row],[quantity]])-(Table1[[#This Row],[unit_price]]*Table1[[#This Row],[discount]]*Table1[[#This Row],[quantity]])</f>
        <v>118.41479999999999</v>
      </c>
      <c r="N972">
        <f>DAY(Table1[[#This Row],[order_date]])</f>
        <v>28</v>
      </c>
      <c r="O972" t="str">
        <f>TEXT(Table1[[#This Row],[order_date]],"mmm")</f>
        <v>Aug</v>
      </c>
      <c r="P972">
        <f>YEAR(Table1[[#This Row],[order_date]])</f>
        <v>2024</v>
      </c>
    </row>
    <row r="973" spans="1:16" x14ac:dyDescent="0.3">
      <c r="A973">
        <v>10972</v>
      </c>
      <c r="B973" s="1">
        <v>45533</v>
      </c>
      <c r="C973">
        <v>1703</v>
      </c>
      <c r="D973" t="s">
        <v>19</v>
      </c>
      <c r="E973" t="s">
        <v>20</v>
      </c>
      <c r="F973">
        <v>2</v>
      </c>
      <c r="G973">
        <v>134.71</v>
      </c>
      <c r="H973">
        <v>0.33</v>
      </c>
      <c r="I973" t="s">
        <v>18</v>
      </c>
      <c r="J973">
        <v>8</v>
      </c>
      <c r="K973">
        <v>1.2</v>
      </c>
      <c r="L973">
        <v>180.51</v>
      </c>
      <c r="M973">
        <f>(Table1[[#This Row],[unit_price]]*Table1[[#This Row],[quantity]])-(Table1[[#This Row],[unit_price]]*Table1[[#This Row],[discount]]*Table1[[#This Row],[quantity]])</f>
        <v>180.51140000000001</v>
      </c>
      <c r="N973">
        <f>DAY(Table1[[#This Row],[order_date]])</f>
        <v>29</v>
      </c>
      <c r="O973" t="str">
        <f>TEXT(Table1[[#This Row],[order_date]],"mmm")</f>
        <v>Aug</v>
      </c>
      <c r="P973">
        <f>YEAR(Table1[[#This Row],[order_date]])</f>
        <v>2024</v>
      </c>
    </row>
    <row r="974" spans="1:16" x14ac:dyDescent="0.3">
      <c r="A974">
        <v>10973</v>
      </c>
      <c r="B974" s="1">
        <v>45534</v>
      </c>
      <c r="C974">
        <v>1922</v>
      </c>
      <c r="D974" t="s">
        <v>22</v>
      </c>
      <c r="E974" t="s">
        <v>21</v>
      </c>
      <c r="F974">
        <v>4</v>
      </c>
      <c r="G974">
        <v>414.46</v>
      </c>
      <c r="H974">
        <v>0.03</v>
      </c>
      <c r="I974" t="s">
        <v>16</v>
      </c>
      <c r="J974">
        <v>2</v>
      </c>
      <c r="K974">
        <v>2.2000000000000002</v>
      </c>
      <c r="L974">
        <v>1608.1</v>
      </c>
      <c r="M974">
        <f>(Table1[[#This Row],[unit_price]]*Table1[[#This Row],[quantity]])-(Table1[[#This Row],[unit_price]]*Table1[[#This Row],[discount]]*Table1[[#This Row],[quantity]])</f>
        <v>1608.1047999999998</v>
      </c>
      <c r="N974">
        <f>DAY(Table1[[#This Row],[order_date]])</f>
        <v>30</v>
      </c>
      <c r="O974" t="str">
        <f>TEXT(Table1[[#This Row],[order_date]],"mmm")</f>
        <v>Aug</v>
      </c>
      <c r="P974">
        <f>YEAR(Table1[[#This Row],[order_date]])</f>
        <v>2024</v>
      </c>
    </row>
    <row r="975" spans="1:16" x14ac:dyDescent="0.3">
      <c r="A975">
        <v>10974</v>
      </c>
      <c r="B975" s="1">
        <v>45535</v>
      </c>
      <c r="C975">
        <v>1501</v>
      </c>
      <c r="D975" t="s">
        <v>19</v>
      </c>
      <c r="E975" t="s">
        <v>17</v>
      </c>
      <c r="F975">
        <v>7</v>
      </c>
      <c r="G975">
        <v>462.17</v>
      </c>
      <c r="H975">
        <v>0.11</v>
      </c>
      <c r="I975" t="s">
        <v>14</v>
      </c>
      <c r="J975">
        <v>11</v>
      </c>
      <c r="K975">
        <v>4.5999999999999996</v>
      </c>
      <c r="L975">
        <v>2879.32</v>
      </c>
      <c r="M975">
        <f>(Table1[[#This Row],[unit_price]]*Table1[[#This Row],[quantity]])-(Table1[[#This Row],[unit_price]]*Table1[[#This Row],[discount]]*Table1[[#This Row],[quantity]])</f>
        <v>2879.3191000000002</v>
      </c>
      <c r="N975">
        <f>DAY(Table1[[#This Row],[order_date]])</f>
        <v>31</v>
      </c>
      <c r="O975" t="str">
        <f>TEXT(Table1[[#This Row],[order_date]],"mmm")</f>
        <v>Aug</v>
      </c>
      <c r="P975">
        <f>YEAR(Table1[[#This Row],[order_date]])</f>
        <v>2024</v>
      </c>
    </row>
    <row r="976" spans="1:16" x14ac:dyDescent="0.3">
      <c r="A976">
        <v>10975</v>
      </c>
      <c r="B976" s="1">
        <v>45536</v>
      </c>
      <c r="C976">
        <v>1958</v>
      </c>
      <c r="D976" t="s">
        <v>19</v>
      </c>
      <c r="E976" t="s">
        <v>13</v>
      </c>
      <c r="F976">
        <v>7</v>
      </c>
      <c r="G976">
        <v>506.32</v>
      </c>
      <c r="H976">
        <v>0.16</v>
      </c>
      <c r="I976" t="s">
        <v>16</v>
      </c>
      <c r="J976">
        <v>6</v>
      </c>
      <c r="K976">
        <v>1.1000000000000001</v>
      </c>
      <c r="L976">
        <v>2977.16</v>
      </c>
      <c r="M976">
        <f>(Table1[[#This Row],[unit_price]]*Table1[[#This Row],[quantity]])-(Table1[[#This Row],[unit_price]]*Table1[[#This Row],[discount]]*Table1[[#This Row],[quantity]])</f>
        <v>2977.1615999999999</v>
      </c>
      <c r="N976">
        <f>DAY(Table1[[#This Row],[order_date]])</f>
        <v>1</v>
      </c>
      <c r="O976" t="str">
        <f>TEXT(Table1[[#This Row],[order_date]],"mmm")</f>
        <v>Sep</v>
      </c>
      <c r="P976">
        <f>YEAR(Table1[[#This Row],[order_date]])</f>
        <v>2024</v>
      </c>
    </row>
    <row r="977" spans="1:16" x14ac:dyDescent="0.3">
      <c r="A977">
        <v>10976</v>
      </c>
      <c r="B977" s="1">
        <v>45537</v>
      </c>
      <c r="C977">
        <v>1144</v>
      </c>
      <c r="D977" t="s">
        <v>12</v>
      </c>
      <c r="E977" t="s">
        <v>20</v>
      </c>
      <c r="F977">
        <v>2</v>
      </c>
      <c r="G977">
        <v>185.92</v>
      </c>
      <c r="H977">
        <v>0.17</v>
      </c>
      <c r="I977" t="s">
        <v>18</v>
      </c>
      <c r="J977">
        <v>3</v>
      </c>
      <c r="K977">
        <v>4.0999999999999996</v>
      </c>
      <c r="L977">
        <v>308.63</v>
      </c>
      <c r="M977">
        <f>(Table1[[#This Row],[unit_price]]*Table1[[#This Row],[quantity]])-(Table1[[#This Row],[unit_price]]*Table1[[#This Row],[discount]]*Table1[[#This Row],[quantity]])</f>
        <v>308.62719999999996</v>
      </c>
      <c r="N977">
        <f>DAY(Table1[[#This Row],[order_date]])</f>
        <v>2</v>
      </c>
      <c r="O977" t="str">
        <f>TEXT(Table1[[#This Row],[order_date]],"mmm")</f>
        <v>Sep</v>
      </c>
      <c r="P977">
        <f>YEAR(Table1[[#This Row],[order_date]])</f>
        <v>2024</v>
      </c>
    </row>
    <row r="978" spans="1:16" x14ac:dyDescent="0.3">
      <c r="A978">
        <v>10977</v>
      </c>
      <c r="B978" s="1">
        <v>45538</v>
      </c>
      <c r="C978">
        <v>1200</v>
      </c>
      <c r="D978" t="s">
        <v>19</v>
      </c>
      <c r="E978" t="s">
        <v>20</v>
      </c>
      <c r="F978">
        <v>1</v>
      </c>
      <c r="G978">
        <v>559.65</v>
      </c>
      <c r="H978">
        <v>0.19</v>
      </c>
      <c r="I978" t="s">
        <v>16</v>
      </c>
      <c r="J978">
        <v>8</v>
      </c>
      <c r="K978">
        <v>4.5999999999999996</v>
      </c>
      <c r="L978">
        <v>453.32</v>
      </c>
      <c r="M978">
        <f>(Table1[[#This Row],[unit_price]]*Table1[[#This Row],[quantity]])-(Table1[[#This Row],[unit_price]]*Table1[[#This Row],[discount]]*Table1[[#This Row],[quantity]])</f>
        <v>453.31649999999996</v>
      </c>
      <c r="N978">
        <f>DAY(Table1[[#This Row],[order_date]])</f>
        <v>3</v>
      </c>
      <c r="O978" t="str">
        <f>TEXT(Table1[[#This Row],[order_date]],"mmm")</f>
        <v>Sep</v>
      </c>
      <c r="P978">
        <f>YEAR(Table1[[#This Row],[order_date]])</f>
        <v>2024</v>
      </c>
    </row>
    <row r="979" spans="1:16" x14ac:dyDescent="0.3">
      <c r="A979">
        <v>10978</v>
      </c>
      <c r="B979" s="1">
        <v>45539</v>
      </c>
      <c r="C979">
        <v>1928</v>
      </c>
      <c r="D979" t="s">
        <v>19</v>
      </c>
      <c r="E979" t="s">
        <v>21</v>
      </c>
      <c r="F979">
        <v>6</v>
      </c>
      <c r="G979">
        <v>338.47</v>
      </c>
      <c r="H979">
        <v>0.11</v>
      </c>
      <c r="I979" t="s">
        <v>16</v>
      </c>
      <c r="J979">
        <v>4</v>
      </c>
      <c r="K979">
        <v>4.0999999999999996</v>
      </c>
      <c r="L979">
        <v>1807.43</v>
      </c>
      <c r="M979">
        <f>(Table1[[#This Row],[unit_price]]*Table1[[#This Row],[quantity]])-(Table1[[#This Row],[unit_price]]*Table1[[#This Row],[discount]]*Table1[[#This Row],[quantity]])</f>
        <v>1807.4298000000001</v>
      </c>
      <c r="N979">
        <f>DAY(Table1[[#This Row],[order_date]])</f>
        <v>4</v>
      </c>
      <c r="O979" t="str">
        <f>TEXT(Table1[[#This Row],[order_date]],"mmm")</f>
        <v>Sep</v>
      </c>
      <c r="P979">
        <f>YEAR(Table1[[#This Row],[order_date]])</f>
        <v>2024</v>
      </c>
    </row>
    <row r="980" spans="1:16" x14ac:dyDescent="0.3">
      <c r="A980">
        <v>10979</v>
      </c>
      <c r="B980" s="1">
        <v>45540</v>
      </c>
      <c r="C980">
        <v>1723</v>
      </c>
      <c r="D980" t="s">
        <v>15</v>
      </c>
      <c r="E980" t="s">
        <v>21</v>
      </c>
      <c r="F980">
        <v>6</v>
      </c>
      <c r="G980">
        <v>422.48</v>
      </c>
      <c r="H980">
        <v>0.23</v>
      </c>
      <c r="I980" t="s">
        <v>16</v>
      </c>
      <c r="J980">
        <v>4</v>
      </c>
      <c r="K980">
        <v>4</v>
      </c>
      <c r="L980">
        <v>1951.86</v>
      </c>
      <c r="M980">
        <f>(Table1[[#This Row],[unit_price]]*Table1[[#This Row],[quantity]])-(Table1[[#This Row],[unit_price]]*Table1[[#This Row],[discount]]*Table1[[#This Row],[quantity]])</f>
        <v>1951.8576</v>
      </c>
      <c r="N980">
        <f>DAY(Table1[[#This Row],[order_date]])</f>
        <v>5</v>
      </c>
      <c r="O980" t="str">
        <f>TEXT(Table1[[#This Row],[order_date]],"mmm")</f>
        <v>Sep</v>
      </c>
      <c r="P980">
        <f>YEAR(Table1[[#This Row],[order_date]])</f>
        <v>2024</v>
      </c>
    </row>
    <row r="981" spans="1:16" x14ac:dyDescent="0.3">
      <c r="A981">
        <v>10980</v>
      </c>
      <c r="B981" s="1">
        <v>45541</v>
      </c>
      <c r="C981">
        <v>1460</v>
      </c>
      <c r="D981" t="s">
        <v>19</v>
      </c>
      <c r="E981" t="s">
        <v>13</v>
      </c>
      <c r="F981">
        <v>6</v>
      </c>
      <c r="G981">
        <v>364.09</v>
      </c>
      <c r="H981">
        <v>0.23</v>
      </c>
      <c r="I981" t="s">
        <v>18</v>
      </c>
      <c r="J981">
        <v>2</v>
      </c>
      <c r="K981">
        <v>4.4000000000000004</v>
      </c>
      <c r="L981">
        <v>1682.1</v>
      </c>
      <c r="M981">
        <f>(Table1[[#This Row],[unit_price]]*Table1[[#This Row],[quantity]])-(Table1[[#This Row],[unit_price]]*Table1[[#This Row],[discount]]*Table1[[#This Row],[quantity]])</f>
        <v>1682.0958000000001</v>
      </c>
      <c r="N981">
        <f>DAY(Table1[[#This Row],[order_date]])</f>
        <v>6</v>
      </c>
      <c r="O981" t="str">
        <f>TEXT(Table1[[#This Row],[order_date]],"mmm")</f>
        <v>Sep</v>
      </c>
      <c r="P981">
        <f>YEAR(Table1[[#This Row],[order_date]])</f>
        <v>2024</v>
      </c>
    </row>
    <row r="982" spans="1:16" x14ac:dyDescent="0.3">
      <c r="A982">
        <v>10981</v>
      </c>
      <c r="B982" s="1">
        <v>45542</v>
      </c>
      <c r="C982">
        <v>1731</v>
      </c>
      <c r="D982" t="s">
        <v>15</v>
      </c>
      <c r="E982" t="s">
        <v>20</v>
      </c>
      <c r="F982">
        <v>4</v>
      </c>
      <c r="G982">
        <v>86.8</v>
      </c>
      <c r="H982">
        <v>0.2</v>
      </c>
      <c r="I982" t="s">
        <v>18</v>
      </c>
      <c r="J982">
        <v>6</v>
      </c>
      <c r="K982">
        <v>3.7</v>
      </c>
      <c r="L982">
        <v>277.76</v>
      </c>
      <c r="M982">
        <f>(Table1[[#This Row],[unit_price]]*Table1[[#This Row],[quantity]])-(Table1[[#This Row],[unit_price]]*Table1[[#This Row],[discount]]*Table1[[#This Row],[quantity]])</f>
        <v>277.76</v>
      </c>
      <c r="N982">
        <f>DAY(Table1[[#This Row],[order_date]])</f>
        <v>7</v>
      </c>
      <c r="O982" t="str">
        <f>TEXT(Table1[[#This Row],[order_date]],"mmm")</f>
        <v>Sep</v>
      </c>
      <c r="P982">
        <f>YEAR(Table1[[#This Row],[order_date]])</f>
        <v>2024</v>
      </c>
    </row>
    <row r="983" spans="1:16" x14ac:dyDescent="0.3">
      <c r="A983">
        <v>10982</v>
      </c>
      <c r="B983" s="1">
        <v>45543</v>
      </c>
      <c r="C983">
        <v>1751</v>
      </c>
      <c r="D983" t="s">
        <v>22</v>
      </c>
      <c r="E983" t="s">
        <v>17</v>
      </c>
      <c r="F983">
        <v>2</v>
      </c>
      <c r="G983">
        <v>578.41999999999996</v>
      </c>
      <c r="H983">
        <v>0.04</v>
      </c>
      <c r="I983" t="s">
        <v>18</v>
      </c>
      <c r="J983">
        <v>6</v>
      </c>
      <c r="K983">
        <v>2.7</v>
      </c>
      <c r="L983">
        <v>1110.57</v>
      </c>
      <c r="M983">
        <f>(Table1[[#This Row],[unit_price]]*Table1[[#This Row],[quantity]])-(Table1[[#This Row],[unit_price]]*Table1[[#This Row],[discount]]*Table1[[#This Row],[quantity]])</f>
        <v>1110.5663999999999</v>
      </c>
      <c r="N983">
        <f>DAY(Table1[[#This Row],[order_date]])</f>
        <v>8</v>
      </c>
      <c r="O983" t="str">
        <f>TEXT(Table1[[#This Row],[order_date]],"mmm")</f>
        <v>Sep</v>
      </c>
      <c r="P983">
        <f>YEAR(Table1[[#This Row],[order_date]])</f>
        <v>2024</v>
      </c>
    </row>
    <row r="984" spans="1:16" x14ac:dyDescent="0.3">
      <c r="A984">
        <v>10983</v>
      </c>
      <c r="B984" s="1">
        <v>45544</v>
      </c>
      <c r="C984">
        <v>1924</v>
      </c>
      <c r="D984" t="s">
        <v>19</v>
      </c>
      <c r="E984" t="s">
        <v>17</v>
      </c>
      <c r="F984">
        <v>6</v>
      </c>
      <c r="G984">
        <v>86.88</v>
      </c>
      <c r="H984">
        <v>0.17</v>
      </c>
      <c r="I984" t="s">
        <v>14</v>
      </c>
      <c r="J984">
        <v>1</v>
      </c>
      <c r="K984">
        <v>1.3</v>
      </c>
      <c r="L984">
        <v>432.66</v>
      </c>
      <c r="M984">
        <f>(Table1[[#This Row],[unit_price]]*Table1[[#This Row],[quantity]])-(Table1[[#This Row],[unit_price]]*Table1[[#This Row],[discount]]*Table1[[#This Row],[quantity]])</f>
        <v>432.66239999999993</v>
      </c>
      <c r="N984">
        <f>DAY(Table1[[#This Row],[order_date]])</f>
        <v>9</v>
      </c>
      <c r="O984" t="str">
        <f>TEXT(Table1[[#This Row],[order_date]],"mmm")</f>
        <v>Sep</v>
      </c>
      <c r="P984">
        <f>YEAR(Table1[[#This Row],[order_date]])</f>
        <v>2024</v>
      </c>
    </row>
    <row r="985" spans="1:16" x14ac:dyDescent="0.3">
      <c r="A985">
        <v>10984</v>
      </c>
      <c r="B985" s="1">
        <v>45545</v>
      </c>
      <c r="C985">
        <v>1908</v>
      </c>
      <c r="D985" t="s">
        <v>15</v>
      </c>
      <c r="E985" t="s">
        <v>20</v>
      </c>
      <c r="F985">
        <v>7</v>
      </c>
      <c r="G985">
        <v>164.11</v>
      </c>
      <c r="H985">
        <v>0.12</v>
      </c>
      <c r="I985" t="s">
        <v>18</v>
      </c>
      <c r="J985">
        <v>8</v>
      </c>
      <c r="K985">
        <v>4.2</v>
      </c>
      <c r="L985">
        <v>1010.92</v>
      </c>
      <c r="M985">
        <f>(Table1[[#This Row],[unit_price]]*Table1[[#This Row],[quantity]])-(Table1[[#This Row],[unit_price]]*Table1[[#This Row],[discount]]*Table1[[#This Row],[quantity]])</f>
        <v>1010.9176</v>
      </c>
      <c r="N985">
        <f>DAY(Table1[[#This Row],[order_date]])</f>
        <v>10</v>
      </c>
      <c r="O985" t="str">
        <f>TEXT(Table1[[#This Row],[order_date]],"mmm")</f>
        <v>Sep</v>
      </c>
      <c r="P985">
        <f>YEAR(Table1[[#This Row],[order_date]])</f>
        <v>2024</v>
      </c>
    </row>
    <row r="986" spans="1:16" x14ac:dyDescent="0.3">
      <c r="A986">
        <v>10985</v>
      </c>
      <c r="B986" s="1">
        <v>45546</v>
      </c>
      <c r="C986">
        <v>1557</v>
      </c>
      <c r="D986" t="s">
        <v>15</v>
      </c>
      <c r="E986" t="s">
        <v>20</v>
      </c>
      <c r="F986">
        <v>7</v>
      </c>
      <c r="G986">
        <v>490.97</v>
      </c>
      <c r="H986">
        <v>0.17</v>
      </c>
      <c r="I986" t="s">
        <v>14</v>
      </c>
      <c r="J986">
        <v>3</v>
      </c>
      <c r="K986">
        <v>4.5999999999999996</v>
      </c>
      <c r="L986">
        <v>2852.54</v>
      </c>
      <c r="M986">
        <f>(Table1[[#This Row],[unit_price]]*Table1[[#This Row],[quantity]])-(Table1[[#This Row],[unit_price]]*Table1[[#This Row],[discount]]*Table1[[#This Row],[quantity]])</f>
        <v>2852.5356999999999</v>
      </c>
      <c r="N986">
        <f>DAY(Table1[[#This Row],[order_date]])</f>
        <v>11</v>
      </c>
      <c r="O986" t="str">
        <f>TEXT(Table1[[#This Row],[order_date]],"mmm")</f>
        <v>Sep</v>
      </c>
      <c r="P986">
        <f>YEAR(Table1[[#This Row],[order_date]])</f>
        <v>2024</v>
      </c>
    </row>
    <row r="987" spans="1:16" x14ac:dyDescent="0.3">
      <c r="A987">
        <v>10986</v>
      </c>
      <c r="B987" s="1">
        <v>45547</v>
      </c>
      <c r="C987">
        <v>1546</v>
      </c>
      <c r="D987" t="s">
        <v>19</v>
      </c>
      <c r="E987" t="s">
        <v>20</v>
      </c>
      <c r="F987">
        <v>5</v>
      </c>
      <c r="G987">
        <v>376.88</v>
      </c>
      <c r="H987">
        <v>0.32</v>
      </c>
      <c r="I987" t="s">
        <v>16</v>
      </c>
      <c r="J987">
        <v>1</v>
      </c>
      <c r="K987">
        <v>3</v>
      </c>
      <c r="L987">
        <v>1281.3900000000001</v>
      </c>
      <c r="M987">
        <f>(Table1[[#This Row],[unit_price]]*Table1[[#This Row],[quantity]])-(Table1[[#This Row],[unit_price]]*Table1[[#This Row],[discount]]*Table1[[#This Row],[quantity]])</f>
        <v>1281.3920000000001</v>
      </c>
      <c r="N987">
        <f>DAY(Table1[[#This Row],[order_date]])</f>
        <v>12</v>
      </c>
      <c r="O987" t="str">
        <f>TEXT(Table1[[#This Row],[order_date]],"mmm")</f>
        <v>Sep</v>
      </c>
      <c r="P987">
        <f>YEAR(Table1[[#This Row],[order_date]])</f>
        <v>2024</v>
      </c>
    </row>
    <row r="988" spans="1:16" x14ac:dyDescent="0.3">
      <c r="A988">
        <v>10987</v>
      </c>
      <c r="B988" s="1">
        <v>45548</v>
      </c>
      <c r="C988">
        <v>1252</v>
      </c>
      <c r="D988" t="s">
        <v>15</v>
      </c>
      <c r="E988" t="s">
        <v>13</v>
      </c>
      <c r="F988">
        <v>5</v>
      </c>
      <c r="G988">
        <v>505.32</v>
      </c>
      <c r="H988">
        <v>0.17</v>
      </c>
      <c r="I988" t="s">
        <v>16</v>
      </c>
      <c r="J988">
        <v>10</v>
      </c>
      <c r="K988">
        <v>3.1</v>
      </c>
      <c r="L988">
        <v>2097.08</v>
      </c>
      <c r="M988">
        <f>(Table1[[#This Row],[unit_price]]*Table1[[#This Row],[quantity]])-(Table1[[#This Row],[unit_price]]*Table1[[#This Row],[discount]]*Table1[[#This Row],[quantity]])</f>
        <v>2097.078</v>
      </c>
      <c r="N988">
        <f>DAY(Table1[[#This Row],[order_date]])</f>
        <v>13</v>
      </c>
      <c r="O988" t="str">
        <f>TEXT(Table1[[#This Row],[order_date]],"mmm")</f>
        <v>Sep</v>
      </c>
      <c r="P988">
        <f>YEAR(Table1[[#This Row],[order_date]])</f>
        <v>2024</v>
      </c>
    </row>
    <row r="989" spans="1:16" x14ac:dyDescent="0.3">
      <c r="A989">
        <v>10988</v>
      </c>
      <c r="B989" s="1">
        <v>45549</v>
      </c>
      <c r="C989">
        <v>1389</v>
      </c>
      <c r="D989" t="s">
        <v>19</v>
      </c>
      <c r="E989" t="s">
        <v>17</v>
      </c>
      <c r="F989">
        <v>2</v>
      </c>
      <c r="G989">
        <v>316.70999999999998</v>
      </c>
      <c r="H989">
        <v>0</v>
      </c>
      <c r="I989" t="s">
        <v>16</v>
      </c>
      <c r="J989">
        <v>1</v>
      </c>
      <c r="K989">
        <v>2.6</v>
      </c>
      <c r="L989">
        <v>633.41999999999996</v>
      </c>
      <c r="M989">
        <f>(Table1[[#This Row],[unit_price]]*Table1[[#This Row],[quantity]])-(Table1[[#This Row],[unit_price]]*Table1[[#This Row],[discount]]*Table1[[#This Row],[quantity]])</f>
        <v>633.41999999999996</v>
      </c>
      <c r="N989">
        <f>DAY(Table1[[#This Row],[order_date]])</f>
        <v>14</v>
      </c>
      <c r="O989" t="str">
        <f>TEXT(Table1[[#This Row],[order_date]],"mmm")</f>
        <v>Sep</v>
      </c>
      <c r="P989">
        <f>YEAR(Table1[[#This Row],[order_date]])</f>
        <v>2024</v>
      </c>
    </row>
    <row r="990" spans="1:16" x14ac:dyDescent="0.3">
      <c r="A990">
        <v>10989</v>
      </c>
      <c r="B990" s="1">
        <v>45550</v>
      </c>
      <c r="C990">
        <v>1593</v>
      </c>
      <c r="D990" t="s">
        <v>15</v>
      </c>
      <c r="E990" t="s">
        <v>17</v>
      </c>
      <c r="F990">
        <v>4</v>
      </c>
      <c r="G990">
        <v>235.54</v>
      </c>
      <c r="H990">
        <v>0.15</v>
      </c>
      <c r="I990" t="s">
        <v>16</v>
      </c>
      <c r="J990">
        <v>1</v>
      </c>
      <c r="K990">
        <v>4.4000000000000004</v>
      </c>
      <c r="L990">
        <v>800.84</v>
      </c>
      <c r="M990">
        <f>(Table1[[#This Row],[unit_price]]*Table1[[#This Row],[quantity]])-(Table1[[#This Row],[unit_price]]*Table1[[#This Row],[discount]]*Table1[[#This Row],[quantity]])</f>
        <v>800.83600000000001</v>
      </c>
      <c r="N990">
        <f>DAY(Table1[[#This Row],[order_date]])</f>
        <v>15</v>
      </c>
      <c r="O990" t="str">
        <f>TEXT(Table1[[#This Row],[order_date]],"mmm")</f>
        <v>Sep</v>
      </c>
      <c r="P990">
        <f>YEAR(Table1[[#This Row],[order_date]])</f>
        <v>2024</v>
      </c>
    </row>
    <row r="991" spans="1:16" x14ac:dyDescent="0.3">
      <c r="A991">
        <v>10990</v>
      </c>
      <c r="B991" s="1">
        <v>45551</v>
      </c>
      <c r="C991">
        <v>1882</v>
      </c>
      <c r="D991" t="s">
        <v>19</v>
      </c>
      <c r="E991" t="s">
        <v>21</v>
      </c>
      <c r="F991">
        <v>4</v>
      </c>
      <c r="G991">
        <v>554.28</v>
      </c>
      <c r="H991">
        <v>0.28999999999999998</v>
      </c>
      <c r="I991" t="s">
        <v>18</v>
      </c>
      <c r="J991">
        <v>5</v>
      </c>
      <c r="K991">
        <v>1.1000000000000001</v>
      </c>
      <c r="L991">
        <v>1574.16</v>
      </c>
      <c r="M991">
        <f>(Table1[[#This Row],[unit_price]]*Table1[[#This Row],[quantity]])-(Table1[[#This Row],[unit_price]]*Table1[[#This Row],[discount]]*Table1[[#This Row],[quantity]])</f>
        <v>1574.1551999999999</v>
      </c>
      <c r="N991">
        <f>DAY(Table1[[#This Row],[order_date]])</f>
        <v>16</v>
      </c>
      <c r="O991" t="str">
        <f>TEXT(Table1[[#This Row],[order_date]],"mmm")</f>
        <v>Sep</v>
      </c>
      <c r="P991">
        <f>YEAR(Table1[[#This Row],[order_date]])</f>
        <v>2024</v>
      </c>
    </row>
    <row r="992" spans="1:16" x14ac:dyDescent="0.3">
      <c r="A992">
        <v>10991</v>
      </c>
      <c r="B992" s="1">
        <v>45552</v>
      </c>
      <c r="C992">
        <v>1255</v>
      </c>
      <c r="D992" t="s">
        <v>15</v>
      </c>
      <c r="E992" t="s">
        <v>21</v>
      </c>
      <c r="F992">
        <v>1</v>
      </c>
      <c r="G992">
        <v>36.21</v>
      </c>
      <c r="H992">
        <v>0.27</v>
      </c>
      <c r="I992" t="s">
        <v>18</v>
      </c>
      <c r="J992">
        <v>5</v>
      </c>
      <c r="K992">
        <v>3.5</v>
      </c>
      <c r="L992">
        <v>26.43</v>
      </c>
      <c r="M992">
        <f>(Table1[[#This Row],[unit_price]]*Table1[[#This Row],[quantity]])-(Table1[[#This Row],[unit_price]]*Table1[[#This Row],[discount]]*Table1[[#This Row],[quantity]])</f>
        <v>26.433299999999999</v>
      </c>
      <c r="N992">
        <f>DAY(Table1[[#This Row],[order_date]])</f>
        <v>17</v>
      </c>
      <c r="O992" t="str">
        <f>TEXT(Table1[[#This Row],[order_date]],"mmm")</f>
        <v>Sep</v>
      </c>
      <c r="P992">
        <f>YEAR(Table1[[#This Row],[order_date]])</f>
        <v>2024</v>
      </c>
    </row>
    <row r="993" spans="1:16" x14ac:dyDescent="0.3">
      <c r="A993">
        <v>10992</v>
      </c>
      <c r="B993" s="1">
        <v>45553</v>
      </c>
      <c r="C993">
        <v>1708</v>
      </c>
      <c r="D993" t="s">
        <v>19</v>
      </c>
      <c r="E993" t="s">
        <v>20</v>
      </c>
      <c r="F993">
        <v>1</v>
      </c>
      <c r="G993">
        <v>515.84</v>
      </c>
      <c r="H993">
        <v>0.18</v>
      </c>
      <c r="I993" t="s">
        <v>18</v>
      </c>
      <c r="J993">
        <v>1</v>
      </c>
      <c r="K993">
        <v>4.5999999999999996</v>
      </c>
      <c r="L993">
        <v>422.99</v>
      </c>
      <c r="M993">
        <f>(Table1[[#This Row],[unit_price]]*Table1[[#This Row],[quantity]])-(Table1[[#This Row],[unit_price]]*Table1[[#This Row],[discount]]*Table1[[#This Row],[quantity]])</f>
        <v>422.98880000000003</v>
      </c>
      <c r="N993">
        <f>DAY(Table1[[#This Row],[order_date]])</f>
        <v>18</v>
      </c>
      <c r="O993" t="str">
        <f>TEXT(Table1[[#This Row],[order_date]],"mmm")</f>
        <v>Sep</v>
      </c>
      <c r="P993">
        <f>YEAR(Table1[[#This Row],[order_date]])</f>
        <v>2024</v>
      </c>
    </row>
    <row r="994" spans="1:16" x14ac:dyDescent="0.3">
      <c r="A994">
        <v>10993</v>
      </c>
      <c r="B994" s="1">
        <v>45554</v>
      </c>
      <c r="C994">
        <v>1814</v>
      </c>
      <c r="D994" t="s">
        <v>22</v>
      </c>
      <c r="E994" t="s">
        <v>21</v>
      </c>
      <c r="F994">
        <v>6</v>
      </c>
      <c r="G994">
        <v>150.03</v>
      </c>
      <c r="H994">
        <v>0.09</v>
      </c>
      <c r="I994" t="s">
        <v>18</v>
      </c>
      <c r="J994">
        <v>5</v>
      </c>
      <c r="K994">
        <v>1.4</v>
      </c>
      <c r="L994">
        <v>819.16</v>
      </c>
      <c r="M994">
        <f>(Table1[[#This Row],[unit_price]]*Table1[[#This Row],[quantity]])-(Table1[[#This Row],[unit_price]]*Table1[[#This Row],[discount]]*Table1[[#This Row],[quantity]])</f>
        <v>819.16380000000004</v>
      </c>
      <c r="N994">
        <f>DAY(Table1[[#This Row],[order_date]])</f>
        <v>19</v>
      </c>
      <c r="O994" t="str">
        <f>TEXT(Table1[[#This Row],[order_date]],"mmm")</f>
        <v>Sep</v>
      </c>
      <c r="P994">
        <f>YEAR(Table1[[#This Row],[order_date]])</f>
        <v>2024</v>
      </c>
    </row>
    <row r="995" spans="1:16" x14ac:dyDescent="0.3">
      <c r="A995">
        <v>10994</v>
      </c>
      <c r="B995" s="1">
        <v>45555</v>
      </c>
      <c r="C995">
        <v>1920</v>
      </c>
      <c r="D995" t="s">
        <v>19</v>
      </c>
      <c r="E995" t="s">
        <v>13</v>
      </c>
      <c r="F995">
        <v>3</v>
      </c>
      <c r="G995">
        <v>511.51</v>
      </c>
      <c r="H995">
        <v>0.16</v>
      </c>
      <c r="I995" t="s">
        <v>14</v>
      </c>
      <c r="J995">
        <v>7</v>
      </c>
      <c r="K995">
        <v>4.8</v>
      </c>
      <c r="L995">
        <v>1289.01</v>
      </c>
      <c r="M995">
        <f>(Table1[[#This Row],[unit_price]]*Table1[[#This Row],[quantity]])-(Table1[[#This Row],[unit_price]]*Table1[[#This Row],[discount]]*Table1[[#This Row],[quantity]])</f>
        <v>1289.0052000000001</v>
      </c>
      <c r="N995">
        <f>DAY(Table1[[#This Row],[order_date]])</f>
        <v>20</v>
      </c>
      <c r="O995" t="str">
        <f>TEXT(Table1[[#This Row],[order_date]],"mmm")</f>
        <v>Sep</v>
      </c>
      <c r="P995">
        <f>YEAR(Table1[[#This Row],[order_date]])</f>
        <v>2024</v>
      </c>
    </row>
    <row r="996" spans="1:16" x14ac:dyDescent="0.3">
      <c r="A996">
        <v>10995</v>
      </c>
      <c r="B996" s="1">
        <v>45556</v>
      </c>
      <c r="C996">
        <v>1449</v>
      </c>
      <c r="D996" t="s">
        <v>15</v>
      </c>
      <c r="E996" t="s">
        <v>17</v>
      </c>
      <c r="F996">
        <v>7</v>
      </c>
      <c r="G996">
        <v>96.43</v>
      </c>
      <c r="H996">
        <v>0.2</v>
      </c>
      <c r="I996" t="s">
        <v>14</v>
      </c>
      <c r="J996">
        <v>5</v>
      </c>
      <c r="K996">
        <v>4.9000000000000004</v>
      </c>
      <c r="L996">
        <v>540.01</v>
      </c>
      <c r="M996">
        <f>(Table1[[#This Row],[unit_price]]*Table1[[#This Row],[quantity]])-(Table1[[#This Row],[unit_price]]*Table1[[#This Row],[discount]]*Table1[[#This Row],[quantity]])</f>
        <v>540.00800000000004</v>
      </c>
      <c r="N996">
        <f>DAY(Table1[[#This Row],[order_date]])</f>
        <v>21</v>
      </c>
      <c r="O996" t="str">
        <f>TEXT(Table1[[#This Row],[order_date]],"mmm")</f>
        <v>Sep</v>
      </c>
      <c r="P996">
        <f>YEAR(Table1[[#This Row],[order_date]])</f>
        <v>2024</v>
      </c>
    </row>
    <row r="997" spans="1:16" x14ac:dyDescent="0.3">
      <c r="A997">
        <v>10996</v>
      </c>
      <c r="B997" s="1">
        <v>45557</v>
      </c>
      <c r="C997">
        <v>1009</v>
      </c>
      <c r="D997" t="s">
        <v>15</v>
      </c>
      <c r="E997" t="s">
        <v>17</v>
      </c>
      <c r="F997">
        <v>1</v>
      </c>
      <c r="G997">
        <v>354.43</v>
      </c>
      <c r="H997">
        <v>0.35</v>
      </c>
      <c r="I997" t="s">
        <v>16</v>
      </c>
      <c r="J997">
        <v>9</v>
      </c>
      <c r="K997">
        <v>4.7</v>
      </c>
      <c r="L997">
        <v>230.38</v>
      </c>
      <c r="M997">
        <f>(Table1[[#This Row],[unit_price]]*Table1[[#This Row],[quantity]])-(Table1[[#This Row],[unit_price]]*Table1[[#This Row],[discount]]*Table1[[#This Row],[quantity]])</f>
        <v>230.37950000000001</v>
      </c>
      <c r="N997">
        <f>DAY(Table1[[#This Row],[order_date]])</f>
        <v>22</v>
      </c>
      <c r="O997" t="str">
        <f>TEXT(Table1[[#This Row],[order_date]],"mmm")</f>
        <v>Sep</v>
      </c>
      <c r="P997">
        <f>YEAR(Table1[[#This Row],[order_date]])</f>
        <v>2024</v>
      </c>
    </row>
    <row r="998" spans="1:16" x14ac:dyDescent="0.3">
      <c r="A998">
        <v>10997</v>
      </c>
      <c r="B998" s="1">
        <v>45558</v>
      </c>
      <c r="C998">
        <v>1823</v>
      </c>
      <c r="D998" t="s">
        <v>22</v>
      </c>
      <c r="E998" t="s">
        <v>21</v>
      </c>
      <c r="F998">
        <v>4</v>
      </c>
      <c r="G998">
        <v>534.54</v>
      </c>
      <c r="H998">
        <v>0.23</v>
      </c>
      <c r="I998" t="s">
        <v>16</v>
      </c>
      <c r="J998">
        <v>4</v>
      </c>
      <c r="K998">
        <v>2.9</v>
      </c>
      <c r="L998">
        <v>1646.38</v>
      </c>
      <c r="M998">
        <f>(Table1[[#This Row],[unit_price]]*Table1[[#This Row],[quantity]])-(Table1[[#This Row],[unit_price]]*Table1[[#This Row],[discount]]*Table1[[#This Row],[quantity]])</f>
        <v>1646.3831999999998</v>
      </c>
      <c r="N998">
        <f>DAY(Table1[[#This Row],[order_date]])</f>
        <v>23</v>
      </c>
      <c r="O998" t="str">
        <f>TEXT(Table1[[#This Row],[order_date]],"mmm")</f>
        <v>Sep</v>
      </c>
      <c r="P998">
        <f>YEAR(Table1[[#This Row],[order_date]])</f>
        <v>2024</v>
      </c>
    </row>
    <row r="999" spans="1:16" x14ac:dyDescent="0.3">
      <c r="A999">
        <v>10998</v>
      </c>
      <c r="B999" s="1">
        <v>45559</v>
      </c>
      <c r="C999">
        <v>1797</v>
      </c>
      <c r="D999" t="s">
        <v>15</v>
      </c>
      <c r="E999" t="s">
        <v>20</v>
      </c>
      <c r="F999">
        <v>7</v>
      </c>
      <c r="G999">
        <v>292.02</v>
      </c>
      <c r="H999">
        <v>0.24</v>
      </c>
      <c r="I999" t="s">
        <v>16</v>
      </c>
      <c r="J999">
        <v>9</v>
      </c>
      <c r="K999">
        <v>2.5</v>
      </c>
      <c r="L999">
        <v>1553.55</v>
      </c>
      <c r="M999">
        <f>(Table1[[#This Row],[unit_price]]*Table1[[#This Row],[quantity]])-(Table1[[#This Row],[unit_price]]*Table1[[#This Row],[discount]]*Table1[[#This Row],[quantity]])</f>
        <v>1553.5463999999999</v>
      </c>
      <c r="N999">
        <f>DAY(Table1[[#This Row],[order_date]])</f>
        <v>24</v>
      </c>
      <c r="O999" t="str">
        <f>TEXT(Table1[[#This Row],[order_date]],"mmm")</f>
        <v>Sep</v>
      </c>
      <c r="P999">
        <f>YEAR(Table1[[#This Row],[order_date]])</f>
        <v>2024</v>
      </c>
    </row>
    <row r="1000" spans="1:16" x14ac:dyDescent="0.3">
      <c r="A1000">
        <v>10999</v>
      </c>
      <c r="B1000" s="1">
        <v>45560</v>
      </c>
      <c r="C1000">
        <v>1241</v>
      </c>
      <c r="D1000" t="s">
        <v>22</v>
      </c>
      <c r="E1000" t="s">
        <v>21</v>
      </c>
      <c r="F1000">
        <v>3</v>
      </c>
      <c r="G1000">
        <v>451.74</v>
      </c>
      <c r="H1000">
        <v>0.17</v>
      </c>
      <c r="I1000" t="s">
        <v>16</v>
      </c>
      <c r="J1000">
        <v>8</v>
      </c>
      <c r="K1000">
        <v>3.8</v>
      </c>
      <c r="L1000">
        <v>1124.83</v>
      </c>
      <c r="M1000">
        <f>(Table1[[#This Row],[unit_price]]*Table1[[#This Row],[quantity]])-(Table1[[#This Row],[unit_price]]*Table1[[#This Row],[discount]]*Table1[[#This Row],[quantity]])</f>
        <v>1124.8326</v>
      </c>
      <c r="N1000">
        <f>DAY(Table1[[#This Row],[order_date]])</f>
        <v>25</v>
      </c>
      <c r="O1000" t="str">
        <f>TEXT(Table1[[#This Row],[order_date]],"mmm")</f>
        <v>Sep</v>
      </c>
      <c r="P1000">
        <f>YEAR(Table1[[#This Row],[order_date]])</f>
        <v>2024</v>
      </c>
    </row>
    <row r="1001" spans="1:16" x14ac:dyDescent="0.3">
      <c r="A1001">
        <v>11000</v>
      </c>
      <c r="B1001" s="1">
        <v>45561</v>
      </c>
      <c r="C1001">
        <v>1250</v>
      </c>
      <c r="D1001" t="s">
        <v>22</v>
      </c>
      <c r="E1001" t="s">
        <v>20</v>
      </c>
      <c r="F1001">
        <v>1</v>
      </c>
      <c r="G1001">
        <v>485.73</v>
      </c>
      <c r="H1001">
        <v>0.12</v>
      </c>
      <c r="I1001" t="s">
        <v>18</v>
      </c>
      <c r="J1001">
        <v>1</v>
      </c>
      <c r="K1001">
        <v>2.2999999999999998</v>
      </c>
      <c r="L1001">
        <v>427.44</v>
      </c>
      <c r="M1001">
        <f>(Table1[[#This Row],[unit_price]]*Table1[[#This Row],[quantity]])-(Table1[[#This Row],[unit_price]]*Table1[[#This Row],[discount]]*Table1[[#This Row],[quantity]])</f>
        <v>427.44240000000002</v>
      </c>
      <c r="N1001">
        <f>DAY(Table1[[#This Row],[order_date]])</f>
        <v>26</v>
      </c>
      <c r="O1001" t="str">
        <f>TEXT(Table1[[#This Row],[order_date]],"mmm")</f>
        <v>Sep</v>
      </c>
      <c r="P1001">
        <f>YEAR(Table1[[#This Row],[order_date]])</f>
        <v>2024</v>
      </c>
    </row>
    <row r="1002" spans="1:16" x14ac:dyDescent="0.3">
      <c r="A1002">
        <v>11001</v>
      </c>
      <c r="B1002" s="1">
        <v>45562</v>
      </c>
      <c r="C1002">
        <v>1876</v>
      </c>
      <c r="D1002" t="s">
        <v>12</v>
      </c>
      <c r="E1002" t="s">
        <v>13</v>
      </c>
      <c r="F1002">
        <v>2</v>
      </c>
      <c r="G1002">
        <v>445.85</v>
      </c>
      <c r="H1002">
        <v>0.28000000000000003</v>
      </c>
      <c r="I1002" t="s">
        <v>18</v>
      </c>
      <c r="J1002">
        <v>4</v>
      </c>
      <c r="K1002">
        <v>1.3</v>
      </c>
      <c r="L1002">
        <v>642.02</v>
      </c>
      <c r="M1002">
        <f>(Table1[[#This Row],[unit_price]]*Table1[[#This Row],[quantity]])-(Table1[[#This Row],[unit_price]]*Table1[[#This Row],[discount]]*Table1[[#This Row],[quantity]])</f>
        <v>642.024</v>
      </c>
      <c r="N1002">
        <f>DAY(Table1[[#This Row],[order_date]])</f>
        <v>27</v>
      </c>
      <c r="O1002" t="str">
        <f>TEXT(Table1[[#This Row],[order_date]],"mmm")</f>
        <v>Sep</v>
      </c>
      <c r="P1002">
        <f>YEAR(Table1[[#This Row],[order_date]])</f>
        <v>2024</v>
      </c>
    </row>
    <row r="1003" spans="1:16" x14ac:dyDescent="0.3">
      <c r="A1003">
        <v>11002</v>
      </c>
      <c r="B1003" s="1">
        <v>45563</v>
      </c>
      <c r="C1003">
        <v>1004</v>
      </c>
      <c r="D1003" t="s">
        <v>19</v>
      </c>
      <c r="E1003" t="s">
        <v>17</v>
      </c>
      <c r="F1003">
        <v>5</v>
      </c>
      <c r="G1003">
        <v>556.32000000000005</v>
      </c>
      <c r="H1003">
        <v>0.17</v>
      </c>
      <c r="I1003" t="s">
        <v>16</v>
      </c>
      <c r="J1003">
        <v>7</v>
      </c>
      <c r="K1003">
        <v>4.5999999999999996</v>
      </c>
      <c r="L1003">
        <v>2308.73</v>
      </c>
      <c r="M1003">
        <f>(Table1[[#This Row],[unit_price]]*Table1[[#This Row],[quantity]])-(Table1[[#This Row],[unit_price]]*Table1[[#This Row],[discount]]*Table1[[#This Row],[quantity]])</f>
        <v>2308.7280000000001</v>
      </c>
      <c r="N1003">
        <f>DAY(Table1[[#This Row],[order_date]])</f>
        <v>28</v>
      </c>
      <c r="O1003" t="str">
        <f>TEXT(Table1[[#This Row],[order_date]],"mmm")</f>
        <v>Sep</v>
      </c>
      <c r="P1003">
        <f>YEAR(Table1[[#This Row],[order_date]])</f>
        <v>2024</v>
      </c>
    </row>
    <row r="1004" spans="1:16" x14ac:dyDescent="0.3">
      <c r="A1004">
        <v>11003</v>
      </c>
      <c r="B1004" s="1">
        <v>45564</v>
      </c>
      <c r="C1004">
        <v>1118</v>
      </c>
      <c r="D1004" t="s">
        <v>15</v>
      </c>
      <c r="E1004" t="s">
        <v>13</v>
      </c>
      <c r="F1004">
        <v>1</v>
      </c>
      <c r="G1004">
        <v>276.39999999999998</v>
      </c>
      <c r="H1004">
        <v>0.35</v>
      </c>
      <c r="I1004" t="s">
        <v>18</v>
      </c>
      <c r="J1004">
        <v>1</v>
      </c>
      <c r="K1004">
        <v>3.5</v>
      </c>
      <c r="L1004">
        <v>179.66</v>
      </c>
      <c r="M1004">
        <f>(Table1[[#This Row],[unit_price]]*Table1[[#This Row],[quantity]])-(Table1[[#This Row],[unit_price]]*Table1[[#This Row],[discount]]*Table1[[#This Row],[quantity]])</f>
        <v>179.66</v>
      </c>
      <c r="N1004">
        <f>DAY(Table1[[#This Row],[order_date]])</f>
        <v>29</v>
      </c>
      <c r="O1004" t="str">
        <f>TEXT(Table1[[#This Row],[order_date]],"mmm")</f>
        <v>Sep</v>
      </c>
      <c r="P1004">
        <f>YEAR(Table1[[#This Row],[order_date]])</f>
        <v>2024</v>
      </c>
    </row>
    <row r="1005" spans="1:16" x14ac:dyDescent="0.3">
      <c r="A1005">
        <v>11004</v>
      </c>
      <c r="B1005" s="1">
        <v>45565</v>
      </c>
      <c r="C1005">
        <v>1800</v>
      </c>
      <c r="D1005" t="s">
        <v>22</v>
      </c>
      <c r="E1005" t="s">
        <v>17</v>
      </c>
      <c r="F1005">
        <v>1</v>
      </c>
      <c r="G1005">
        <v>116.28</v>
      </c>
      <c r="H1005">
        <v>0.16</v>
      </c>
      <c r="I1005" t="s">
        <v>18</v>
      </c>
      <c r="J1005">
        <v>8</v>
      </c>
      <c r="K1005">
        <v>1.8</v>
      </c>
      <c r="L1005">
        <v>97.68</v>
      </c>
      <c r="M1005">
        <f>(Table1[[#This Row],[unit_price]]*Table1[[#This Row],[quantity]])-(Table1[[#This Row],[unit_price]]*Table1[[#This Row],[discount]]*Table1[[#This Row],[quantity]])</f>
        <v>97.675200000000004</v>
      </c>
      <c r="N1005">
        <f>DAY(Table1[[#This Row],[order_date]])</f>
        <v>30</v>
      </c>
      <c r="O1005" t="str">
        <f>TEXT(Table1[[#This Row],[order_date]],"mmm")</f>
        <v>Sep</v>
      </c>
      <c r="P1005">
        <f>YEAR(Table1[[#This Row],[order_date]])</f>
        <v>2024</v>
      </c>
    </row>
    <row r="1006" spans="1:16" x14ac:dyDescent="0.3">
      <c r="A1006">
        <v>11005</v>
      </c>
      <c r="B1006" s="1">
        <v>45566</v>
      </c>
      <c r="C1006">
        <v>1373</v>
      </c>
      <c r="D1006" t="s">
        <v>12</v>
      </c>
      <c r="E1006" t="s">
        <v>13</v>
      </c>
      <c r="F1006">
        <v>2</v>
      </c>
      <c r="G1006">
        <v>42.97</v>
      </c>
      <c r="H1006">
        <v>0.02</v>
      </c>
      <c r="I1006" t="s">
        <v>16</v>
      </c>
      <c r="J1006">
        <v>11</v>
      </c>
      <c r="K1006">
        <v>1.1000000000000001</v>
      </c>
      <c r="L1006">
        <v>84.22</v>
      </c>
      <c r="M1006">
        <f>(Table1[[#This Row],[unit_price]]*Table1[[#This Row],[quantity]])-(Table1[[#This Row],[unit_price]]*Table1[[#This Row],[discount]]*Table1[[#This Row],[quantity]])</f>
        <v>84.221199999999996</v>
      </c>
      <c r="N1006">
        <f>DAY(Table1[[#This Row],[order_date]])</f>
        <v>1</v>
      </c>
      <c r="O1006" t="str">
        <f>TEXT(Table1[[#This Row],[order_date]],"mmm")</f>
        <v>Oct</v>
      </c>
      <c r="P1006">
        <f>YEAR(Table1[[#This Row],[order_date]])</f>
        <v>2024</v>
      </c>
    </row>
    <row r="1007" spans="1:16" x14ac:dyDescent="0.3">
      <c r="A1007">
        <v>11006</v>
      </c>
      <c r="B1007" s="1">
        <v>45567</v>
      </c>
      <c r="C1007">
        <v>1064</v>
      </c>
      <c r="D1007" t="s">
        <v>12</v>
      </c>
      <c r="E1007" t="s">
        <v>21</v>
      </c>
      <c r="F1007">
        <v>4</v>
      </c>
      <c r="G1007">
        <v>159.18</v>
      </c>
      <c r="H1007">
        <v>0.24</v>
      </c>
      <c r="I1007" t="s">
        <v>16</v>
      </c>
      <c r="J1007">
        <v>2</v>
      </c>
      <c r="K1007">
        <v>3.9</v>
      </c>
      <c r="L1007">
        <v>483.91</v>
      </c>
      <c r="M1007">
        <f>(Table1[[#This Row],[unit_price]]*Table1[[#This Row],[quantity]])-(Table1[[#This Row],[unit_price]]*Table1[[#This Row],[discount]]*Table1[[#This Row],[quantity]])</f>
        <v>483.90719999999999</v>
      </c>
      <c r="N1007">
        <f>DAY(Table1[[#This Row],[order_date]])</f>
        <v>2</v>
      </c>
      <c r="O1007" t="str">
        <f>TEXT(Table1[[#This Row],[order_date]],"mmm")</f>
        <v>Oct</v>
      </c>
      <c r="P1007">
        <f>YEAR(Table1[[#This Row],[order_date]])</f>
        <v>2024</v>
      </c>
    </row>
    <row r="1008" spans="1:16" x14ac:dyDescent="0.3">
      <c r="A1008">
        <v>11007</v>
      </c>
      <c r="B1008" s="1">
        <v>45568</v>
      </c>
      <c r="C1008">
        <v>1145</v>
      </c>
      <c r="D1008" t="s">
        <v>15</v>
      </c>
      <c r="E1008" t="s">
        <v>13</v>
      </c>
      <c r="F1008">
        <v>6</v>
      </c>
      <c r="G1008">
        <v>98.77</v>
      </c>
      <c r="H1008">
        <v>0.02</v>
      </c>
      <c r="I1008" t="s">
        <v>14</v>
      </c>
      <c r="J1008">
        <v>8</v>
      </c>
      <c r="K1008">
        <v>4.4000000000000004</v>
      </c>
      <c r="L1008">
        <v>580.77</v>
      </c>
      <c r="M1008">
        <f>(Table1[[#This Row],[unit_price]]*Table1[[#This Row],[quantity]])-(Table1[[#This Row],[unit_price]]*Table1[[#This Row],[discount]]*Table1[[#This Row],[quantity]])</f>
        <v>580.76760000000002</v>
      </c>
      <c r="N1008">
        <f>DAY(Table1[[#This Row],[order_date]])</f>
        <v>3</v>
      </c>
      <c r="O1008" t="str">
        <f>TEXT(Table1[[#This Row],[order_date]],"mmm")</f>
        <v>Oct</v>
      </c>
      <c r="P1008">
        <f>YEAR(Table1[[#This Row],[order_date]])</f>
        <v>2024</v>
      </c>
    </row>
    <row r="1009" spans="1:16" x14ac:dyDescent="0.3">
      <c r="A1009">
        <v>11008</v>
      </c>
      <c r="B1009" s="1">
        <v>45569</v>
      </c>
      <c r="C1009">
        <v>1223</v>
      </c>
      <c r="D1009" t="s">
        <v>19</v>
      </c>
      <c r="E1009" t="s">
        <v>13</v>
      </c>
      <c r="F1009">
        <v>2</v>
      </c>
      <c r="G1009">
        <v>341.4</v>
      </c>
      <c r="H1009">
        <v>0.09</v>
      </c>
      <c r="I1009" t="s">
        <v>18</v>
      </c>
      <c r="J1009">
        <v>11</v>
      </c>
      <c r="K1009">
        <v>2.6</v>
      </c>
      <c r="L1009">
        <v>621.35</v>
      </c>
      <c r="M1009">
        <f>(Table1[[#This Row],[unit_price]]*Table1[[#This Row],[quantity]])-(Table1[[#This Row],[unit_price]]*Table1[[#This Row],[discount]]*Table1[[#This Row],[quantity]])</f>
        <v>621.34799999999996</v>
      </c>
      <c r="N1009">
        <f>DAY(Table1[[#This Row],[order_date]])</f>
        <v>4</v>
      </c>
      <c r="O1009" t="str">
        <f>TEXT(Table1[[#This Row],[order_date]],"mmm")</f>
        <v>Oct</v>
      </c>
      <c r="P1009">
        <f>YEAR(Table1[[#This Row],[order_date]])</f>
        <v>2024</v>
      </c>
    </row>
    <row r="1010" spans="1:16" x14ac:dyDescent="0.3">
      <c r="A1010">
        <v>11009</v>
      </c>
      <c r="B1010" s="1">
        <v>45570</v>
      </c>
      <c r="C1010">
        <v>1238</v>
      </c>
      <c r="D1010" t="s">
        <v>15</v>
      </c>
      <c r="E1010" t="s">
        <v>21</v>
      </c>
      <c r="F1010">
        <v>6</v>
      </c>
      <c r="G1010">
        <v>123.19</v>
      </c>
      <c r="H1010">
        <v>0.12</v>
      </c>
      <c r="I1010" t="s">
        <v>16</v>
      </c>
      <c r="J1010">
        <v>4</v>
      </c>
      <c r="K1010">
        <v>1.3</v>
      </c>
      <c r="L1010">
        <v>650.44000000000005</v>
      </c>
      <c r="M1010">
        <f>(Table1[[#This Row],[unit_price]]*Table1[[#This Row],[quantity]])-(Table1[[#This Row],[unit_price]]*Table1[[#This Row],[discount]]*Table1[[#This Row],[quantity]])</f>
        <v>650.44319999999993</v>
      </c>
      <c r="N1010">
        <f>DAY(Table1[[#This Row],[order_date]])</f>
        <v>5</v>
      </c>
      <c r="O1010" t="str">
        <f>TEXT(Table1[[#This Row],[order_date]],"mmm")</f>
        <v>Oct</v>
      </c>
      <c r="P1010">
        <f>YEAR(Table1[[#This Row],[order_date]])</f>
        <v>2024</v>
      </c>
    </row>
    <row r="1011" spans="1:16" x14ac:dyDescent="0.3">
      <c r="A1011">
        <v>11010</v>
      </c>
      <c r="B1011" s="1">
        <v>45571</v>
      </c>
      <c r="C1011">
        <v>1176</v>
      </c>
      <c r="D1011" t="s">
        <v>22</v>
      </c>
      <c r="E1011" t="s">
        <v>17</v>
      </c>
      <c r="F1011">
        <v>1</v>
      </c>
      <c r="G1011">
        <v>37.78</v>
      </c>
      <c r="H1011">
        <v>0.26</v>
      </c>
      <c r="I1011" t="s">
        <v>16</v>
      </c>
      <c r="J1011">
        <v>8</v>
      </c>
      <c r="K1011">
        <v>3.6</v>
      </c>
      <c r="L1011">
        <v>27.96</v>
      </c>
      <c r="M1011">
        <f>(Table1[[#This Row],[unit_price]]*Table1[[#This Row],[quantity]])-(Table1[[#This Row],[unit_price]]*Table1[[#This Row],[discount]]*Table1[[#This Row],[quantity]])</f>
        <v>27.9572</v>
      </c>
      <c r="N1011">
        <f>DAY(Table1[[#This Row],[order_date]])</f>
        <v>6</v>
      </c>
      <c r="O1011" t="str">
        <f>TEXT(Table1[[#This Row],[order_date]],"mmm")</f>
        <v>Oct</v>
      </c>
      <c r="P1011">
        <f>YEAR(Table1[[#This Row],[order_date]])</f>
        <v>2024</v>
      </c>
    </row>
    <row r="1012" spans="1:16" x14ac:dyDescent="0.3">
      <c r="A1012">
        <v>11011</v>
      </c>
      <c r="B1012" s="1">
        <v>45572</v>
      </c>
      <c r="C1012">
        <v>1778</v>
      </c>
      <c r="D1012" t="s">
        <v>15</v>
      </c>
      <c r="E1012" t="s">
        <v>17</v>
      </c>
      <c r="F1012">
        <v>4</v>
      </c>
      <c r="G1012">
        <v>36.049999999999997</v>
      </c>
      <c r="H1012">
        <v>0.17</v>
      </c>
      <c r="I1012" t="s">
        <v>16</v>
      </c>
      <c r="J1012">
        <v>1</v>
      </c>
      <c r="K1012">
        <v>2.2000000000000002</v>
      </c>
      <c r="L1012">
        <v>119.69</v>
      </c>
      <c r="M1012">
        <f>(Table1[[#This Row],[unit_price]]*Table1[[#This Row],[quantity]])-(Table1[[#This Row],[unit_price]]*Table1[[#This Row],[discount]]*Table1[[#This Row],[quantity]])</f>
        <v>119.68599999999999</v>
      </c>
      <c r="N1012">
        <f>DAY(Table1[[#This Row],[order_date]])</f>
        <v>7</v>
      </c>
      <c r="O1012" t="str">
        <f>TEXT(Table1[[#This Row],[order_date]],"mmm")</f>
        <v>Oct</v>
      </c>
      <c r="P1012">
        <f>YEAR(Table1[[#This Row],[order_date]])</f>
        <v>2024</v>
      </c>
    </row>
    <row r="1013" spans="1:16" x14ac:dyDescent="0.3">
      <c r="A1013">
        <v>11012</v>
      </c>
      <c r="B1013" s="1">
        <v>45573</v>
      </c>
      <c r="C1013">
        <v>1852</v>
      </c>
      <c r="D1013" t="s">
        <v>15</v>
      </c>
      <c r="E1013" t="s">
        <v>21</v>
      </c>
      <c r="F1013">
        <v>3</v>
      </c>
      <c r="G1013">
        <v>501.47</v>
      </c>
      <c r="H1013">
        <v>0.01</v>
      </c>
      <c r="I1013" t="s">
        <v>16</v>
      </c>
      <c r="J1013">
        <v>5</v>
      </c>
      <c r="K1013">
        <v>1.6</v>
      </c>
      <c r="L1013">
        <v>1489.37</v>
      </c>
      <c r="M1013">
        <f>(Table1[[#This Row],[unit_price]]*Table1[[#This Row],[quantity]])-(Table1[[#This Row],[unit_price]]*Table1[[#This Row],[discount]]*Table1[[#This Row],[quantity]])</f>
        <v>1489.3659</v>
      </c>
      <c r="N1013">
        <f>DAY(Table1[[#This Row],[order_date]])</f>
        <v>8</v>
      </c>
      <c r="O1013" t="str">
        <f>TEXT(Table1[[#This Row],[order_date]],"mmm")</f>
        <v>Oct</v>
      </c>
      <c r="P1013">
        <f>YEAR(Table1[[#This Row],[order_date]])</f>
        <v>2024</v>
      </c>
    </row>
    <row r="1014" spans="1:16" x14ac:dyDescent="0.3">
      <c r="A1014">
        <v>11013</v>
      </c>
      <c r="B1014" s="1">
        <v>45574</v>
      </c>
      <c r="C1014">
        <v>1281</v>
      </c>
      <c r="D1014" t="s">
        <v>22</v>
      </c>
      <c r="E1014" t="s">
        <v>13</v>
      </c>
      <c r="F1014">
        <v>1</v>
      </c>
      <c r="G1014">
        <v>361</v>
      </c>
      <c r="H1014">
        <v>0.22</v>
      </c>
      <c r="I1014" t="s">
        <v>14</v>
      </c>
      <c r="J1014">
        <v>9</v>
      </c>
      <c r="K1014">
        <v>3</v>
      </c>
      <c r="L1014">
        <v>281.58</v>
      </c>
      <c r="M1014">
        <f>(Table1[[#This Row],[unit_price]]*Table1[[#This Row],[quantity]])-(Table1[[#This Row],[unit_price]]*Table1[[#This Row],[discount]]*Table1[[#This Row],[quantity]])</f>
        <v>281.58</v>
      </c>
      <c r="N1014">
        <f>DAY(Table1[[#This Row],[order_date]])</f>
        <v>9</v>
      </c>
      <c r="O1014" t="str">
        <f>TEXT(Table1[[#This Row],[order_date]],"mmm")</f>
        <v>Oct</v>
      </c>
      <c r="P1014">
        <f>YEAR(Table1[[#This Row],[order_date]])</f>
        <v>2024</v>
      </c>
    </row>
    <row r="1015" spans="1:16" x14ac:dyDescent="0.3">
      <c r="A1015">
        <v>11014</v>
      </c>
      <c r="B1015" s="1">
        <v>45575</v>
      </c>
      <c r="C1015">
        <v>1062</v>
      </c>
      <c r="D1015" t="s">
        <v>15</v>
      </c>
      <c r="E1015" t="s">
        <v>13</v>
      </c>
      <c r="F1015">
        <v>2</v>
      </c>
      <c r="G1015">
        <v>224.48</v>
      </c>
      <c r="H1015">
        <v>0.14000000000000001</v>
      </c>
      <c r="I1015" t="s">
        <v>16</v>
      </c>
      <c r="J1015">
        <v>7</v>
      </c>
      <c r="K1015">
        <v>2.9</v>
      </c>
      <c r="L1015">
        <v>386.11</v>
      </c>
      <c r="M1015">
        <f>(Table1[[#This Row],[unit_price]]*Table1[[#This Row],[quantity]])-(Table1[[#This Row],[unit_price]]*Table1[[#This Row],[discount]]*Table1[[#This Row],[quantity]])</f>
        <v>386.10559999999998</v>
      </c>
      <c r="N1015">
        <f>DAY(Table1[[#This Row],[order_date]])</f>
        <v>10</v>
      </c>
      <c r="O1015" t="str">
        <f>TEXT(Table1[[#This Row],[order_date]],"mmm")</f>
        <v>Oct</v>
      </c>
      <c r="P1015">
        <f>YEAR(Table1[[#This Row],[order_date]])</f>
        <v>2024</v>
      </c>
    </row>
    <row r="1016" spans="1:16" x14ac:dyDescent="0.3">
      <c r="A1016">
        <v>11015</v>
      </c>
      <c r="B1016" s="1">
        <v>45576</v>
      </c>
      <c r="C1016">
        <v>1216</v>
      </c>
      <c r="D1016" t="s">
        <v>12</v>
      </c>
      <c r="E1016" t="s">
        <v>13</v>
      </c>
      <c r="F1016">
        <v>3</v>
      </c>
      <c r="G1016">
        <v>538.12</v>
      </c>
      <c r="H1016">
        <v>0.32</v>
      </c>
      <c r="I1016" t="s">
        <v>16</v>
      </c>
      <c r="J1016">
        <v>3</v>
      </c>
      <c r="K1016">
        <v>3.1</v>
      </c>
      <c r="L1016">
        <v>1097.76</v>
      </c>
      <c r="M1016">
        <f>(Table1[[#This Row],[unit_price]]*Table1[[#This Row],[quantity]])-(Table1[[#This Row],[unit_price]]*Table1[[#This Row],[discount]]*Table1[[#This Row],[quantity]])</f>
        <v>1097.7648000000002</v>
      </c>
      <c r="N1016">
        <f>DAY(Table1[[#This Row],[order_date]])</f>
        <v>11</v>
      </c>
      <c r="O1016" t="str">
        <f>TEXT(Table1[[#This Row],[order_date]],"mmm")</f>
        <v>Oct</v>
      </c>
      <c r="P1016">
        <f>YEAR(Table1[[#This Row],[order_date]])</f>
        <v>2024</v>
      </c>
    </row>
    <row r="1017" spans="1:16" x14ac:dyDescent="0.3">
      <c r="A1017">
        <v>11016</v>
      </c>
      <c r="B1017" s="1">
        <v>45577</v>
      </c>
      <c r="C1017">
        <v>1853</v>
      </c>
      <c r="D1017" t="s">
        <v>15</v>
      </c>
      <c r="E1017" t="s">
        <v>20</v>
      </c>
      <c r="F1017">
        <v>5</v>
      </c>
      <c r="G1017">
        <v>56.07</v>
      </c>
      <c r="H1017">
        <v>0.17</v>
      </c>
      <c r="I1017" t="s">
        <v>16</v>
      </c>
      <c r="J1017">
        <v>4</v>
      </c>
      <c r="K1017">
        <v>4.3</v>
      </c>
      <c r="L1017">
        <v>232.69</v>
      </c>
      <c r="M1017">
        <f>(Table1[[#This Row],[unit_price]]*Table1[[#This Row],[quantity]])-(Table1[[#This Row],[unit_price]]*Table1[[#This Row],[discount]]*Table1[[#This Row],[quantity]])</f>
        <v>232.69050000000001</v>
      </c>
      <c r="N1017">
        <f>DAY(Table1[[#This Row],[order_date]])</f>
        <v>12</v>
      </c>
      <c r="O1017" t="str">
        <f>TEXT(Table1[[#This Row],[order_date]],"mmm")</f>
        <v>Oct</v>
      </c>
      <c r="P1017">
        <f>YEAR(Table1[[#This Row],[order_date]])</f>
        <v>2024</v>
      </c>
    </row>
    <row r="1018" spans="1:16" x14ac:dyDescent="0.3">
      <c r="A1018">
        <v>11017</v>
      </c>
      <c r="B1018" s="1">
        <v>45578</v>
      </c>
      <c r="C1018">
        <v>1826</v>
      </c>
      <c r="D1018" t="s">
        <v>19</v>
      </c>
      <c r="E1018" t="s">
        <v>17</v>
      </c>
      <c r="F1018">
        <v>3</v>
      </c>
      <c r="G1018">
        <v>588.49</v>
      </c>
      <c r="H1018">
        <v>0.25</v>
      </c>
      <c r="I1018" t="s">
        <v>18</v>
      </c>
      <c r="J1018">
        <v>10</v>
      </c>
      <c r="K1018">
        <v>2.9</v>
      </c>
      <c r="L1018">
        <v>1324.1</v>
      </c>
      <c r="M1018">
        <f>(Table1[[#This Row],[unit_price]]*Table1[[#This Row],[quantity]])-(Table1[[#This Row],[unit_price]]*Table1[[#This Row],[discount]]*Table1[[#This Row],[quantity]])</f>
        <v>1324.1025</v>
      </c>
      <c r="N1018">
        <f>DAY(Table1[[#This Row],[order_date]])</f>
        <v>13</v>
      </c>
      <c r="O1018" t="str">
        <f>TEXT(Table1[[#This Row],[order_date]],"mmm")</f>
        <v>Oct</v>
      </c>
      <c r="P1018">
        <f>YEAR(Table1[[#This Row],[order_date]])</f>
        <v>2024</v>
      </c>
    </row>
    <row r="1019" spans="1:16" x14ac:dyDescent="0.3">
      <c r="A1019">
        <v>11018</v>
      </c>
      <c r="B1019" s="1">
        <v>45579</v>
      </c>
      <c r="C1019">
        <v>1794</v>
      </c>
      <c r="D1019" t="s">
        <v>15</v>
      </c>
      <c r="E1019" t="s">
        <v>13</v>
      </c>
      <c r="F1019">
        <v>2</v>
      </c>
      <c r="G1019">
        <v>375.53</v>
      </c>
      <c r="H1019">
        <v>0.08</v>
      </c>
      <c r="I1019" t="s">
        <v>16</v>
      </c>
      <c r="J1019">
        <v>7</v>
      </c>
      <c r="K1019">
        <v>4.5999999999999996</v>
      </c>
      <c r="L1019">
        <v>690.98</v>
      </c>
      <c r="M1019">
        <f>(Table1[[#This Row],[unit_price]]*Table1[[#This Row],[quantity]])-(Table1[[#This Row],[unit_price]]*Table1[[#This Row],[discount]]*Table1[[#This Row],[quantity]])</f>
        <v>690.97519999999997</v>
      </c>
      <c r="N1019">
        <f>DAY(Table1[[#This Row],[order_date]])</f>
        <v>14</v>
      </c>
      <c r="O1019" t="str">
        <f>TEXT(Table1[[#This Row],[order_date]],"mmm")</f>
        <v>Oct</v>
      </c>
      <c r="P1019">
        <f>YEAR(Table1[[#This Row],[order_date]])</f>
        <v>2024</v>
      </c>
    </row>
    <row r="1020" spans="1:16" x14ac:dyDescent="0.3">
      <c r="A1020">
        <v>11019</v>
      </c>
      <c r="B1020" s="1">
        <v>45580</v>
      </c>
      <c r="C1020">
        <v>1688</v>
      </c>
      <c r="D1020" t="s">
        <v>22</v>
      </c>
      <c r="E1020" t="s">
        <v>17</v>
      </c>
      <c r="F1020">
        <v>7</v>
      </c>
      <c r="G1020">
        <v>122.33</v>
      </c>
      <c r="H1020">
        <v>0.27</v>
      </c>
      <c r="I1020" t="s">
        <v>16</v>
      </c>
      <c r="J1020">
        <v>6</v>
      </c>
      <c r="K1020">
        <v>4.4000000000000004</v>
      </c>
      <c r="L1020">
        <v>625.11</v>
      </c>
      <c r="M1020">
        <f>(Table1[[#This Row],[unit_price]]*Table1[[#This Row],[quantity]])-(Table1[[#This Row],[unit_price]]*Table1[[#This Row],[discount]]*Table1[[#This Row],[quantity]])</f>
        <v>625.10629999999992</v>
      </c>
      <c r="N1020">
        <f>DAY(Table1[[#This Row],[order_date]])</f>
        <v>15</v>
      </c>
      <c r="O1020" t="str">
        <f>TEXT(Table1[[#This Row],[order_date]],"mmm")</f>
        <v>Oct</v>
      </c>
      <c r="P1020">
        <f>YEAR(Table1[[#This Row],[order_date]])</f>
        <v>2024</v>
      </c>
    </row>
    <row r="1021" spans="1:16" x14ac:dyDescent="0.3">
      <c r="A1021">
        <v>11020</v>
      </c>
      <c r="B1021" s="1">
        <v>45581</v>
      </c>
      <c r="C1021">
        <v>1460</v>
      </c>
      <c r="D1021" t="s">
        <v>19</v>
      </c>
      <c r="E1021" t="s">
        <v>13</v>
      </c>
      <c r="F1021">
        <v>3</v>
      </c>
      <c r="G1021">
        <v>412.26</v>
      </c>
      <c r="H1021">
        <v>0.25</v>
      </c>
      <c r="I1021" t="s">
        <v>18</v>
      </c>
      <c r="J1021">
        <v>4</v>
      </c>
      <c r="K1021">
        <v>3.6</v>
      </c>
      <c r="L1021">
        <v>927.58</v>
      </c>
      <c r="M1021">
        <f>(Table1[[#This Row],[unit_price]]*Table1[[#This Row],[quantity]])-(Table1[[#This Row],[unit_price]]*Table1[[#This Row],[discount]]*Table1[[#This Row],[quantity]])</f>
        <v>927.58500000000004</v>
      </c>
      <c r="N1021">
        <f>DAY(Table1[[#This Row],[order_date]])</f>
        <v>16</v>
      </c>
      <c r="O1021" t="str">
        <f>TEXT(Table1[[#This Row],[order_date]],"mmm")</f>
        <v>Oct</v>
      </c>
      <c r="P1021">
        <f>YEAR(Table1[[#This Row],[order_date]])</f>
        <v>2024</v>
      </c>
    </row>
    <row r="1022" spans="1:16" x14ac:dyDescent="0.3">
      <c r="A1022">
        <v>11021</v>
      </c>
      <c r="B1022" s="1">
        <v>45582</v>
      </c>
      <c r="C1022">
        <v>1928</v>
      </c>
      <c r="D1022" t="s">
        <v>19</v>
      </c>
      <c r="E1022" t="s">
        <v>21</v>
      </c>
      <c r="F1022">
        <v>2</v>
      </c>
      <c r="G1022">
        <v>461.58</v>
      </c>
      <c r="H1022">
        <v>0.32</v>
      </c>
      <c r="I1022" t="s">
        <v>16</v>
      </c>
      <c r="J1022">
        <v>3</v>
      </c>
      <c r="K1022">
        <v>1.2</v>
      </c>
      <c r="L1022">
        <v>627.75</v>
      </c>
      <c r="M1022">
        <f>(Table1[[#This Row],[unit_price]]*Table1[[#This Row],[quantity]])-(Table1[[#This Row],[unit_price]]*Table1[[#This Row],[discount]]*Table1[[#This Row],[quantity]])</f>
        <v>627.74879999999996</v>
      </c>
      <c r="N1022">
        <f>DAY(Table1[[#This Row],[order_date]])</f>
        <v>17</v>
      </c>
      <c r="O1022" t="str">
        <f>TEXT(Table1[[#This Row],[order_date]],"mmm")</f>
        <v>Oct</v>
      </c>
      <c r="P1022">
        <f>YEAR(Table1[[#This Row],[order_date]])</f>
        <v>2024</v>
      </c>
    </row>
    <row r="1023" spans="1:16" x14ac:dyDescent="0.3">
      <c r="A1023">
        <v>11022</v>
      </c>
      <c r="B1023" s="1">
        <v>45583</v>
      </c>
      <c r="C1023">
        <v>1609</v>
      </c>
      <c r="D1023" t="s">
        <v>12</v>
      </c>
      <c r="E1023" t="s">
        <v>21</v>
      </c>
      <c r="F1023">
        <v>7</v>
      </c>
      <c r="G1023">
        <v>266.17</v>
      </c>
      <c r="H1023">
        <v>0.01</v>
      </c>
      <c r="I1023" t="s">
        <v>16</v>
      </c>
      <c r="J1023">
        <v>11</v>
      </c>
      <c r="K1023">
        <v>4.5</v>
      </c>
      <c r="L1023">
        <v>1844.56</v>
      </c>
      <c r="M1023">
        <f>(Table1[[#This Row],[unit_price]]*Table1[[#This Row],[quantity]])-(Table1[[#This Row],[unit_price]]*Table1[[#This Row],[discount]]*Table1[[#This Row],[quantity]])</f>
        <v>1844.5581</v>
      </c>
      <c r="N1023">
        <f>DAY(Table1[[#This Row],[order_date]])</f>
        <v>18</v>
      </c>
      <c r="O1023" t="str">
        <f>TEXT(Table1[[#This Row],[order_date]],"mmm")</f>
        <v>Oct</v>
      </c>
      <c r="P1023">
        <f>YEAR(Table1[[#This Row],[order_date]])</f>
        <v>2024</v>
      </c>
    </row>
    <row r="1024" spans="1:16" x14ac:dyDescent="0.3">
      <c r="A1024">
        <v>11023</v>
      </c>
      <c r="B1024" s="1">
        <v>45584</v>
      </c>
      <c r="C1024">
        <v>1104</v>
      </c>
      <c r="D1024" t="s">
        <v>19</v>
      </c>
      <c r="E1024" t="s">
        <v>17</v>
      </c>
      <c r="F1024">
        <v>1</v>
      </c>
      <c r="G1024">
        <v>519.05999999999995</v>
      </c>
      <c r="H1024">
        <v>0.16</v>
      </c>
      <c r="I1024" t="s">
        <v>16</v>
      </c>
      <c r="J1024">
        <v>2</v>
      </c>
      <c r="K1024">
        <v>4.5999999999999996</v>
      </c>
      <c r="L1024">
        <v>436.01</v>
      </c>
      <c r="M1024">
        <f>(Table1[[#This Row],[unit_price]]*Table1[[#This Row],[quantity]])-(Table1[[#This Row],[unit_price]]*Table1[[#This Row],[discount]]*Table1[[#This Row],[quantity]])</f>
        <v>436.01039999999995</v>
      </c>
      <c r="N1024">
        <f>DAY(Table1[[#This Row],[order_date]])</f>
        <v>19</v>
      </c>
      <c r="O1024" t="str">
        <f>TEXT(Table1[[#This Row],[order_date]],"mmm")</f>
        <v>Oct</v>
      </c>
      <c r="P1024">
        <f>YEAR(Table1[[#This Row],[order_date]])</f>
        <v>2024</v>
      </c>
    </row>
    <row r="1025" spans="1:16" x14ac:dyDescent="0.3">
      <c r="A1025">
        <v>11024</v>
      </c>
      <c r="B1025" s="1">
        <v>45585</v>
      </c>
      <c r="C1025">
        <v>1098</v>
      </c>
      <c r="D1025" t="s">
        <v>15</v>
      </c>
      <c r="E1025" t="s">
        <v>17</v>
      </c>
      <c r="F1025">
        <v>7</v>
      </c>
      <c r="G1025">
        <v>103.18</v>
      </c>
      <c r="H1025">
        <v>0.24</v>
      </c>
      <c r="I1025" t="s">
        <v>18</v>
      </c>
      <c r="J1025">
        <v>10</v>
      </c>
      <c r="K1025">
        <v>2.5</v>
      </c>
      <c r="L1025">
        <v>548.91999999999996</v>
      </c>
      <c r="M1025">
        <f>(Table1[[#This Row],[unit_price]]*Table1[[#This Row],[quantity]])-(Table1[[#This Row],[unit_price]]*Table1[[#This Row],[discount]]*Table1[[#This Row],[quantity]])</f>
        <v>548.91759999999999</v>
      </c>
      <c r="N1025">
        <f>DAY(Table1[[#This Row],[order_date]])</f>
        <v>20</v>
      </c>
      <c r="O1025" t="str">
        <f>TEXT(Table1[[#This Row],[order_date]],"mmm")</f>
        <v>Oct</v>
      </c>
      <c r="P1025">
        <f>YEAR(Table1[[#This Row],[order_date]])</f>
        <v>2024</v>
      </c>
    </row>
    <row r="1026" spans="1:16" x14ac:dyDescent="0.3">
      <c r="A1026">
        <v>11025</v>
      </c>
      <c r="B1026" s="1">
        <v>45586</v>
      </c>
      <c r="C1026">
        <v>1510</v>
      </c>
      <c r="D1026" t="s">
        <v>15</v>
      </c>
      <c r="E1026" t="s">
        <v>21</v>
      </c>
      <c r="F1026">
        <v>4</v>
      </c>
      <c r="G1026">
        <v>178.12</v>
      </c>
      <c r="H1026">
        <v>0.03</v>
      </c>
      <c r="I1026" t="s">
        <v>14</v>
      </c>
      <c r="J1026">
        <v>9</v>
      </c>
      <c r="K1026">
        <v>3.1</v>
      </c>
      <c r="L1026">
        <v>691.11</v>
      </c>
      <c r="M1026">
        <f>(Table1[[#This Row],[unit_price]]*Table1[[#This Row],[quantity]])-(Table1[[#This Row],[unit_price]]*Table1[[#This Row],[discount]]*Table1[[#This Row],[quantity]])</f>
        <v>691.10559999999998</v>
      </c>
      <c r="N1026">
        <f>DAY(Table1[[#This Row],[order_date]])</f>
        <v>21</v>
      </c>
      <c r="O1026" t="str">
        <f>TEXT(Table1[[#This Row],[order_date]],"mmm")</f>
        <v>Oct</v>
      </c>
      <c r="P1026">
        <f>YEAR(Table1[[#This Row],[order_date]])</f>
        <v>2024</v>
      </c>
    </row>
    <row r="1027" spans="1:16" x14ac:dyDescent="0.3">
      <c r="A1027">
        <v>11026</v>
      </c>
      <c r="B1027" s="1">
        <v>45587</v>
      </c>
      <c r="C1027">
        <v>1384</v>
      </c>
      <c r="D1027" t="s">
        <v>15</v>
      </c>
      <c r="E1027" t="s">
        <v>20</v>
      </c>
      <c r="F1027">
        <v>5</v>
      </c>
      <c r="G1027">
        <v>69.69</v>
      </c>
      <c r="H1027">
        <v>0.14000000000000001</v>
      </c>
      <c r="I1027" t="s">
        <v>16</v>
      </c>
      <c r="J1027">
        <v>3</v>
      </c>
      <c r="K1027">
        <v>2.1</v>
      </c>
      <c r="L1027">
        <v>299.67</v>
      </c>
      <c r="M1027">
        <f>(Table1[[#This Row],[unit_price]]*Table1[[#This Row],[quantity]])-(Table1[[#This Row],[unit_price]]*Table1[[#This Row],[discount]]*Table1[[#This Row],[quantity]])</f>
        <v>299.66699999999997</v>
      </c>
      <c r="N1027">
        <f>DAY(Table1[[#This Row],[order_date]])</f>
        <v>22</v>
      </c>
      <c r="O1027" t="str">
        <f>TEXT(Table1[[#This Row],[order_date]],"mmm")</f>
        <v>Oct</v>
      </c>
      <c r="P1027">
        <f>YEAR(Table1[[#This Row],[order_date]])</f>
        <v>2024</v>
      </c>
    </row>
    <row r="1028" spans="1:16" x14ac:dyDescent="0.3">
      <c r="A1028">
        <v>11027</v>
      </c>
      <c r="B1028" s="1">
        <v>45588</v>
      </c>
      <c r="C1028">
        <v>1404</v>
      </c>
      <c r="D1028" t="s">
        <v>15</v>
      </c>
      <c r="E1028" t="s">
        <v>21</v>
      </c>
      <c r="F1028">
        <v>7</v>
      </c>
      <c r="G1028">
        <v>138.36000000000001</v>
      </c>
      <c r="H1028">
        <v>0.33</v>
      </c>
      <c r="I1028" t="s">
        <v>16</v>
      </c>
      <c r="J1028">
        <v>7</v>
      </c>
      <c r="K1028">
        <v>1.1000000000000001</v>
      </c>
      <c r="L1028">
        <v>648.91</v>
      </c>
      <c r="M1028">
        <f>(Table1[[#This Row],[unit_price]]*Table1[[#This Row],[quantity]])-(Table1[[#This Row],[unit_price]]*Table1[[#This Row],[discount]]*Table1[[#This Row],[quantity]])</f>
        <v>648.90840000000003</v>
      </c>
      <c r="N1028">
        <f>DAY(Table1[[#This Row],[order_date]])</f>
        <v>23</v>
      </c>
      <c r="O1028" t="str">
        <f>TEXT(Table1[[#This Row],[order_date]],"mmm")</f>
        <v>Oct</v>
      </c>
      <c r="P1028">
        <f>YEAR(Table1[[#This Row],[order_date]])</f>
        <v>2024</v>
      </c>
    </row>
    <row r="1029" spans="1:16" x14ac:dyDescent="0.3">
      <c r="A1029">
        <v>11028</v>
      </c>
      <c r="B1029" s="1">
        <v>45589</v>
      </c>
      <c r="C1029">
        <v>1822</v>
      </c>
      <c r="D1029" t="s">
        <v>19</v>
      </c>
      <c r="E1029" t="s">
        <v>13</v>
      </c>
      <c r="F1029">
        <v>4</v>
      </c>
      <c r="G1029">
        <v>154.66</v>
      </c>
      <c r="H1029">
        <v>0.15</v>
      </c>
      <c r="I1029" t="s">
        <v>16</v>
      </c>
      <c r="J1029">
        <v>1</v>
      </c>
      <c r="K1029">
        <v>2.9</v>
      </c>
      <c r="L1029">
        <v>525.84</v>
      </c>
      <c r="M1029">
        <f>(Table1[[#This Row],[unit_price]]*Table1[[#This Row],[quantity]])-(Table1[[#This Row],[unit_price]]*Table1[[#This Row],[discount]]*Table1[[#This Row],[quantity]])</f>
        <v>525.84400000000005</v>
      </c>
      <c r="N1029">
        <f>DAY(Table1[[#This Row],[order_date]])</f>
        <v>24</v>
      </c>
      <c r="O1029" t="str">
        <f>TEXT(Table1[[#This Row],[order_date]],"mmm")</f>
        <v>Oct</v>
      </c>
      <c r="P1029">
        <f>YEAR(Table1[[#This Row],[order_date]])</f>
        <v>2024</v>
      </c>
    </row>
    <row r="1030" spans="1:16" x14ac:dyDescent="0.3">
      <c r="A1030">
        <v>11029</v>
      </c>
      <c r="B1030" s="1">
        <v>45590</v>
      </c>
      <c r="C1030">
        <v>1517</v>
      </c>
      <c r="D1030" t="s">
        <v>15</v>
      </c>
      <c r="E1030" t="s">
        <v>20</v>
      </c>
      <c r="F1030">
        <v>4</v>
      </c>
      <c r="G1030">
        <v>551.82000000000005</v>
      </c>
      <c r="H1030">
        <v>0.34</v>
      </c>
      <c r="I1030" t="s">
        <v>18</v>
      </c>
      <c r="J1030">
        <v>8</v>
      </c>
      <c r="K1030">
        <v>1.5</v>
      </c>
      <c r="L1030">
        <v>1456.8</v>
      </c>
      <c r="M1030">
        <f>(Table1[[#This Row],[unit_price]]*Table1[[#This Row],[quantity]])-(Table1[[#This Row],[unit_price]]*Table1[[#This Row],[discount]]*Table1[[#This Row],[quantity]])</f>
        <v>1456.8048000000001</v>
      </c>
      <c r="N1030">
        <f>DAY(Table1[[#This Row],[order_date]])</f>
        <v>25</v>
      </c>
      <c r="O1030" t="str">
        <f>TEXT(Table1[[#This Row],[order_date]],"mmm")</f>
        <v>Oct</v>
      </c>
      <c r="P1030">
        <f>YEAR(Table1[[#This Row],[order_date]])</f>
        <v>2024</v>
      </c>
    </row>
    <row r="1031" spans="1:16" x14ac:dyDescent="0.3">
      <c r="A1031">
        <v>11030</v>
      </c>
      <c r="B1031" s="1">
        <v>45591</v>
      </c>
      <c r="C1031">
        <v>1475</v>
      </c>
      <c r="D1031" t="s">
        <v>15</v>
      </c>
      <c r="E1031" t="s">
        <v>21</v>
      </c>
      <c r="F1031">
        <v>4</v>
      </c>
      <c r="G1031">
        <v>60.69</v>
      </c>
      <c r="H1031">
        <v>0.02</v>
      </c>
      <c r="I1031" t="s">
        <v>18</v>
      </c>
      <c r="J1031">
        <v>1</v>
      </c>
      <c r="K1031">
        <v>1.7</v>
      </c>
      <c r="L1031">
        <v>237.9</v>
      </c>
      <c r="M1031">
        <f>(Table1[[#This Row],[unit_price]]*Table1[[#This Row],[quantity]])-(Table1[[#This Row],[unit_price]]*Table1[[#This Row],[discount]]*Table1[[#This Row],[quantity]])</f>
        <v>237.90479999999999</v>
      </c>
      <c r="N1031">
        <f>DAY(Table1[[#This Row],[order_date]])</f>
        <v>26</v>
      </c>
      <c r="O1031" t="str">
        <f>TEXT(Table1[[#This Row],[order_date]],"mmm")</f>
        <v>Oct</v>
      </c>
      <c r="P1031">
        <f>YEAR(Table1[[#This Row],[order_date]])</f>
        <v>2024</v>
      </c>
    </row>
    <row r="1032" spans="1:16" x14ac:dyDescent="0.3">
      <c r="A1032">
        <v>11031</v>
      </c>
      <c r="B1032" s="1">
        <v>45592</v>
      </c>
      <c r="C1032">
        <v>1976</v>
      </c>
      <c r="D1032" t="s">
        <v>22</v>
      </c>
      <c r="E1032" t="s">
        <v>20</v>
      </c>
      <c r="F1032">
        <v>7</v>
      </c>
      <c r="G1032">
        <v>265.04000000000002</v>
      </c>
      <c r="H1032">
        <v>0.25</v>
      </c>
      <c r="I1032" t="s">
        <v>18</v>
      </c>
      <c r="J1032">
        <v>2</v>
      </c>
      <c r="K1032">
        <v>2.9</v>
      </c>
      <c r="L1032">
        <v>1391.46</v>
      </c>
      <c r="M1032">
        <f>(Table1[[#This Row],[unit_price]]*Table1[[#This Row],[quantity]])-(Table1[[#This Row],[unit_price]]*Table1[[#This Row],[discount]]*Table1[[#This Row],[quantity]])</f>
        <v>1391.46</v>
      </c>
      <c r="N1032">
        <f>DAY(Table1[[#This Row],[order_date]])</f>
        <v>27</v>
      </c>
      <c r="O1032" t="str">
        <f>TEXT(Table1[[#This Row],[order_date]],"mmm")</f>
        <v>Oct</v>
      </c>
      <c r="P1032">
        <f>YEAR(Table1[[#This Row],[order_date]])</f>
        <v>2024</v>
      </c>
    </row>
    <row r="1033" spans="1:16" x14ac:dyDescent="0.3">
      <c r="A1033">
        <v>11032</v>
      </c>
      <c r="B1033" s="1">
        <v>45593</v>
      </c>
      <c r="C1033">
        <v>1708</v>
      </c>
      <c r="D1033" t="s">
        <v>19</v>
      </c>
      <c r="E1033" t="s">
        <v>20</v>
      </c>
      <c r="F1033">
        <v>2</v>
      </c>
      <c r="G1033">
        <v>326.45</v>
      </c>
      <c r="H1033">
        <v>0.2</v>
      </c>
      <c r="I1033" t="s">
        <v>18</v>
      </c>
      <c r="J1033">
        <v>1</v>
      </c>
      <c r="K1033">
        <v>4.5</v>
      </c>
      <c r="L1033">
        <v>522.32000000000005</v>
      </c>
      <c r="M1033">
        <f>(Table1[[#This Row],[unit_price]]*Table1[[#This Row],[quantity]])-(Table1[[#This Row],[unit_price]]*Table1[[#This Row],[discount]]*Table1[[#This Row],[quantity]])</f>
        <v>522.31999999999994</v>
      </c>
      <c r="N1033">
        <f>DAY(Table1[[#This Row],[order_date]])</f>
        <v>28</v>
      </c>
      <c r="O1033" t="str">
        <f>TEXT(Table1[[#This Row],[order_date]],"mmm")</f>
        <v>Oct</v>
      </c>
      <c r="P1033">
        <f>YEAR(Table1[[#This Row],[order_date]])</f>
        <v>2024</v>
      </c>
    </row>
    <row r="1034" spans="1:16" x14ac:dyDescent="0.3">
      <c r="A1034">
        <v>11033</v>
      </c>
      <c r="B1034" s="1">
        <v>45594</v>
      </c>
      <c r="C1034">
        <v>1862</v>
      </c>
      <c r="D1034" t="s">
        <v>15</v>
      </c>
      <c r="E1034" t="s">
        <v>20</v>
      </c>
      <c r="F1034">
        <v>2</v>
      </c>
      <c r="G1034">
        <v>540.74</v>
      </c>
      <c r="H1034">
        <v>0.18</v>
      </c>
      <c r="I1034" t="s">
        <v>14</v>
      </c>
      <c r="J1034">
        <v>4</v>
      </c>
      <c r="K1034">
        <v>4.4000000000000004</v>
      </c>
      <c r="L1034">
        <v>886.81</v>
      </c>
      <c r="M1034">
        <f>(Table1[[#This Row],[unit_price]]*Table1[[#This Row],[quantity]])-(Table1[[#This Row],[unit_price]]*Table1[[#This Row],[discount]]*Table1[[#This Row],[quantity]])</f>
        <v>886.81359999999995</v>
      </c>
      <c r="N1034">
        <f>DAY(Table1[[#This Row],[order_date]])</f>
        <v>29</v>
      </c>
      <c r="O1034" t="str">
        <f>TEXT(Table1[[#This Row],[order_date]],"mmm")</f>
        <v>Oct</v>
      </c>
      <c r="P1034">
        <f>YEAR(Table1[[#This Row],[order_date]])</f>
        <v>2024</v>
      </c>
    </row>
    <row r="1035" spans="1:16" x14ac:dyDescent="0.3">
      <c r="A1035">
        <v>11034</v>
      </c>
      <c r="B1035" s="1">
        <v>45595</v>
      </c>
      <c r="C1035">
        <v>1644</v>
      </c>
      <c r="D1035" t="s">
        <v>19</v>
      </c>
      <c r="E1035" t="s">
        <v>17</v>
      </c>
      <c r="F1035">
        <v>5</v>
      </c>
      <c r="G1035">
        <v>598.65</v>
      </c>
      <c r="H1035">
        <v>0.34</v>
      </c>
      <c r="I1035" t="s">
        <v>14</v>
      </c>
      <c r="J1035">
        <v>2</v>
      </c>
      <c r="K1035">
        <v>4.9000000000000004</v>
      </c>
      <c r="L1035">
        <v>1975.54</v>
      </c>
      <c r="M1035">
        <f>(Table1[[#This Row],[unit_price]]*Table1[[#This Row],[quantity]])-(Table1[[#This Row],[unit_price]]*Table1[[#This Row],[discount]]*Table1[[#This Row],[quantity]])</f>
        <v>1975.5450000000001</v>
      </c>
      <c r="N1035">
        <f>DAY(Table1[[#This Row],[order_date]])</f>
        <v>30</v>
      </c>
      <c r="O1035" t="str">
        <f>TEXT(Table1[[#This Row],[order_date]],"mmm")</f>
        <v>Oct</v>
      </c>
      <c r="P1035">
        <f>YEAR(Table1[[#This Row],[order_date]])</f>
        <v>2024</v>
      </c>
    </row>
    <row r="1036" spans="1:16" x14ac:dyDescent="0.3">
      <c r="A1036">
        <v>11035</v>
      </c>
      <c r="B1036" s="1">
        <v>45596</v>
      </c>
      <c r="C1036">
        <v>1869</v>
      </c>
      <c r="D1036" t="s">
        <v>19</v>
      </c>
      <c r="E1036" t="s">
        <v>21</v>
      </c>
      <c r="F1036">
        <v>2</v>
      </c>
      <c r="G1036">
        <v>455.73</v>
      </c>
      <c r="H1036">
        <v>0.05</v>
      </c>
      <c r="I1036" t="s">
        <v>18</v>
      </c>
      <c r="J1036">
        <v>1</v>
      </c>
      <c r="K1036">
        <v>2.9</v>
      </c>
      <c r="L1036">
        <v>865.89</v>
      </c>
      <c r="M1036">
        <f>(Table1[[#This Row],[unit_price]]*Table1[[#This Row],[quantity]])-(Table1[[#This Row],[unit_price]]*Table1[[#This Row],[discount]]*Table1[[#This Row],[quantity]])</f>
        <v>865.88700000000006</v>
      </c>
      <c r="N1036">
        <f>DAY(Table1[[#This Row],[order_date]])</f>
        <v>31</v>
      </c>
      <c r="O1036" t="str">
        <f>TEXT(Table1[[#This Row],[order_date]],"mmm")</f>
        <v>Oct</v>
      </c>
      <c r="P1036">
        <f>YEAR(Table1[[#This Row],[order_date]])</f>
        <v>2024</v>
      </c>
    </row>
    <row r="1037" spans="1:16" x14ac:dyDescent="0.3">
      <c r="A1037">
        <v>11036</v>
      </c>
      <c r="B1037" s="1">
        <v>45597</v>
      </c>
      <c r="C1037">
        <v>1770</v>
      </c>
      <c r="D1037" t="s">
        <v>19</v>
      </c>
      <c r="E1037" t="s">
        <v>17</v>
      </c>
      <c r="F1037">
        <v>6</v>
      </c>
      <c r="G1037">
        <v>582.91</v>
      </c>
      <c r="H1037">
        <v>0.31</v>
      </c>
      <c r="I1037" t="s">
        <v>18</v>
      </c>
      <c r="J1037">
        <v>1</v>
      </c>
      <c r="K1037">
        <v>3.2</v>
      </c>
      <c r="L1037">
        <v>2413.25</v>
      </c>
      <c r="M1037">
        <f>(Table1[[#This Row],[unit_price]]*Table1[[#This Row],[quantity]])-(Table1[[#This Row],[unit_price]]*Table1[[#This Row],[discount]]*Table1[[#This Row],[quantity]])</f>
        <v>2413.2474000000002</v>
      </c>
      <c r="N1037">
        <f>DAY(Table1[[#This Row],[order_date]])</f>
        <v>1</v>
      </c>
      <c r="O1037" t="str">
        <f>TEXT(Table1[[#This Row],[order_date]],"mmm")</f>
        <v>Nov</v>
      </c>
      <c r="P1037">
        <f>YEAR(Table1[[#This Row],[order_date]])</f>
        <v>2024</v>
      </c>
    </row>
    <row r="1038" spans="1:16" x14ac:dyDescent="0.3">
      <c r="A1038">
        <v>11037</v>
      </c>
      <c r="B1038" s="1">
        <v>45598</v>
      </c>
      <c r="C1038">
        <v>1436</v>
      </c>
      <c r="D1038" t="s">
        <v>19</v>
      </c>
      <c r="E1038" t="s">
        <v>17</v>
      </c>
      <c r="F1038">
        <v>2</v>
      </c>
      <c r="G1038">
        <v>475.45</v>
      </c>
      <c r="H1038">
        <v>0.24</v>
      </c>
      <c r="I1038" t="s">
        <v>16</v>
      </c>
      <c r="J1038">
        <v>2</v>
      </c>
      <c r="K1038">
        <v>4.3</v>
      </c>
      <c r="L1038">
        <v>722.68</v>
      </c>
      <c r="M1038">
        <f>(Table1[[#This Row],[unit_price]]*Table1[[#This Row],[quantity]])-(Table1[[#This Row],[unit_price]]*Table1[[#This Row],[discount]]*Table1[[#This Row],[quantity]])</f>
        <v>722.68399999999997</v>
      </c>
      <c r="N1038">
        <f>DAY(Table1[[#This Row],[order_date]])</f>
        <v>2</v>
      </c>
      <c r="O1038" t="str">
        <f>TEXT(Table1[[#This Row],[order_date]],"mmm")</f>
        <v>Nov</v>
      </c>
      <c r="P1038">
        <f>YEAR(Table1[[#This Row],[order_date]])</f>
        <v>2024</v>
      </c>
    </row>
    <row r="1039" spans="1:16" x14ac:dyDescent="0.3">
      <c r="A1039">
        <v>11038</v>
      </c>
      <c r="B1039" s="1">
        <v>45599</v>
      </c>
      <c r="C1039">
        <v>1022</v>
      </c>
      <c r="D1039" t="s">
        <v>22</v>
      </c>
      <c r="E1039" t="s">
        <v>13</v>
      </c>
      <c r="F1039">
        <v>2</v>
      </c>
      <c r="G1039">
        <v>578.47</v>
      </c>
      <c r="H1039">
        <v>0.09</v>
      </c>
      <c r="I1039" t="s">
        <v>18</v>
      </c>
      <c r="J1039">
        <v>6</v>
      </c>
      <c r="K1039">
        <v>3.8</v>
      </c>
      <c r="L1039">
        <v>1052.82</v>
      </c>
      <c r="M1039">
        <f>(Table1[[#This Row],[unit_price]]*Table1[[#This Row],[quantity]])-(Table1[[#This Row],[unit_price]]*Table1[[#This Row],[discount]]*Table1[[#This Row],[quantity]])</f>
        <v>1052.8154</v>
      </c>
      <c r="N1039">
        <f>DAY(Table1[[#This Row],[order_date]])</f>
        <v>3</v>
      </c>
      <c r="O1039" t="str">
        <f>TEXT(Table1[[#This Row],[order_date]],"mmm")</f>
        <v>Nov</v>
      </c>
      <c r="P1039">
        <f>YEAR(Table1[[#This Row],[order_date]])</f>
        <v>2024</v>
      </c>
    </row>
    <row r="1040" spans="1:16" x14ac:dyDescent="0.3">
      <c r="A1040">
        <v>11039</v>
      </c>
      <c r="B1040" s="1">
        <v>45600</v>
      </c>
      <c r="C1040">
        <v>1996</v>
      </c>
      <c r="D1040" t="s">
        <v>19</v>
      </c>
      <c r="E1040" t="s">
        <v>13</v>
      </c>
      <c r="F1040">
        <v>2</v>
      </c>
      <c r="G1040">
        <v>428.75</v>
      </c>
      <c r="H1040">
        <v>0.32</v>
      </c>
      <c r="I1040" t="s">
        <v>18</v>
      </c>
      <c r="J1040">
        <v>2</v>
      </c>
      <c r="K1040">
        <v>1.7</v>
      </c>
      <c r="L1040">
        <v>583.1</v>
      </c>
      <c r="M1040">
        <f>(Table1[[#This Row],[unit_price]]*Table1[[#This Row],[quantity]])-(Table1[[#This Row],[unit_price]]*Table1[[#This Row],[discount]]*Table1[[#This Row],[quantity]])</f>
        <v>583.09999999999991</v>
      </c>
      <c r="N1040">
        <f>DAY(Table1[[#This Row],[order_date]])</f>
        <v>4</v>
      </c>
      <c r="O1040" t="str">
        <f>TEXT(Table1[[#This Row],[order_date]],"mmm")</f>
        <v>Nov</v>
      </c>
      <c r="P1040">
        <f>YEAR(Table1[[#This Row],[order_date]])</f>
        <v>2024</v>
      </c>
    </row>
    <row r="1041" spans="1:16" x14ac:dyDescent="0.3">
      <c r="A1041">
        <v>11040</v>
      </c>
      <c r="B1041" s="1">
        <v>45601</v>
      </c>
      <c r="C1041">
        <v>1564</v>
      </c>
      <c r="D1041" t="s">
        <v>12</v>
      </c>
      <c r="E1041" t="s">
        <v>20</v>
      </c>
      <c r="F1041">
        <v>1</v>
      </c>
      <c r="G1041">
        <v>61.66</v>
      </c>
      <c r="H1041">
        <v>0.15</v>
      </c>
      <c r="I1041" t="s">
        <v>18</v>
      </c>
      <c r="J1041">
        <v>11</v>
      </c>
      <c r="K1041">
        <v>2.6</v>
      </c>
      <c r="L1041">
        <v>52.41</v>
      </c>
      <c r="M1041">
        <f>(Table1[[#This Row],[unit_price]]*Table1[[#This Row],[quantity]])-(Table1[[#This Row],[unit_price]]*Table1[[#This Row],[discount]]*Table1[[#This Row],[quantity]])</f>
        <v>52.411000000000001</v>
      </c>
      <c r="N1041">
        <f>DAY(Table1[[#This Row],[order_date]])</f>
        <v>5</v>
      </c>
      <c r="O1041" t="str">
        <f>TEXT(Table1[[#This Row],[order_date]],"mmm")</f>
        <v>Nov</v>
      </c>
      <c r="P1041">
        <f>YEAR(Table1[[#This Row],[order_date]])</f>
        <v>2024</v>
      </c>
    </row>
    <row r="1042" spans="1:16" x14ac:dyDescent="0.3">
      <c r="A1042">
        <v>11041</v>
      </c>
      <c r="B1042" s="1">
        <v>45602</v>
      </c>
      <c r="C1042">
        <v>1676</v>
      </c>
      <c r="D1042" t="s">
        <v>12</v>
      </c>
      <c r="E1042" t="s">
        <v>20</v>
      </c>
      <c r="F1042">
        <v>5</v>
      </c>
      <c r="G1042">
        <v>250.12</v>
      </c>
      <c r="H1042">
        <v>0.28000000000000003</v>
      </c>
      <c r="I1042" t="s">
        <v>16</v>
      </c>
      <c r="J1042">
        <v>2</v>
      </c>
      <c r="K1042">
        <v>4.7</v>
      </c>
      <c r="L1042">
        <v>900.43</v>
      </c>
      <c r="M1042">
        <f>(Table1[[#This Row],[unit_price]]*Table1[[#This Row],[quantity]])-(Table1[[#This Row],[unit_price]]*Table1[[#This Row],[discount]]*Table1[[#This Row],[quantity]])</f>
        <v>900.4319999999999</v>
      </c>
      <c r="N1042">
        <f>DAY(Table1[[#This Row],[order_date]])</f>
        <v>6</v>
      </c>
      <c r="O1042" t="str">
        <f>TEXT(Table1[[#This Row],[order_date]],"mmm")</f>
        <v>Nov</v>
      </c>
      <c r="P1042">
        <f>YEAR(Table1[[#This Row],[order_date]])</f>
        <v>2024</v>
      </c>
    </row>
    <row r="1043" spans="1:16" x14ac:dyDescent="0.3">
      <c r="A1043">
        <v>11042</v>
      </c>
      <c r="B1043" s="1">
        <v>45603</v>
      </c>
      <c r="C1043">
        <v>1713</v>
      </c>
      <c r="D1043" t="s">
        <v>15</v>
      </c>
      <c r="E1043" t="s">
        <v>13</v>
      </c>
      <c r="F1043">
        <v>6</v>
      </c>
      <c r="G1043">
        <v>393.26</v>
      </c>
      <c r="H1043">
        <v>0.14000000000000001</v>
      </c>
      <c r="I1043" t="s">
        <v>18</v>
      </c>
      <c r="J1043">
        <v>8</v>
      </c>
      <c r="K1043">
        <v>1.6</v>
      </c>
      <c r="L1043">
        <v>2029.22</v>
      </c>
      <c r="M1043">
        <f>(Table1[[#This Row],[unit_price]]*Table1[[#This Row],[quantity]])-(Table1[[#This Row],[unit_price]]*Table1[[#This Row],[discount]]*Table1[[#This Row],[quantity]])</f>
        <v>2029.2215999999999</v>
      </c>
      <c r="N1043">
        <f>DAY(Table1[[#This Row],[order_date]])</f>
        <v>7</v>
      </c>
      <c r="O1043" t="str">
        <f>TEXT(Table1[[#This Row],[order_date]],"mmm")</f>
        <v>Nov</v>
      </c>
      <c r="P1043">
        <f>YEAR(Table1[[#This Row],[order_date]])</f>
        <v>2024</v>
      </c>
    </row>
    <row r="1044" spans="1:16" x14ac:dyDescent="0.3">
      <c r="A1044">
        <v>11043</v>
      </c>
      <c r="B1044" s="1">
        <v>45604</v>
      </c>
      <c r="C1044">
        <v>1457</v>
      </c>
      <c r="D1044" t="s">
        <v>19</v>
      </c>
      <c r="E1044" t="s">
        <v>13</v>
      </c>
      <c r="F1044">
        <v>2</v>
      </c>
      <c r="G1044">
        <v>220.17</v>
      </c>
      <c r="H1044">
        <v>0.3</v>
      </c>
      <c r="I1044" t="s">
        <v>18</v>
      </c>
      <c r="J1044">
        <v>5</v>
      </c>
      <c r="K1044">
        <v>1.8</v>
      </c>
      <c r="L1044">
        <v>308.24</v>
      </c>
      <c r="M1044">
        <f>(Table1[[#This Row],[unit_price]]*Table1[[#This Row],[quantity]])-(Table1[[#This Row],[unit_price]]*Table1[[#This Row],[discount]]*Table1[[#This Row],[quantity]])</f>
        <v>308.238</v>
      </c>
      <c r="N1044">
        <f>DAY(Table1[[#This Row],[order_date]])</f>
        <v>8</v>
      </c>
      <c r="O1044" t="str">
        <f>TEXT(Table1[[#This Row],[order_date]],"mmm")</f>
        <v>Nov</v>
      </c>
      <c r="P1044">
        <f>YEAR(Table1[[#This Row],[order_date]])</f>
        <v>2024</v>
      </c>
    </row>
    <row r="1045" spans="1:16" x14ac:dyDescent="0.3">
      <c r="A1045">
        <v>11044</v>
      </c>
      <c r="B1045" s="1">
        <v>45605</v>
      </c>
      <c r="C1045">
        <v>1082</v>
      </c>
      <c r="D1045" t="s">
        <v>15</v>
      </c>
      <c r="E1045" t="s">
        <v>21</v>
      </c>
      <c r="F1045">
        <v>5</v>
      </c>
      <c r="G1045">
        <v>174.93</v>
      </c>
      <c r="H1045">
        <v>0.22</v>
      </c>
      <c r="I1045" t="s">
        <v>18</v>
      </c>
      <c r="J1045">
        <v>8</v>
      </c>
      <c r="K1045">
        <v>2.6</v>
      </c>
      <c r="L1045">
        <v>682.23</v>
      </c>
      <c r="M1045">
        <f>(Table1[[#This Row],[unit_price]]*Table1[[#This Row],[quantity]])-(Table1[[#This Row],[unit_price]]*Table1[[#This Row],[discount]]*Table1[[#This Row],[quantity]])</f>
        <v>682.22700000000009</v>
      </c>
      <c r="N1045">
        <f>DAY(Table1[[#This Row],[order_date]])</f>
        <v>9</v>
      </c>
      <c r="O1045" t="str">
        <f>TEXT(Table1[[#This Row],[order_date]],"mmm")</f>
        <v>Nov</v>
      </c>
      <c r="P1045">
        <f>YEAR(Table1[[#This Row],[order_date]])</f>
        <v>2024</v>
      </c>
    </row>
    <row r="1046" spans="1:16" x14ac:dyDescent="0.3">
      <c r="A1046">
        <v>11045</v>
      </c>
      <c r="B1046" s="1">
        <v>45606</v>
      </c>
      <c r="C1046">
        <v>1144</v>
      </c>
      <c r="D1046" t="s">
        <v>22</v>
      </c>
      <c r="E1046" t="s">
        <v>20</v>
      </c>
      <c r="F1046">
        <v>3</v>
      </c>
      <c r="G1046">
        <v>352.78</v>
      </c>
      <c r="H1046">
        <v>0.05</v>
      </c>
      <c r="I1046" t="s">
        <v>16</v>
      </c>
      <c r="J1046">
        <v>8</v>
      </c>
      <c r="K1046">
        <v>4.8</v>
      </c>
      <c r="L1046">
        <v>1005.42</v>
      </c>
      <c r="M1046">
        <f>(Table1[[#This Row],[unit_price]]*Table1[[#This Row],[quantity]])-(Table1[[#This Row],[unit_price]]*Table1[[#This Row],[discount]]*Table1[[#This Row],[quantity]])</f>
        <v>1005.4229999999999</v>
      </c>
      <c r="N1046">
        <f>DAY(Table1[[#This Row],[order_date]])</f>
        <v>10</v>
      </c>
      <c r="O1046" t="str">
        <f>TEXT(Table1[[#This Row],[order_date]],"mmm")</f>
        <v>Nov</v>
      </c>
      <c r="P1046">
        <f>YEAR(Table1[[#This Row],[order_date]])</f>
        <v>2024</v>
      </c>
    </row>
    <row r="1047" spans="1:16" x14ac:dyDescent="0.3">
      <c r="A1047">
        <v>11046</v>
      </c>
      <c r="B1047" s="1">
        <v>45607</v>
      </c>
      <c r="C1047">
        <v>1084</v>
      </c>
      <c r="D1047" t="s">
        <v>15</v>
      </c>
      <c r="E1047" t="s">
        <v>20</v>
      </c>
      <c r="F1047">
        <v>1</v>
      </c>
      <c r="G1047">
        <v>561.1</v>
      </c>
      <c r="H1047">
        <v>0.23</v>
      </c>
      <c r="I1047" t="s">
        <v>16</v>
      </c>
      <c r="J1047">
        <v>2</v>
      </c>
      <c r="K1047">
        <v>1.5</v>
      </c>
      <c r="L1047">
        <v>432.05</v>
      </c>
      <c r="M1047">
        <f>(Table1[[#This Row],[unit_price]]*Table1[[#This Row],[quantity]])-(Table1[[#This Row],[unit_price]]*Table1[[#This Row],[discount]]*Table1[[#This Row],[quantity]])</f>
        <v>432.04700000000003</v>
      </c>
      <c r="N1047">
        <f>DAY(Table1[[#This Row],[order_date]])</f>
        <v>11</v>
      </c>
      <c r="O1047" t="str">
        <f>TEXT(Table1[[#This Row],[order_date]],"mmm")</f>
        <v>Nov</v>
      </c>
      <c r="P1047">
        <f>YEAR(Table1[[#This Row],[order_date]])</f>
        <v>2024</v>
      </c>
    </row>
    <row r="1048" spans="1:16" x14ac:dyDescent="0.3">
      <c r="A1048">
        <v>11047</v>
      </c>
      <c r="B1048" s="1">
        <v>45608</v>
      </c>
      <c r="C1048">
        <v>1077</v>
      </c>
      <c r="D1048" t="s">
        <v>19</v>
      </c>
      <c r="E1048" t="s">
        <v>13</v>
      </c>
      <c r="F1048">
        <v>7</v>
      </c>
      <c r="G1048">
        <v>35.46</v>
      </c>
      <c r="H1048">
        <v>7.0000000000000007E-2</v>
      </c>
      <c r="I1048" t="s">
        <v>16</v>
      </c>
      <c r="J1048">
        <v>7</v>
      </c>
      <c r="K1048">
        <v>3.7</v>
      </c>
      <c r="L1048">
        <v>230.84</v>
      </c>
      <c r="M1048">
        <f>(Table1[[#This Row],[unit_price]]*Table1[[#This Row],[quantity]])-(Table1[[#This Row],[unit_price]]*Table1[[#This Row],[discount]]*Table1[[#This Row],[quantity]])</f>
        <v>230.84459999999999</v>
      </c>
      <c r="N1048">
        <f>DAY(Table1[[#This Row],[order_date]])</f>
        <v>12</v>
      </c>
      <c r="O1048" t="str">
        <f>TEXT(Table1[[#This Row],[order_date]],"mmm")</f>
        <v>Nov</v>
      </c>
      <c r="P1048">
        <f>YEAR(Table1[[#This Row],[order_date]])</f>
        <v>2024</v>
      </c>
    </row>
    <row r="1049" spans="1:16" x14ac:dyDescent="0.3">
      <c r="A1049">
        <v>11048</v>
      </c>
      <c r="B1049" s="1">
        <v>45609</v>
      </c>
      <c r="C1049">
        <v>1456</v>
      </c>
      <c r="D1049" t="s">
        <v>15</v>
      </c>
      <c r="E1049" t="s">
        <v>21</v>
      </c>
      <c r="F1049">
        <v>2</v>
      </c>
      <c r="G1049">
        <v>465</v>
      </c>
      <c r="H1049">
        <v>0.14000000000000001</v>
      </c>
      <c r="I1049" t="s">
        <v>14</v>
      </c>
      <c r="J1049">
        <v>9</v>
      </c>
      <c r="K1049">
        <v>1.5</v>
      </c>
      <c r="L1049">
        <v>799.8</v>
      </c>
      <c r="M1049">
        <f>(Table1[[#This Row],[unit_price]]*Table1[[#This Row],[quantity]])-(Table1[[#This Row],[unit_price]]*Table1[[#This Row],[discount]]*Table1[[#This Row],[quantity]])</f>
        <v>799.8</v>
      </c>
      <c r="N1049">
        <f>DAY(Table1[[#This Row],[order_date]])</f>
        <v>13</v>
      </c>
      <c r="O1049" t="str">
        <f>TEXT(Table1[[#This Row],[order_date]],"mmm")</f>
        <v>Nov</v>
      </c>
      <c r="P1049">
        <f>YEAR(Table1[[#This Row],[order_date]])</f>
        <v>2024</v>
      </c>
    </row>
    <row r="1050" spans="1:16" x14ac:dyDescent="0.3">
      <c r="A1050">
        <v>11049</v>
      </c>
      <c r="B1050" s="1">
        <v>45610</v>
      </c>
      <c r="C1050">
        <v>1877</v>
      </c>
      <c r="D1050" t="s">
        <v>22</v>
      </c>
      <c r="E1050" t="s">
        <v>13</v>
      </c>
      <c r="F1050">
        <v>6</v>
      </c>
      <c r="G1050">
        <v>437.8</v>
      </c>
      <c r="H1050">
        <v>0.06</v>
      </c>
      <c r="I1050" t="s">
        <v>18</v>
      </c>
      <c r="J1050">
        <v>8</v>
      </c>
      <c r="K1050">
        <v>3.1</v>
      </c>
      <c r="L1050">
        <v>2469.19</v>
      </c>
      <c r="M1050">
        <f>(Table1[[#This Row],[unit_price]]*Table1[[#This Row],[quantity]])-(Table1[[#This Row],[unit_price]]*Table1[[#This Row],[discount]]*Table1[[#This Row],[quantity]])</f>
        <v>2469.192</v>
      </c>
      <c r="N1050">
        <f>DAY(Table1[[#This Row],[order_date]])</f>
        <v>14</v>
      </c>
      <c r="O1050" t="str">
        <f>TEXT(Table1[[#This Row],[order_date]],"mmm")</f>
        <v>Nov</v>
      </c>
      <c r="P1050">
        <f>YEAR(Table1[[#This Row],[order_date]])</f>
        <v>2024</v>
      </c>
    </row>
    <row r="1051" spans="1:16" x14ac:dyDescent="0.3">
      <c r="A1051">
        <v>11050</v>
      </c>
      <c r="B1051" s="1">
        <v>45611</v>
      </c>
      <c r="C1051">
        <v>1000</v>
      </c>
      <c r="D1051" t="s">
        <v>22</v>
      </c>
      <c r="E1051" t="s">
        <v>13</v>
      </c>
      <c r="F1051">
        <v>1</v>
      </c>
      <c r="G1051">
        <v>578.91</v>
      </c>
      <c r="H1051">
        <v>0.01</v>
      </c>
      <c r="I1051" t="s">
        <v>16</v>
      </c>
      <c r="J1051">
        <v>9</v>
      </c>
      <c r="K1051">
        <v>3.1</v>
      </c>
      <c r="L1051">
        <v>573.12</v>
      </c>
      <c r="M1051">
        <f>(Table1[[#This Row],[unit_price]]*Table1[[#This Row],[quantity]])-(Table1[[#This Row],[unit_price]]*Table1[[#This Row],[discount]]*Table1[[#This Row],[quantity]])</f>
        <v>573.12090000000001</v>
      </c>
      <c r="N1051">
        <f>DAY(Table1[[#This Row],[order_date]])</f>
        <v>15</v>
      </c>
      <c r="O1051" t="str">
        <f>TEXT(Table1[[#This Row],[order_date]],"mmm")</f>
        <v>Nov</v>
      </c>
      <c r="P1051">
        <f>YEAR(Table1[[#This Row],[order_date]])</f>
        <v>2024</v>
      </c>
    </row>
    <row r="1052" spans="1:16" x14ac:dyDescent="0.3">
      <c r="A1052">
        <v>11051</v>
      </c>
      <c r="B1052" s="1">
        <v>45612</v>
      </c>
      <c r="C1052">
        <v>1050</v>
      </c>
      <c r="D1052" t="s">
        <v>19</v>
      </c>
      <c r="E1052" t="s">
        <v>17</v>
      </c>
      <c r="F1052">
        <v>6</v>
      </c>
      <c r="G1052">
        <v>559.47</v>
      </c>
      <c r="H1052">
        <v>7.0000000000000007E-2</v>
      </c>
      <c r="I1052" t="s">
        <v>16</v>
      </c>
      <c r="J1052">
        <v>8</v>
      </c>
      <c r="K1052">
        <v>1.2</v>
      </c>
      <c r="L1052">
        <v>3121.84</v>
      </c>
      <c r="M1052">
        <f>(Table1[[#This Row],[unit_price]]*Table1[[#This Row],[quantity]])-(Table1[[#This Row],[unit_price]]*Table1[[#This Row],[discount]]*Table1[[#This Row],[quantity]])</f>
        <v>3121.8425999999999</v>
      </c>
      <c r="N1052">
        <f>DAY(Table1[[#This Row],[order_date]])</f>
        <v>16</v>
      </c>
      <c r="O1052" t="str">
        <f>TEXT(Table1[[#This Row],[order_date]],"mmm")</f>
        <v>Nov</v>
      </c>
      <c r="P1052">
        <f>YEAR(Table1[[#This Row],[order_date]])</f>
        <v>2024</v>
      </c>
    </row>
    <row r="1053" spans="1:16" x14ac:dyDescent="0.3">
      <c r="A1053">
        <v>11052</v>
      </c>
      <c r="B1053" s="1">
        <v>45613</v>
      </c>
      <c r="C1053">
        <v>1684</v>
      </c>
      <c r="D1053" t="s">
        <v>22</v>
      </c>
      <c r="E1053" t="s">
        <v>20</v>
      </c>
      <c r="F1053">
        <v>7</v>
      </c>
      <c r="G1053">
        <v>460.91</v>
      </c>
      <c r="H1053">
        <v>0.19</v>
      </c>
      <c r="I1053" t="s">
        <v>18</v>
      </c>
      <c r="J1053">
        <v>4</v>
      </c>
      <c r="K1053">
        <v>4.8</v>
      </c>
      <c r="L1053">
        <v>2613.36</v>
      </c>
      <c r="M1053">
        <f>(Table1[[#This Row],[unit_price]]*Table1[[#This Row],[quantity]])-(Table1[[#This Row],[unit_price]]*Table1[[#This Row],[discount]]*Table1[[#This Row],[quantity]])</f>
        <v>2613.3597000000004</v>
      </c>
      <c r="N1053">
        <f>DAY(Table1[[#This Row],[order_date]])</f>
        <v>17</v>
      </c>
      <c r="O1053" t="str">
        <f>TEXT(Table1[[#This Row],[order_date]],"mmm")</f>
        <v>Nov</v>
      </c>
      <c r="P1053">
        <f>YEAR(Table1[[#This Row],[order_date]])</f>
        <v>2024</v>
      </c>
    </row>
    <row r="1054" spans="1:16" x14ac:dyDescent="0.3">
      <c r="A1054">
        <v>11053</v>
      </c>
      <c r="B1054" s="1">
        <v>45614</v>
      </c>
      <c r="C1054">
        <v>1716</v>
      </c>
      <c r="D1054" t="s">
        <v>19</v>
      </c>
      <c r="E1054" t="s">
        <v>21</v>
      </c>
      <c r="F1054">
        <v>7</v>
      </c>
      <c r="G1054">
        <v>319.44</v>
      </c>
      <c r="H1054">
        <v>0.17</v>
      </c>
      <c r="I1054" t="s">
        <v>16</v>
      </c>
      <c r="J1054">
        <v>10</v>
      </c>
      <c r="K1054">
        <v>4.2</v>
      </c>
      <c r="L1054">
        <v>1855.95</v>
      </c>
      <c r="M1054">
        <f>(Table1[[#This Row],[unit_price]]*Table1[[#This Row],[quantity]])-(Table1[[#This Row],[unit_price]]*Table1[[#This Row],[discount]]*Table1[[#This Row],[quantity]])</f>
        <v>1855.9463999999998</v>
      </c>
      <c r="N1054">
        <f>DAY(Table1[[#This Row],[order_date]])</f>
        <v>18</v>
      </c>
      <c r="O1054" t="str">
        <f>TEXT(Table1[[#This Row],[order_date]],"mmm")</f>
        <v>Nov</v>
      </c>
      <c r="P1054">
        <f>YEAR(Table1[[#This Row],[order_date]])</f>
        <v>2024</v>
      </c>
    </row>
    <row r="1055" spans="1:16" x14ac:dyDescent="0.3">
      <c r="A1055">
        <v>11054</v>
      </c>
      <c r="B1055" s="1">
        <v>45615</v>
      </c>
      <c r="C1055">
        <v>1771</v>
      </c>
      <c r="D1055" t="s">
        <v>19</v>
      </c>
      <c r="E1055" t="s">
        <v>17</v>
      </c>
      <c r="F1055">
        <v>1</v>
      </c>
      <c r="G1055">
        <v>134.5</v>
      </c>
      <c r="H1055">
        <v>0.18</v>
      </c>
      <c r="I1055" t="s">
        <v>14</v>
      </c>
      <c r="J1055">
        <v>7</v>
      </c>
      <c r="K1055">
        <v>2.2000000000000002</v>
      </c>
      <c r="L1055">
        <v>110.29</v>
      </c>
      <c r="M1055">
        <f>(Table1[[#This Row],[unit_price]]*Table1[[#This Row],[quantity]])-(Table1[[#This Row],[unit_price]]*Table1[[#This Row],[discount]]*Table1[[#This Row],[quantity]])</f>
        <v>110.28999999999999</v>
      </c>
      <c r="N1055">
        <f>DAY(Table1[[#This Row],[order_date]])</f>
        <v>19</v>
      </c>
      <c r="O1055" t="str">
        <f>TEXT(Table1[[#This Row],[order_date]],"mmm")</f>
        <v>Nov</v>
      </c>
      <c r="P1055">
        <f>YEAR(Table1[[#This Row],[order_date]])</f>
        <v>2024</v>
      </c>
    </row>
    <row r="1056" spans="1:16" x14ac:dyDescent="0.3">
      <c r="A1056">
        <v>11055</v>
      </c>
      <c r="B1056" s="1">
        <v>45616</v>
      </c>
      <c r="C1056">
        <v>1445</v>
      </c>
      <c r="D1056" t="s">
        <v>12</v>
      </c>
      <c r="E1056" t="s">
        <v>20</v>
      </c>
      <c r="F1056">
        <v>3</v>
      </c>
      <c r="G1056">
        <v>333.96</v>
      </c>
      <c r="H1056">
        <v>0.09</v>
      </c>
      <c r="I1056" t="s">
        <v>18</v>
      </c>
      <c r="J1056">
        <v>9</v>
      </c>
      <c r="K1056">
        <v>1.5</v>
      </c>
      <c r="L1056">
        <v>911.71</v>
      </c>
      <c r="M1056">
        <f>(Table1[[#This Row],[unit_price]]*Table1[[#This Row],[quantity]])-(Table1[[#This Row],[unit_price]]*Table1[[#This Row],[discount]]*Table1[[#This Row],[quantity]])</f>
        <v>911.71079999999984</v>
      </c>
      <c r="N1056">
        <f>DAY(Table1[[#This Row],[order_date]])</f>
        <v>20</v>
      </c>
      <c r="O1056" t="str">
        <f>TEXT(Table1[[#This Row],[order_date]],"mmm")</f>
        <v>Nov</v>
      </c>
      <c r="P1056">
        <f>YEAR(Table1[[#This Row],[order_date]])</f>
        <v>2024</v>
      </c>
    </row>
    <row r="1057" spans="1:16" x14ac:dyDescent="0.3">
      <c r="A1057">
        <v>11056</v>
      </c>
      <c r="B1057" s="1">
        <v>45617</v>
      </c>
      <c r="C1057">
        <v>1448</v>
      </c>
      <c r="D1057" t="s">
        <v>19</v>
      </c>
      <c r="E1057" t="s">
        <v>13</v>
      </c>
      <c r="F1057">
        <v>5</v>
      </c>
      <c r="G1057">
        <v>462.73</v>
      </c>
      <c r="H1057">
        <v>0.24</v>
      </c>
      <c r="I1057" t="s">
        <v>16</v>
      </c>
      <c r="J1057">
        <v>9</v>
      </c>
      <c r="K1057">
        <v>2.4</v>
      </c>
      <c r="L1057">
        <v>1758.37</v>
      </c>
      <c r="M1057">
        <f>(Table1[[#This Row],[unit_price]]*Table1[[#This Row],[quantity]])-(Table1[[#This Row],[unit_price]]*Table1[[#This Row],[discount]]*Table1[[#This Row],[quantity]])</f>
        <v>1758.3740000000003</v>
      </c>
      <c r="N1057">
        <f>DAY(Table1[[#This Row],[order_date]])</f>
        <v>21</v>
      </c>
      <c r="O1057" t="str">
        <f>TEXT(Table1[[#This Row],[order_date]],"mmm")</f>
        <v>Nov</v>
      </c>
      <c r="P1057">
        <f>YEAR(Table1[[#This Row],[order_date]])</f>
        <v>2024</v>
      </c>
    </row>
    <row r="1058" spans="1:16" x14ac:dyDescent="0.3">
      <c r="A1058">
        <v>11057</v>
      </c>
      <c r="B1058" s="1">
        <v>45618</v>
      </c>
      <c r="C1058">
        <v>1880</v>
      </c>
      <c r="D1058" t="s">
        <v>19</v>
      </c>
      <c r="E1058" t="s">
        <v>21</v>
      </c>
      <c r="F1058">
        <v>1</v>
      </c>
      <c r="G1058">
        <v>538.97</v>
      </c>
      <c r="H1058">
        <v>0.25</v>
      </c>
      <c r="I1058" t="s">
        <v>18</v>
      </c>
      <c r="J1058">
        <v>4</v>
      </c>
      <c r="K1058">
        <v>4.5999999999999996</v>
      </c>
      <c r="L1058">
        <v>404.23</v>
      </c>
      <c r="M1058">
        <f>(Table1[[#This Row],[unit_price]]*Table1[[#This Row],[quantity]])-(Table1[[#This Row],[unit_price]]*Table1[[#This Row],[discount]]*Table1[[#This Row],[quantity]])</f>
        <v>404.22750000000002</v>
      </c>
      <c r="N1058">
        <f>DAY(Table1[[#This Row],[order_date]])</f>
        <v>22</v>
      </c>
      <c r="O1058" t="str">
        <f>TEXT(Table1[[#This Row],[order_date]],"mmm")</f>
        <v>Nov</v>
      </c>
      <c r="P1058">
        <f>YEAR(Table1[[#This Row],[order_date]])</f>
        <v>2024</v>
      </c>
    </row>
    <row r="1059" spans="1:16" x14ac:dyDescent="0.3">
      <c r="A1059">
        <v>11058</v>
      </c>
      <c r="B1059" s="1">
        <v>45619</v>
      </c>
      <c r="C1059">
        <v>1487</v>
      </c>
      <c r="D1059" t="s">
        <v>19</v>
      </c>
      <c r="E1059" t="s">
        <v>20</v>
      </c>
      <c r="F1059">
        <v>4</v>
      </c>
      <c r="G1059">
        <v>476.98</v>
      </c>
      <c r="H1059">
        <v>0.13</v>
      </c>
      <c r="I1059" t="s">
        <v>16</v>
      </c>
      <c r="J1059">
        <v>7</v>
      </c>
      <c r="K1059">
        <v>1.5</v>
      </c>
      <c r="L1059">
        <v>1659.89</v>
      </c>
      <c r="M1059">
        <f>(Table1[[#This Row],[unit_price]]*Table1[[#This Row],[quantity]])-(Table1[[#This Row],[unit_price]]*Table1[[#This Row],[discount]]*Table1[[#This Row],[quantity]])</f>
        <v>1659.8904</v>
      </c>
      <c r="N1059">
        <f>DAY(Table1[[#This Row],[order_date]])</f>
        <v>23</v>
      </c>
      <c r="O1059" t="str">
        <f>TEXT(Table1[[#This Row],[order_date]],"mmm")</f>
        <v>Nov</v>
      </c>
      <c r="P1059">
        <f>YEAR(Table1[[#This Row],[order_date]])</f>
        <v>2024</v>
      </c>
    </row>
    <row r="1060" spans="1:16" x14ac:dyDescent="0.3">
      <c r="A1060">
        <v>11059</v>
      </c>
      <c r="B1060" s="1">
        <v>45620</v>
      </c>
      <c r="C1060">
        <v>1799</v>
      </c>
      <c r="D1060" t="s">
        <v>12</v>
      </c>
      <c r="E1060" t="s">
        <v>13</v>
      </c>
      <c r="F1060">
        <v>7</v>
      </c>
      <c r="G1060">
        <v>129.22999999999999</v>
      </c>
      <c r="H1060">
        <v>0.31</v>
      </c>
      <c r="I1060" t="s">
        <v>14</v>
      </c>
      <c r="J1060">
        <v>6</v>
      </c>
      <c r="K1060">
        <v>2.4</v>
      </c>
      <c r="L1060">
        <v>624.17999999999995</v>
      </c>
      <c r="M1060">
        <f>(Table1[[#This Row],[unit_price]]*Table1[[#This Row],[quantity]])-(Table1[[#This Row],[unit_price]]*Table1[[#This Row],[discount]]*Table1[[#This Row],[quantity]])</f>
        <v>624.18089999999995</v>
      </c>
      <c r="N1060">
        <f>DAY(Table1[[#This Row],[order_date]])</f>
        <v>24</v>
      </c>
      <c r="O1060" t="str">
        <f>TEXT(Table1[[#This Row],[order_date]],"mmm")</f>
        <v>Nov</v>
      </c>
      <c r="P1060">
        <f>YEAR(Table1[[#This Row],[order_date]])</f>
        <v>2024</v>
      </c>
    </row>
    <row r="1061" spans="1:16" x14ac:dyDescent="0.3">
      <c r="A1061">
        <v>11060</v>
      </c>
      <c r="B1061" s="1">
        <v>45621</v>
      </c>
      <c r="C1061">
        <v>1033</v>
      </c>
      <c r="D1061" t="s">
        <v>22</v>
      </c>
      <c r="E1061" t="s">
        <v>17</v>
      </c>
      <c r="F1061">
        <v>3</v>
      </c>
      <c r="G1061">
        <v>365.82</v>
      </c>
      <c r="H1061">
        <v>0.23</v>
      </c>
      <c r="I1061" t="s">
        <v>16</v>
      </c>
      <c r="J1061">
        <v>3</v>
      </c>
      <c r="K1061">
        <v>3</v>
      </c>
      <c r="L1061">
        <v>845.04</v>
      </c>
      <c r="M1061">
        <f>(Table1[[#This Row],[unit_price]]*Table1[[#This Row],[quantity]])-(Table1[[#This Row],[unit_price]]*Table1[[#This Row],[discount]]*Table1[[#This Row],[quantity]])</f>
        <v>845.04420000000005</v>
      </c>
      <c r="N1061">
        <f>DAY(Table1[[#This Row],[order_date]])</f>
        <v>25</v>
      </c>
      <c r="O1061" t="str">
        <f>TEXT(Table1[[#This Row],[order_date]],"mmm")</f>
        <v>Nov</v>
      </c>
      <c r="P1061">
        <f>YEAR(Table1[[#This Row],[order_date]])</f>
        <v>2024</v>
      </c>
    </row>
    <row r="1062" spans="1:16" x14ac:dyDescent="0.3">
      <c r="A1062">
        <v>11061</v>
      </c>
      <c r="B1062" s="1">
        <v>45622</v>
      </c>
      <c r="C1062">
        <v>1347</v>
      </c>
      <c r="D1062" t="s">
        <v>15</v>
      </c>
      <c r="E1062" t="s">
        <v>21</v>
      </c>
      <c r="F1062">
        <v>7</v>
      </c>
      <c r="G1062">
        <v>209.32</v>
      </c>
      <c r="H1062">
        <v>0.25</v>
      </c>
      <c r="I1062" t="s">
        <v>14</v>
      </c>
      <c r="J1062">
        <v>10</v>
      </c>
      <c r="K1062">
        <v>1.1000000000000001</v>
      </c>
      <c r="L1062">
        <v>1098.93</v>
      </c>
      <c r="M1062">
        <f>(Table1[[#This Row],[unit_price]]*Table1[[#This Row],[quantity]])-(Table1[[#This Row],[unit_price]]*Table1[[#This Row],[discount]]*Table1[[#This Row],[quantity]])</f>
        <v>1098.93</v>
      </c>
      <c r="N1062">
        <f>DAY(Table1[[#This Row],[order_date]])</f>
        <v>26</v>
      </c>
      <c r="O1062" t="str">
        <f>TEXT(Table1[[#This Row],[order_date]],"mmm")</f>
        <v>Nov</v>
      </c>
      <c r="P1062">
        <f>YEAR(Table1[[#This Row],[order_date]])</f>
        <v>2024</v>
      </c>
    </row>
    <row r="1063" spans="1:16" x14ac:dyDescent="0.3">
      <c r="A1063">
        <v>11062</v>
      </c>
      <c r="B1063" s="1">
        <v>45623</v>
      </c>
      <c r="C1063">
        <v>1094</v>
      </c>
      <c r="D1063" t="s">
        <v>22</v>
      </c>
      <c r="E1063" t="s">
        <v>20</v>
      </c>
      <c r="F1063">
        <v>4</v>
      </c>
      <c r="G1063">
        <v>20.39</v>
      </c>
      <c r="H1063">
        <v>0.1</v>
      </c>
      <c r="I1063" t="s">
        <v>18</v>
      </c>
      <c r="J1063">
        <v>6</v>
      </c>
      <c r="K1063">
        <v>2.1</v>
      </c>
      <c r="L1063">
        <v>73.400000000000006</v>
      </c>
      <c r="M1063">
        <f>(Table1[[#This Row],[unit_price]]*Table1[[#This Row],[quantity]])-(Table1[[#This Row],[unit_price]]*Table1[[#This Row],[discount]]*Table1[[#This Row],[quantity]])</f>
        <v>73.403999999999996</v>
      </c>
      <c r="N1063">
        <f>DAY(Table1[[#This Row],[order_date]])</f>
        <v>27</v>
      </c>
      <c r="O1063" t="str">
        <f>TEXT(Table1[[#This Row],[order_date]],"mmm")</f>
        <v>Nov</v>
      </c>
      <c r="P1063">
        <f>YEAR(Table1[[#This Row],[order_date]])</f>
        <v>2024</v>
      </c>
    </row>
    <row r="1064" spans="1:16" x14ac:dyDescent="0.3">
      <c r="A1064">
        <v>11063</v>
      </c>
      <c r="B1064" s="1">
        <v>45624</v>
      </c>
      <c r="C1064">
        <v>1071</v>
      </c>
      <c r="D1064" t="s">
        <v>19</v>
      </c>
      <c r="E1064" t="s">
        <v>17</v>
      </c>
      <c r="F1064">
        <v>3</v>
      </c>
      <c r="G1064">
        <v>132.13</v>
      </c>
      <c r="H1064">
        <v>0</v>
      </c>
      <c r="I1064" t="s">
        <v>14</v>
      </c>
      <c r="J1064">
        <v>8</v>
      </c>
      <c r="K1064">
        <v>3.4</v>
      </c>
      <c r="L1064">
        <v>396.39</v>
      </c>
      <c r="M1064">
        <f>(Table1[[#This Row],[unit_price]]*Table1[[#This Row],[quantity]])-(Table1[[#This Row],[unit_price]]*Table1[[#This Row],[discount]]*Table1[[#This Row],[quantity]])</f>
        <v>396.39</v>
      </c>
      <c r="N1064">
        <f>DAY(Table1[[#This Row],[order_date]])</f>
        <v>28</v>
      </c>
      <c r="O1064" t="str">
        <f>TEXT(Table1[[#This Row],[order_date]],"mmm")</f>
        <v>Nov</v>
      </c>
      <c r="P1064">
        <f>YEAR(Table1[[#This Row],[order_date]])</f>
        <v>2024</v>
      </c>
    </row>
    <row r="1065" spans="1:16" x14ac:dyDescent="0.3">
      <c r="A1065">
        <v>11064</v>
      </c>
      <c r="B1065" s="1">
        <v>45625</v>
      </c>
      <c r="C1065">
        <v>1550</v>
      </c>
      <c r="D1065" t="s">
        <v>15</v>
      </c>
      <c r="E1065" t="s">
        <v>13</v>
      </c>
      <c r="F1065">
        <v>7</v>
      </c>
      <c r="G1065">
        <v>81.23</v>
      </c>
      <c r="H1065">
        <v>0.3</v>
      </c>
      <c r="I1065" t="s">
        <v>16</v>
      </c>
      <c r="J1065">
        <v>2</v>
      </c>
      <c r="K1065">
        <v>2.2999999999999998</v>
      </c>
      <c r="L1065">
        <v>398.03</v>
      </c>
      <c r="M1065">
        <f>(Table1[[#This Row],[unit_price]]*Table1[[#This Row],[quantity]])-(Table1[[#This Row],[unit_price]]*Table1[[#This Row],[discount]]*Table1[[#This Row],[quantity]])</f>
        <v>398.02700000000004</v>
      </c>
      <c r="N1065">
        <f>DAY(Table1[[#This Row],[order_date]])</f>
        <v>29</v>
      </c>
      <c r="O1065" t="str">
        <f>TEXT(Table1[[#This Row],[order_date]],"mmm")</f>
        <v>Nov</v>
      </c>
      <c r="P1065">
        <f>YEAR(Table1[[#This Row],[order_date]])</f>
        <v>2024</v>
      </c>
    </row>
    <row r="1066" spans="1:16" x14ac:dyDescent="0.3">
      <c r="A1066">
        <v>11065</v>
      </c>
      <c r="B1066" s="1">
        <v>45626</v>
      </c>
      <c r="C1066">
        <v>1153</v>
      </c>
      <c r="D1066" t="s">
        <v>15</v>
      </c>
      <c r="E1066" t="s">
        <v>13</v>
      </c>
      <c r="F1066">
        <v>4</v>
      </c>
      <c r="G1066">
        <v>507.99</v>
      </c>
      <c r="H1066">
        <v>0.28999999999999998</v>
      </c>
      <c r="I1066" t="s">
        <v>16</v>
      </c>
      <c r="J1066">
        <v>3</v>
      </c>
      <c r="K1066">
        <v>4.5</v>
      </c>
      <c r="L1066">
        <v>1442.69</v>
      </c>
      <c r="M1066">
        <f>(Table1[[#This Row],[unit_price]]*Table1[[#This Row],[quantity]])-(Table1[[#This Row],[unit_price]]*Table1[[#This Row],[discount]]*Table1[[#This Row],[quantity]])</f>
        <v>1442.6916000000001</v>
      </c>
      <c r="N1066">
        <f>DAY(Table1[[#This Row],[order_date]])</f>
        <v>30</v>
      </c>
      <c r="O1066" t="str">
        <f>TEXT(Table1[[#This Row],[order_date]],"mmm")</f>
        <v>Nov</v>
      </c>
      <c r="P1066">
        <f>YEAR(Table1[[#This Row],[order_date]])</f>
        <v>2024</v>
      </c>
    </row>
    <row r="1067" spans="1:16" x14ac:dyDescent="0.3">
      <c r="A1067">
        <v>11066</v>
      </c>
      <c r="B1067" s="1">
        <v>45627</v>
      </c>
      <c r="C1067">
        <v>1249</v>
      </c>
      <c r="D1067" t="s">
        <v>19</v>
      </c>
      <c r="E1067" t="s">
        <v>20</v>
      </c>
      <c r="F1067">
        <v>4</v>
      </c>
      <c r="G1067">
        <v>166.23</v>
      </c>
      <c r="H1067">
        <v>0.04</v>
      </c>
      <c r="I1067" t="s">
        <v>18</v>
      </c>
      <c r="J1067">
        <v>8</v>
      </c>
      <c r="K1067">
        <v>4.7</v>
      </c>
      <c r="L1067">
        <v>638.32000000000005</v>
      </c>
      <c r="M1067">
        <f>(Table1[[#This Row],[unit_price]]*Table1[[#This Row],[quantity]])-(Table1[[#This Row],[unit_price]]*Table1[[#This Row],[discount]]*Table1[[#This Row],[quantity]])</f>
        <v>638.32319999999993</v>
      </c>
      <c r="N1067">
        <f>DAY(Table1[[#This Row],[order_date]])</f>
        <v>1</v>
      </c>
      <c r="O1067" t="str">
        <f>TEXT(Table1[[#This Row],[order_date]],"mmm")</f>
        <v>Dec</v>
      </c>
      <c r="P1067">
        <f>YEAR(Table1[[#This Row],[order_date]])</f>
        <v>2024</v>
      </c>
    </row>
    <row r="1068" spans="1:16" x14ac:dyDescent="0.3">
      <c r="A1068">
        <v>11067</v>
      </c>
      <c r="B1068" s="1">
        <v>45628</v>
      </c>
      <c r="C1068">
        <v>1673</v>
      </c>
      <c r="D1068" t="s">
        <v>15</v>
      </c>
      <c r="E1068" t="s">
        <v>13</v>
      </c>
      <c r="F1068">
        <v>7</v>
      </c>
      <c r="G1068">
        <v>181.55</v>
      </c>
      <c r="H1068">
        <v>0.13</v>
      </c>
      <c r="I1068" t="s">
        <v>18</v>
      </c>
      <c r="J1068">
        <v>4</v>
      </c>
      <c r="K1068">
        <v>2.8</v>
      </c>
      <c r="L1068">
        <v>1105.6400000000001</v>
      </c>
      <c r="M1068">
        <f>(Table1[[#This Row],[unit_price]]*Table1[[#This Row],[quantity]])-(Table1[[#This Row],[unit_price]]*Table1[[#This Row],[discount]]*Table1[[#This Row],[quantity]])</f>
        <v>1105.6395000000002</v>
      </c>
      <c r="N1068">
        <f>DAY(Table1[[#This Row],[order_date]])</f>
        <v>2</v>
      </c>
      <c r="O1068" t="str">
        <f>TEXT(Table1[[#This Row],[order_date]],"mmm")</f>
        <v>Dec</v>
      </c>
      <c r="P1068">
        <f>YEAR(Table1[[#This Row],[order_date]])</f>
        <v>2024</v>
      </c>
    </row>
    <row r="1069" spans="1:16" x14ac:dyDescent="0.3">
      <c r="A1069">
        <v>11068</v>
      </c>
      <c r="B1069" s="1">
        <v>45629</v>
      </c>
      <c r="C1069">
        <v>1437</v>
      </c>
      <c r="D1069" t="s">
        <v>12</v>
      </c>
      <c r="E1069" t="s">
        <v>21</v>
      </c>
      <c r="F1069">
        <v>7</v>
      </c>
      <c r="G1069">
        <v>576.55999999999995</v>
      </c>
      <c r="H1069">
        <v>0.23</v>
      </c>
      <c r="I1069" t="s">
        <v>16</v>
      </c>
      <c r="J1069">
        <v>4</v>
      </c>
      <c r="K1069">
        <v>3.1</v>
      </c>
      <c r="L1069">
        <v>3107.66</v>
      </c>
      <c r="M1069">
        <f>(Table1[[#This Row],[unit_price]]*Table1[[#This Row],[quantity]])-(Table1[[#This Row],[unit_price]]*Table1[[#This Row],[discount]]*Table1[[#This Row],[quantity]])</f>
        <v>3107.6583999999993</v>
      </c>
      <c r="N1069">
        <f>DAY(Table1[[#This Row],[order_date]])</f>
        <v>3</v>
      </c>
      <c r="O1069" t="str">
        <f>TEXT(Table1[[#This Row],[order_date]],"mmm")</f>
        <v>Dec</v>
      </c>
      <c r="P1069">
        <f>YEAR(Table1[[#This Row],[order_date]])</f>
        <v>2024</v>
      </c>
    </row>
    <row r="1070" spans="1:16" x14ac:dyDescent="0.3">
      <c r="A1070">
        <v>11069</v>
      </c>
      <c r="B1070" s="1">
        <v>45630</v>
      </c>
      <c r="C1070">
        <v>1117</v>
      </c>
      <c r="D1070" t="s">
        <v>19</v>
      </c>
      <c r="E1070" t="s">
        <v>20</v>
      </c>
      <c r="F1070">
        <v>6</v>
      </c>
      <c r="G1070">
        <v>236.77</v>
      </c>
      <c r="H1070">
        <v>0.23</v>
      </c>
      <c r="I1070" t="s">
        <v>16</v>
      </c>
      <c r="J1070">
        <v>2</v>
      </c>
      <c r="K1070">
        <v>3.5</v>
      </c>
      <c r="L1070">
        <v>1093.8800000000001</v>
      </c>
      <c r="M1070">
        <f>(Table1[[#This Row],[unit_price]]*Table1[[#This Row],[quantity]])-(Table1[[#This Row],[unit_price]]*Table1[[#This Row],[discount]]*Table1[[#This Row],[quantity]])</f>
        <v>1093.8774000000001</v>
      </c>
      <c r="N1070">
        <f>DAY(Table1[[#This Row],[order_date]])</f>
        <v>4</v>
      </c>
      <c r="O1070" t="str">
        <f>TEXT(Table1[[#This Row],[order_date]],"mmm")</f>
        <v>Dec</v>
      </c>
      <c r="P1070">
        <f>YEAR(Table1[[#This Row],[order_date]])</f>
        <v>2024</v>
      </c>
    </row>
    <row r="1071" spans="1:16" x14ac:dyDescent="0.3">
      <c r="A1071">
        <v>11070</v>
      </c>
      <c r="B1071" s="1">
        <v>45631</v>
      </c>
      <c r="C1071">
        <v>1770</v>
      </c>
      <c r="D1071" t="s">
        <v>19</v>
      </c>
      <c r="E1071" t="s">
        <v>17</v>
      </c>
      <c r="F1071">
        <v>1</v>
      </c>
      <c r="G1071">
        <v>20.61</v>
      </c>
      <c r="H1071">
        <v>0.3</v>
      </c>
      <c r="I1071" t="s">
        <v>16</v>
      </c>
      <c r="J1071">
        <v>11</v>
      </c>
      <c r="K1071">
        <v>3.7</v>
      </c>
      <c r="L1071">
        <v>14.43</v>
      </c>
      <c r="M1071">
        <f>(Table1[[#This Row],[unit_price]]*Table1[[#This Row],[quantity]])-(Table1[[#This Row],[unit_price]]*Table1[[#This Row],[discount]]*Table1[[#This Row],[quantity]])</f>
        <v>14.427</v>
      </c>
      <c r="N1071">
        <f>DAY(Table1[[#This Row],[order_date]])</f>
        <v>5</v>
      </c>
      <c r="O1071" t="str">
        <f>TEXT(Table1[[#This Row],[order_date]],"mmm")</f>
        <v>Dec</v>
      </c>
      <c r="P1071">
        <f>YEAR(Table1[[#This Row],[order_date]])</f>
        <v>2024</v>
      </c>
    </row>
    <row r="1072" spans="1:16" x14ac:dyDescent="0.3">
      <c r="A1072">
        <v>11071</v>
      </c>
      <c r="B1072" s="1">
        <v>45632</v>
      </c>
      <c r="C1072">
        <v>1890</v>
      </c>
      <c r="D1072" t="s">
        <v>19</v>
      </c>
      <c r="E1072" t="s">
        <v>20</v>
      </c>
      <c r="F1072">
        <v>1</v>
      </c>
      <c r="G1072">
        <v>181.05</v>
      </c>
      <c r="H1072">
        <v>0.05</v>
      </c>
      <c r="I1072" t="s">
        <v>18</v>
      </c>
      <c r="J1072">
        <v>10</v>
      </c>
      <c r="K1072">
        <v>1.3</v>
      </c>
      <c r="L1072">
        <v>172</v>
      </c>
      <c r="M1072">
        <f>(Table1[[#This Row],[unit_price]]*Table1[[#This Row],[quantity]])-(Table1[[#This Row],[unit_price]]*Table1[[#This Row],[discount]]*Table1[[#This Row],[quantity]])</f>
        <v>171.9975</v>
      </c>
      <c r="N1072">
        <f>DAY(Table1[[#This Row],[order_date]])</f>
        <v>6</v>
      </c>
      <c r="O1072" t="str">
        <f>TEXT(Table1[[#This Row],[order_date]],"mmm")</f>
        <v>Dec</v>
      </c>
      <c r="P1072">
        <f>YEAR(Table1[[#This Row],[order_date]])</f>
        <v>2024</v>
      </c>
    </row>
    <row r="1073" spans="1:16" x14ac:dyDescent="0.3">
      <c r="A1073">
        <v>11072</v>
      </c>
      <c r="B1073" s="1">
        <v>45633</v>
      </c>
      <c r="C1073">
        <v>1305</v>
      </c>
      <c r="D1073" t="s">
        <v>19</v>
      </c>
      <c r="E1073" t="s">
        <v>20</v>
      </c>
      <c r="F1073">
        <v>3</v>
      </c>
      <c r="G1073">
        <v>84.79</v>
      </c>
      <c r="H1073">
        <v>0.15</v>
      </c>
      <c r="I1073" t="s">
        <v>16</v>
      </c>
      <c r="J1073">
        <v>1</v>
      </c>
      <c r="K1073">
        <v>1.2</v>
      </c>
      <c r="L1073">
        <v>216.21</v>
      </c>
      <c r="M1073">
        <f>(Table1[[#This Row],[unit_price]]*Table1[[#This Row],[quantity]])-(Table1[[#This Row],[unit_price]]*Table1[[#This Row],[discount]]*Table1[[#This Row],[quantity]])</f>
        <v>216.21449999999999</v>
      </c>
      <c r="N1073">
        <f>DAY(Table1[[#This Row],[order_date]])</f>
        <v>7</v>
      </c>
      <c r="O1073" t="str">
        <f>TEXT(Table1[[#This Row],[order_date]],"mmm")</f>
        <v>Dec</v>
      </c>
      <c r="P1073">
        <f>YEAR(Table1[[#This Row],[order_date]])</f>
        <v>2024</v>
      </c>
    </row>
    <row r="1074" spans="1:16" x14ac:dyDescent="0.3">
      <c r="A1074">
        <v>11073</v>
      </c>
      <c r="B1074" s="1">
        <v>45634</v>
      </c>
      <c r="C1074">
        <v>1267</v>
      </c>
      <c r="D1074" t="s">
        <v>12</v>
      </c>
      <c r="E1074" t="s">
        <v>17</v>
      </c>
      <c r="F1074">
        <v>5</v>
      </c>
      <c r="G1074">
        <v>75.14</v>
      </c>
      <c r="H1074">
        <v>0.03</v>
      </c>
      <c r="I1074" t="s">
        <v>16</v>
      </c>
      <c r="J1074">
        <v>7</v>
      </c>
      <c r="K1074">
        <v>4.5</v>
      </c>
      <c r="L1074">
        <v>364.43</v>
      </c>
      <c r="M1074">
        <f>(Table1[[#This Row],[unit_price]]*Table1[[#This Row],[quantity]])-(Table1[[#This Row],[unit_price]]*Table1[[#This Row],[discount]]*Table1[[#This Row],[quantity]])</f>
        <v>364.42899999999997</v>
      </c>
      <c r="N1074">
        <f>DAY(Table1[[#This Row],[order_date]])</f>
        <v>8</v>
      </c>
      <c r="O1074" t="str">
        <f>TEXT(Table1[[#This Row],[order_date]],"mmm")</f>
        <v>Dec</v>
      </c>
      <c r="P1074">
        <f>YEAR(Table1[[#This Row],[order_date]])</f>
        <v>2024</v>
      </c>
    </row>
    <row r="1075" spans="1:16" x14ac:dyDescent="0.3">
      <c r="A1075">
        <v>11074</v>
      </c>
      <c r="B1075" s="1">
        <v>45635</v>
      </c>
      <c r="C1075">
        <v>1960</v>
      </c>
      <c r="D1075" t="s">
        <v>15</v>
      </c>
      <c r="E1075" t="s">
        <v>13</v>
      </c>
      <c r="F1075">
        <v>7</v>
      </c>
      <c r="G1075">
        <v>60.33</v>
      </c>
      <c r="H1075">
        <v>0.14000000000000001</v>
      </c>
      <c r="I1075" t="s">
        <v>16</v>
      </c>
      <c r="J1075">
        <v>4</v>
      </c>
      <c r="K1075">
        <v>1.9</v>
      </c>
      <c r="L1075">
        <v>363.19</v>
      </c>
      <c r="M1075">
        <f>(Table1[[#This Row],[unit_price]]*Table1[[#This Row],[quantity]])-(Table1[[#This Row],[unit_price]]*Table1[[#This Row],[discount]]*Table1[[#This Row],[quantity]])</f>
        <v>363.1866</v>
      </c>
      <c r="N1075">
        <f>DAY(Table1[[#This Row],[order_date]])</f>
        <v>9</v>
      </c>
      <c r="O1075" t="str">
        <f>TEXT(Table1[[#This Row],[order_date]],"mmm")</f>
        <v>Dec</v>
      </c>
      <c r="P1075">
        <f>YEAR(Table1[[#This Row],[order_date]])</f>
        <v>2024</v>
      </c>
    </row>
    <row r="1076" spans="1:16" x14ac:dyDescent="0.3">
      <c r="A1076">
        <v>11075</v>
      </c>
      <c r="B1076" s="1">
        <v>45636</v>
      </c>
      <c r="C1076">
        <v>1053</v>
      </c>
      <c r="D1076" t="s">
        <v>15</v>
      </c>
      <c r="E1076" t="s">
        <v>17</v>
      </c>
      <c r="F1076">
        <v>6</v>
      </c>
      <c r="G1076">
        <v>362.06</v>
      </c>
      <c r="H1076">
        <v>0.01</v>
      </c>
      <c r="I1076" t="s">
        <v>16</v>
      </c>
      <c r="J1076">
        <v>6</v>
      </c>
      <c r="K1076">
        <v>3.3</v>
      </c>
      <c r="L1076">
        <v>2150.64</v>
      </c>
      <c r="M1076">
        <f>(Table1[[#This Row],[unit_price]]*Table1[[#This Row],[quantity]])-(Table1[[#This Row],[unit_price]]*Table1[[#This Row],[discount]]*Table1[[#This Row],[quantity]])</f>
        <v>2150.6364000000003</v>
      </c>
      <c r="N1076">
        <f>DAY(Table1[[#This Row],[order_date]])</f>
        <v>10</v>
      </c>
      <c r="O1076" t="str">
        <f>TEXT(Table1[[#This Row],[order_date]],"mmm")</f>
        <v>Dec</v>
      </c>
      <c r="P1076">
        <f>YEAR(Table1[[#This Row],[order_date]])</f>
        <v>2024</v>
      </c>
    </row>
    <row r="1077" spans="1:16" x14ac:dyDescent="0.3">
      <c r="A1077">
        <v>11076</v>
      </c>
      <c r="B1077" s="1">
        <v>45637</v>
      </c>
      <c r="C1077">
        <v>1235</v>
      </c>
      <c r="D1077" t="s">
        <v>22</v>
      </c>
      <c r="E1077" t="s">
        <v>21</v>
      </c>
      <c r="F1077">
        <v>1</v>
      </c>
      <c r="G1077">
        <v>125.77</v>
      </c>
      <c r="H1077">
        <v>0.31</v>
      </c>
      <c r="I1077" t="s">
        <v>16</v>
      </c>
      <c r="J1077">
        <v>8</v>
      </c>
      <c r="K1077">
        <v>3.5</v>
      </c>
      <c r="L1077">
        <v>86.78</v>
      </c>
      <c r="M1077">
        <f>(Table1[[#This Row],[unit_price]]*Table1[[#This Row],[quantity]])-(Table1[[#This Row],[unit_price]]*Table1[[#This Row],[discount]]*Table1[[#This Row],[quantity]])</f>
        <v>86.781299999999987</v>
      </c>
      <c r="N1077">
        <f>DAY(Table1[[#This Row],[order_date]])</f>
        <v>11</v>
      </c>
      <c r="O1077" t="str">
        <f>TEXT(Table1[[#This Row],[order_date]],"mmm")</f>
        <v>Dec</v>
      </c>
      <c r="P1077">
        <f>YEAR(Table1[[#This Row],[order_date]])</f>
        <v>2024</v>
      </c>
    </row>
    <row r="1078" spans="1:16" x14ac:dyDescent="0.3">
      <c r="A1078">
        <v>11077</v>
      </c>
      <c r="B1078" s="1">
        <v>45638</v>
      </c>
      <c r="C1078">
        <v>1388</v>
      </c>
      <c r="D1078" t="s">
        <v>19</v>
      </c>
      <c r="E1078" t="s">
        <v>13</v>
      </c>
      <c r="F1078">
        <v>1</v>
      </c>
      <c r="G1078">
        <v>226.33</v>
      </c>
      <c r="H1078">
        <v>0.18</v>
      </c>
      <c r="I1078" t="s">
        <v>14</v>
      </c>
      <c r="J1078">
        <v>11</v>
      </c>
      <c r="K1078">
        <v>1.7</v>
      </c>
      <c r="L1078">
        <v>185.59</v>
      </c>
      <c r="M1078">
        <f>(Table1[[#This Row],[unit_price]]*Table1[[#This Row],[quantity]])-(Table1[[#This Row],[unit_price]]*Table1[[#This Row],[discount]]*Table1[[#This Row],[quantity]])</f>
        <v>185.59059999999999</v>
      </c>
      <c r="N1078">
        <f>DAY(Table1[[#This Row],[order_date]])</f>
        <v>12</v>
      </c>
      <c r="O1078" t="str">
        <f>TEXT(Table1[[#This Row],[order_date]],"mmm")</f>
        <v>Dec</v>
      </c>
      <c r="P1078">
        <f>YEAR(Table1[[#This Row],[order_date]])</f>
        <v>2024</v>
      </c>
    </row>
    <row r="1079" spans="1:16" x14ac:dyDescent="0.3">
      <c r="A1079">
        <v>11078</v>
      </c>
      <c r="B1079" s="1">
        <v>45639</v>
      </c>
      <c r="C1079">
        <v>1989</v>
      </c>
      <c r="D1079" t="s">
        <v>15</v>
      </c>
      <c r="E1079" t="s">
        <v>20</v>
      </c>
      <c r="F1079">
        <v>6</v>
      </c>
      <c r="G1079">
        <v>519.28</v>
      </c>
      <c r="H1079">
        <v>0.3</v>
      </c>
      <c r="I1079" t="s">
        <v>16</v>
      </c>
      <c r="J1079">
        <v>7</v>
      </c>
      <c r="K1079">
        <v>4</v>
      </c>
      <c r="L1079">
        <v>2180.98</v>
      </c>
      <c r="M1079">
        <f>(Table1[[#This Row],[unit_price]]*Table1[[#This Row],[quantity]])-(Table1[[#This Row],[unit_price]]*Table1[[#This Row],[discount]]*Table1[[#This Row],[quantity]])</f>
        <v>2180.9759999999997</v>
      </c>
      <c r="N1079">
        <f>DAY(Table1[[#This Row],[order_date]])</f>
        <v>13</v>
      </c>
      <c r="O1079" t="str">
        <f>TEXT(Table1[[#This Row],[order_date]],"mmm")</f>
        <v>Dec</v>
      </c>
      <c r="P1079">
        <f>YEAR(Table1[[#This Row],[order_date]])</f>
        <v>2024</v>
      </c>
    </row>
    <row r="1080" spans="1:16" x14ac:dyDescent="0.3">
      <c r="A1080">
        <v>11079</v>
      </c>
      <c r="B1080" s="1">
        <v>45640</v>
      </c>
      <c r="C1080">
        <v>1733</v>
      </c>
      <c r="D1080" t="s">
        <v>15</v>
      </c>
      <c r="E1080" t="s">
        <v>13</v>
      </c>
      <c r="F1080">
        <v>2</v>
      </c>
      <c r="G1080">
        <v>263.24</v>
      </c>
      <c r="H1080">
        <v>0.02</v>
      </c>
      <c r="I1080" t="s">
        <v>14</v>
      </c>
      <c r="J1080">
        <v>7</v>
      </c>
      <c r="K1080">
        <v>4.5</v>
      </c>
      <c r="L1080">
        <v>515.95000000000005</v>
      </c>
      <c r="M1080">
        <f>(Table1[[#This Row],[unit_price]]*Table1[[#This Row],[quantity]])-(Table1[[#This Row],[unit_price]]*Table1[[#This Row],[discount]]*Table1[[#This Row],[quantity]])</f>
        <v>515.95040000000006</v>
      </c>
      <c r="N1080">
        <f>DAY(Table1[[#This Row],[order_date]])</f>
        <v>14</v>
      </c>
      <c r="O1080" t="str">
        <f>TEXT(Table1[[#This Row],[order_date]],"mmm")</f>
        <v>Dec</v>
      </c>
      <c r="P1080">
        <f>YEAR(Table1[[#This Row],[order_date]])</f>
        <v>2024</v>
      </c>
    </row>
    <row r="1081" spans="1:16" x14ac:dyDescent="0.3">
      <c r="A1081">
        <v>11080</v>
      </c>
      <c r="B1081" s="1">
        <v>45641</v>
      </c>
      <c r="C1081">
        <v>1762</v>
      </c>
      <c r="D1081" t="s">
        <v>15</v>
      </c>
      <c r="E1081" t="s">
        <v>13</v>
      </c>
      <c r="F1081">
        <v>6</v>
      </c>
      <c r="G1081">
        <v>550.67999999999995</v>
      </c>
      <c r="H1081">
        <v>0.08</v>
      </c>
      <c r="I1081" t="s">
        <v>16</v>
      </c>
      <c r="J1081">
        <v>6</v>
      </c>
      <c r="K1081">
        <v>2.1</v>
      </c>
      <c r="L1081">
        <v>3039.75</v>
      </c>
      <c r="M1081">
        <f>(Table1[[#This Row],[unit_price]]*Table1[[#This Row],[quantity]])-(Table1[[#This Row],[unit_price]]*Table1[[#This Row],[discount]]*Table1[[#This Row],[quantity]])</f>
        <v>3039.7536</v>
      </c>
      <c r="N1081">
        <f>DAY(Table1[[#This Row],[order_date]])</f>
        <v>15</v>
      </c>
      <c r="O1081" t="str">
        <f>TEXT(Table1[[#This Row],[order_date]],"mmm")</f>
        <v>Dec</v>
      </c>
      <c r="P1081">
        <f>YEAR(Table1[[#This Row],[order_date]])</f>
        <v>2024</v>
      </c>
    </row>
    <row r="1082" spans="1:16" x14ac:dyDescent="0.3">
      <c r="A1082">
        <v>11081</v>
      </c>
      <c r="B1082" s="1">
        <v>45642</v>
      </c>
      <c r="C1082">
        <v>1824</v>
      </c>
      <c r="D1082" t="s">
        <v>12</v>
      </c>
      <c r="E1082" t="s">
        <v>21</v>
      </c>
      <c r="F1082">
        <v>1</v>
      </c>
      <c r="G1082">
        <v>306.29000000000002</v>
      </c>
      <c r="H1082">
        <v>0.09</v>
      </c>
      <c r="I1082" t="s">
        <v>16</v>
      </c>
      <c r="J1082">
        <v>11</v>
      </c>
      <c r="K1082">
        <v>4.5</v>
      </c>
      <c r="L1082">
        <v>278.72000000000003</v>
      </c>
      <c r="M1082">
        <f>(Table1[[#This Row],[unit_price]]*Table1[[#This Row],[quantity]])-(Table1[[#This Row],[unit_price]]*Table1[[#This Row],[discount]]*Table1[[#This Row],[quantity]])</f>
        <v>278.72390000000001</v>
      </c>
      <c r="N1082">
        <f>DAY(Table1[[#This Row],[order_date]])</f>
        <v>16</v>
      </c>
      <c r="O1082" t="str">
        <f>TEXT(Table1[[#This Row],[order_date]],"mmm")</f>
        <v>Dec</v>
      </c>
      <c r="P1082">
        <f>YEAR(Table1[[#This Row],[order_date]])</f>
        <v>2024</v>
      </c>
    </row>
    <row r="1083" spans="1:16" x14ac:dyDescent="0.3">
      <c r="A1083">
        <v>11082</v>
      </c>
      <c r="B1083" s="1">
        <v>45643</v>
      </c>
      <c r="C1083">
        <v>1400</v>
      </c>
      <c r="D1083" t="s">
        <v>22</v>
      </c>
      <c r="E1083" t="s">
        <v>13</v>
      </c>
      <c r="F1083">
        <v>5</v>
      </c>
      <c r="G1083">
        <v>248.32</v>
      </c>
      <c r="H1083">
        <v>0.14000000000000001</v>
      </c>
      <c r="I1083" t="s">
        <v>16</v>
      </c>
      <c r="J1083">
        <v>4</v>
      </c>
      <c r="K1083">
        <v>1.3</v>
      </c>
      <c r="L1083">
        <v>1067.78</v>
      </c>
      <c r="M1083">
        <f>(Table1[[#This Row],[unit_price]]*Table1[[#This Row],[quantity]])-(Table1[[#This Row],[unit_price]]*Table1[[#This Row],[discount]]*Table1[[#This Row],[quantity]])</f>
        <v>1067.7759999999998</v>
      </c>
      <c r="N1083">
        <f>DAY(Table1[[#This Row],[order_date]])</f>
        <v>17</v>
      </c>
      <c r="O1083" t="str">
        <f>TEXT(Table1[[#This Row],[order_date]],"mmm")</f>
        <v>Dec</v>
      </c>
      <c r="P1083">
        <f>YEAR(Table1[[#This Row],[order_date]])</f>
        <v>2024</v>
      </c>
    </row>
    <row r="1084" spans="1:16" x14ac:dyDescent="0.3">
      <c r="A1084">
        <v>11083</v>
      </c>
      <c r="B1084" s="1">
        <v>45644</v>
      </c>
      <c r="C1084">
        <v>1623</v>
      </c>
      <c r="D1084" t="s">
        <v>15</v>
      </c>
      <c r="E1084" t="s">
        <v>13</v>
      </c>
      <c r="F1084">
        <v>2</v>
      </c>
      <c r="G1084">
        <v>453.98</v>
      </c>
      <c r="H1084">
        <v>0.28000000000000003</v>
      </c>
      <c r="I1084" t="s">
        <v>18</v>
      </c>
      <c r="J1084">
        <v>4</v>
      </c>
      <c r="K1084">
        <v>4.2</v>
      </c>
      <c r="L1084">
        <v>653.73</v>
      </c>
      <c r="M1084">
        <f>(Table1[[#This Row],[unit_price]]*Table1[[#This Row],[quantity]])-(Table1[[#This Row],[unit_price]]*Table1[[#This Row],[discount]]*Table1[[#This Row],[quantity]])</f>
        <v>653.73119999999994</v>
      </c>
      <c r="N1084">
        <f>DAY(Table1[[#This Row],[order_date]])</f>
        <v>18</v>
      </c>
      <c r="O1084" t="str">
        <f>TEXT(Table1[[#This Row],[order_date]],"mmm")</f>
        <v>Dec</v>
      </c>
      <c r="P1084">
        <f>YEAR(Table1[[#This Row],[order_date]])</f>
        <v>2024</v>
      </c>
    </row>
    <row r="1085" spans="1:16" x14ac:dyDescent="0.3">
      <c r="A1085">
        <v>11084</v>
      </c>
      <c r="B1085" s="1">
        <v>45645</v>
      </c>
      <c r="C1085">
        <v>1766</v>
      </c>
      <c r="D1085" t="s">
        <v>22</v>
      </c>
      <c r="E1085" t="s">
        <v>13</v>
      </c>
      <c r="F1085">
        <v>4</v>
      </c>
      <c r="G1085">
        <v>57.81</v>
      </c>
      <c r="H1085">
        <v>0.14000000000000001</v>
      </c>
      <c r="I1085" t="s">
        <v>18</v>
      </c>
      <c r="J1085">
        <v>9</v>
      </c>
      <c r="K1085">
        <v>3.6</v>
      </c>
      <c r="L1085">
        <v>198.87</v>
      </c>
      <c r="M1085">
        <f>(Table1[[#This Row],[unit_price]]*Table1[[#This Row],[quantity]])-(Table1[[#This Row],[unit_price]]*Table1[[#This Row],[discount]]*Table1[[#This Row],[quantity]])</f>
        <v>198.8664</v>
      </c>
      <c r="N1085">
        <f>DAY(Table1[[#This Row],[order_date]])</f>
        <v>19</v>
      </c>
      <c r="O1085" t="str">
        <f>TEXT(Table1[[#This Row],[order_date]],"mmm")</f>
        <v>Dec</v>
      </c>
      <c r="P1085">
        <f>YEAR(Table1[[#This Row],[order_date]])</f>
        <v>2024</v>
      </c>
    </row>
    <row r="1086" spans="1:16" x14ac:dyDescent="0.3">
      <c r="A1086">
        <v>11085</v>
      </c>
      <c r="B1086" s="1">
        <v>45646</v>
      </c>
      <c r="C1086">
        <v>1302</v>
      </c>
      <c r="D1086" t="s">
        <v>19</v>
      </c>
      <c r="E1086" t="s">
        <v>20</v>
      </c>
      <c r="F1086">
        <v>6</v>
      </c>
      <c r="G1086">
        <v>67.34</v>
      </c>
      <c r="H1086">
        <v>7.0000000000000007E-2</v>
      </c>
      <c r="I1086" t="s">
        <v>18</v>
      </c>
      <c r="J1086">
        <v>11</v>
      </c>
      <c r="K1086">
        <v>3.3</v>
      </c>
      <c r="L1086">
        <v>375.76</v>
      </c>
      <c r="M1086">
        <f>(Table1[[#This Row],[unit_price]]*Table1[[#This Row],[quantity]])-(Table1[[#This Row],[unit_price]]*Table1[[#This Row],[discount]]*Table1[[#This Row],[quantity]])</f>
        <v>375.75720000000001</v>
      </c>
      <c r="N1086">
        <f>DAY(Table1[[#This Row],[order_date]])</f>
        <v>20</v>
      </c>
      <c r="O1086" t="str">
        <f>TEXT(Table1[[#This Row],[order_date]],"mmm")</f>
        <v>Dec</v>
      </c>
      <c r="P1086">
        <f>YEAR(Table1[[#This Row],[order_date]])</f>
        <v>2024</v>
      </c>
    </row>
    <row r="1087" spans="1:16" x14ac:dyDescent="0.3">
      <c r="A1087">
        <v>11086</v>
      </c>
      <c r="B1087" s="1">
        <v>45647</v>
      </c>
      <c r="C1087">
        <v>1918</v>
      </c>
      <c r="D1087" t="s">
        <v>19</v>
      </c>
      <c r="E1087" t="s">
        <v>13</v>
      </c>
      <c r="F1087">
        <v>4</v>
      </c>
      <c r="G1087">
        <v>396.4</v>
      </c>
      <c r="H1087">
        <v>0.02</v>
      </c>
      <c r="I1087" t="s">
        <v>16</v>
      </c>
      <c r="J1087">
        <v>5</v>
      </c>
      <c r="K1087">
        <v>1.9</v>
      </c>
      <c r="L1087">
        <v>1553.89</v>
      </c>
      <c r="M1087">
        <f>(Table1[[#This Row],[unit_price]]*Table1[[#This Row],[quantity]])-(Table1[[#This Row],[unit_price]]*Table1[[#This Row],[discount]]*Table1[[#This Row],[quantity]])</f>
        <v>1553.8879999999999</v>
      </c>
      <c r="N1087">
        <f>DAY(Table1[[#This Row],[order_date]])</f>
        <v>21</v>
      </c>
      <c r="O1087" t="str">
        <f>TEXT(Table1[[#This Row],[order_date]],"mmm")</f>
        <v>Dec</v>
      </c>
      <c r="P1087">
        <f>YEAR(Table1[[#This Row],[order_date]])</f>
        <v>2024</v>
      </c>
    </row>
    <row r="1088" spans="1:16" x14ac:dyDescent="0.3">
      <c r="A1088">
        <v>11087</v>
      </c>
      <c r="B1088" s="1">
        <v>45648</v>
      </c>
      <c r="C1088">
        <v>1206</v>
      </c>
      <c r="D1088" t="s">
        <v>19</v>
      </c>
      <c r="E1088" t="s">
        <v>17</v>
      </c>
      <c r="F1088">
        <v>2</v>
      </c>
      <c r="G1088">
        <v>299.86</v>
      </c>
      <c r="H1088">
        <v>0.03</v>
      </c>
      <c r="I1088" t="s">
        <v>14</v>
      </c>
      <c r="J1088">
        <v>9</v>
      </c>
      <c r="K1088">
        <v>2.4</v>
      </c>
      <c r="L1088">
        <v>581.73</v>
      </c>
      <c r="M1088">
        <f>(Table1[[#This Row],[unit_price]]*Table1[[#This Row],[quantity]])-(Table1[[#This Row],[unit_price]]*Table1[[#This Row],[discount]]*Table1[[#This Row],[quantity]])</f>
        <v>581.72840000000008</v>
      </c>
      <c r="N1088">
        <f>DAY(Table1[[#This Row],[order_date]])</f>
        <v>22</v>
      </c>
      <c r="O1088" t="str">
        <f>TEXT(Table1[[#This Row],[order_date]],"mmm")</f>
        <v>Dec</v>
      </c>
      <c r="P1088">
        <f>YEAR(Table1[[#This Row],[order_date]])</f>
        <v>2024</v>
      </c>
    </row>
    <row r="1089" spans="1:16" x14ac:dyDescent="0.3">
      <c r="A1089">
        <v>11088</v>
      </c>
      <c r="B1089" s="1">
        <v>45649</v>
      </c>
      <c r="C1089">
        <v>1228</v>
      </c>
      <c r="D1089" t="s">
        <v>19</v>
      </c>
      <c r="E1089" t="s">
        <v>13</v>
      </c>
      <c r="F1089">
        <v>2</v>
      </c>
      <c r="G1089">
        <v>477.39</v>
      </c>
      <c r="H1089">
        <v>0.27</v>
      </c>
      <c r="I1089" t="s">
        <v>14</v>
      </c>
      <c r="J1089">
        <v>11</v>
      </c>
      <c r="K1089">
        <v>4.5999999999999996</v>
      </c>
      <c r="L1089">
        <v>696.99</v>
      </c>
      <c r="M1089">
        <f>(Table1[[#This Row],[unit_price]]*Table1[[#This Row],[quantity]])-(Table1[[#This Row],[unit_price]]*Table1[[#This Row],[discount]]*Table1[[#This Row],[quantity]])</f>
        <v>696.98939999999993</v>
      </c>
      <c r="N1089">
        <f>DAY(Table1[[#This Row],[order_date]])</f>
        <v>23</v>
      </c>
      <c r="O1089" t="str">
        <f>TEXT(Table1[[#This Row],[order_date]],"mmm")</f>
        <v>Dec</v>
      </c>
      <c r="P1089">
        <f>YEAR(Table1[[#This Row],[order_date]])</f>
        <v>2024</v>
      </c>
    </row>
    <row r="1090" spans="1:16" x14ac:dyDescent="0.3">
      <c r="A1090">
        <v>11089</v>
      </c>
      <c r="B1090" s="1">
        <v>45650</v>
      </c>
      <c r="C1090">
        <v>1852</v>
      </c>
      <c r="D1090" t="s">
        <v>15</v>
      </c>
      <c r="E1090" t="s">
        <v>21</v>
      </c>
      <c r="F1090">
        <v>2</v>
      </c>
      <c r="G1090">
        <v>551.02</v>
      </c>
      <c r="H1090">
        <v>0.16</v>
      </c>
      <c r="I1090" t="s">
        <v>16</v>
      </c>
      <c r="J1090">
        <v>9</v>
      </c>
      <c r="K1090">
        <v>2.9</v>
      </c>
      <c r="L1090">
        <v>925.71</v>
      </c>
      <c r="M1090">
        <f>(Table1[[#This Row],[unit_price]]*Table1[[#This Row],[quantity]])-(Table1[[#This Row],[unit_price]]*Table1[[#This Row],[discount]]*Table1[[#This Row],[quantity]])</f>
        <v>925.71359999999993</v>
      </c>
      <c r="N1090">
        <f>DAY(Table1[[#This Row],[order_date]])</f>
        <v>24</v>
      </c>
      <c r="O1090" t="str">
        <f>TEXT(Table1[[#This Row],[order_date]],"mmm")</f>
        <v>Dec</v>
      </c>
      <c r="P1090">
        <f>YEAR(Table1[[#This Row],[order_date]])</f>
        <v>2024</v>
      </c>
    </row>
    <row r="1091" spans="1:16" x14ac:dyDescent="0.3">
      <c r="A1091">
        <v>11090</v>
      </c>
      <c r="B1091" s="1">
        <v>45651</v>
      </c>
      <c r="C1091">
        <v>1909</v>
      </c>
      <c r="D1091" t="s">
        <v>15</v>
      </c>
      <c r="E1091" t="s">
        <v>13</v>
      </c>
      <c r="F1091">
        <v>3</v>
      </c>
      <c r="G1091">
        <v>242.19</v>
      </c>
      <c r="H1091">
        <v>0.25</v>
      </c>
      <c r="I1091" t="s">
        <v>18</v>
      </c>
      <c r="J1091">
        <v>4</v>
      </c>
      <c r="K1091">
        <v>3.4</v>
      </c>
      <c r="L1091">
        <v>544.92999999999995</v>
      </c>
      <c r="M1091">
        <f>(Table1[[#This Row],[unit_price]]*Table1[[#This Row],[quantity]])-(Table1[[#This Row],[unit_price]]*Table1[[#This Row],[discount]]*Table1[[#This Row],[quantity]])</f>
        <v>544.92750000000001</v>
      </c>
      <c r="N1091">
        <f>DAY(Table1[[#This Row],[order_date]])</f>
        <v>25</v>
      </c>
      <c r="O1091" t="str">
        <f>TEXT(Table1[[#This Row],[order_date]],"mmm")</f>
        <v>Dec</v>
      </c>
      <c r="P1091">
        <f>YEAR(Table1[[#This Row],[order_date]])</f>
        <v>2024</v>
      </c>
    </row>
    <row r="1092" spans="1:16" x14ac:dyDescent="0.3">
      <c r="A1092">
        <v>11091</v>
      </c>
      <c r="B1092" s="1">
        <v>45652</v>
      </c>
      <c r="C1092">
        <v>1577</v>
      </c>
      <c r="D1092" t="s">
        <v>12</v>
      </c>
      <c r="E1092" t="s">
        <v>13</v>
      </c>
      <c r="F1092">
        <v>6</v>
      </c>
      <c r="G1092">
        <v>363.9</v>
      </c>
      <c r="H1092">
        <v>0.24</v>
      </c>
      <c r="I1092" t="s">
        <v>18</v>
      </c>
      <c r="J1092">
        <v>2</v>
      </c>
      <c r="K1092">
        <v>4.7</v>
      </c>
      <c r="L1092">
        <v>1659.38</v>
      </c>
      <c r="M1092">
        <f>(Table1[[#This Row],[unit_price]]*Table1[[#This Row],[quantity]])-(Table1[[#This Row],[unit_price]]*Table1[[#This Row],[discount]]*Table1[[#This Row],[quantity]])</f>
        <v>1659.3839999999998</v>
      </c>
      <c r="N1092">
        <f>DAY(Table1[[#This Row],[order_date]])</f>
        <v>26</v>
      </c>
      <c r="O1092" t="str">
        <f>TEXT(Table1[[#This Row],[order_date]],"mmm")</f>
        <v>Dec</v>
      </c>
      <c r="P1092">
        <f>YEAR(Table1[[#This Row],[order_date]])</f>
        <v>2024</v>
      </c>
    </row>
    <row r="1093" spans="1:16" x14ac:dyDescent="0.3">
      <c r="A1093">
        <v>11092</v>
      </c>
      <c r="B1093" s="1">
        <v>45653</v>
      </c>
      <c r="C1093">
        <v>1074</v>
      </c>
      <c r="D1093" t="s">
        <v>15</v>
      </c>
      <c r="E1093" t="s">
        <v>20</v>
      </c>
      <c r="F1093">
        <v>7</v>
      </c>
      <c r="G1093">
        <v>307.91000000000003</v>
      </c>
      <c r="H1093">
        <v>0.05</v>
      </c>
      <c r="I1093" t="s">
        <v>16</v>
      </c>
      <c r="J1093">
        <v>2</v>
      </c>
      <c r="K1093">
        <v>2.9</v>
      </c>
      <c r="L1093">
        <v>2047.6</v>
      </c>
      <c r="M1093">
        <f>(Table1[[#This Row],[unit_price]]*Table1[[#This Row],[quantity]])-(Table1[[#This Row],[unit_price]]*Table1[[#This Row],[discount]]*Table1[[#This Row],[quantity]])</f>
        <v>2047.6015000000002</v>
      </c>
      <c r="N1093">
        <f>DAY(Table1[[#This Row],[order_date]])</f>
        <v>27</v>
      </c>
      <c r="O1093" t="str">
        <f>TEXT(Table1[[#This Row],[order_date]],"mmm")</f>
        <v>Dec</v>
      </c>
      <c r="P1093">
        <f>YEAR(Table1[[#This Row],[order_date]])</f>
        <v>2024</v>
      </c>
    </row>
    <row r="1094" spans="1:16" x14ac:dyDescent="0.3">
      <c r="A1094">
        <v>11093</v>
      </c>
      <c r="B1094" s="1">
        <v>45654</v>
      </c>
      <c r="C1094">
        <v>1434</v>
      </c>
      <c r="D1094" t="s">
        <v>15</v>
      </c>
      <c r="E1094" t="s">
        <v>17</v>
      </c>
      <c r="F1094">
        <v>5</v>
      </c>
      <c r="G1094">
        <v>589.24</v>
      </c>
      <c r="H1094">
        <v>0.05</v>
      </c>
      <c r="I1094" t="s">
        <v>16</v>
      </c>
      <c r="J1094">
        <v>9</v>
      </c>
      <c r="K1094">
        <v>2.6</v>
      </c>
      <c r="L1094">
        <v>2798.89</v>
      </c>
      <c r="M1094">
        <f>(Table1[[#This Row],[unit_price]]*Table1[[#This Row],[quantity]])-(Table1[[#This Row],[unit_price]]*Table1[[#This Row],[discount]]*Table1[[#This Row],[quantity]])</f>
        <v>2798.89</v>
      </c>
      <c r="N1094">
        <f>DAY(Table1[[#This Row],[order_date]])</f>
        <v>28</v>
      </c>
      <c r="O1094" t="str">
        <f>TEXT(Table1[[#This Row],[order_date]],"mmm")</f>
        <v>Dec</v>
      </c>
      <c r="P1094">
        <f>YEAR(Table1[[#This Row],[order_date]])</f>
        <v>2024</v>
      </c>
    </row>
    <row r="1095" spans="1:16" x14ac:dyDescent="0.3">
      <c r="A1095">
        <v>11094</v>
      </c>
      <c r="B1095" s="1">
        <v>45655</v>
      </c>
      <c r="C1095">
        <v>1102</v>
      </c>
      <c r="D1095" t="s">
        <v>19</v>
      </c>
      <c r="E1095" t="s">
        <v>13</v>
      </c>
      <c r="F1095">
        <v>5</v>
      </c>
      <c r="G1095">
        <v>501.18</v>
      </c>
      <c r="H1095">
        <v>0.26</v>
      </c>
      <c r="I1095" t="s">
        <v>18</v>
      </c>
      <c r="J1095">
        <v>9</v>
      </c>
      <c r="K1095">
        <v>4.5999999999999996</v>
      </c>
      <c r="L1095">
        <v>1854.37</v>
      </c>
      <c r="M1095">
        <f>(Table1[[#This Row],[unit_price]]*Table1[[#This Row],[quantity]])-(Table1[[#This Row],[unit_price]]*Table1[[#This Row],[discount]]*Table1[[#This Row],[quantity]])</f>
        <v>1854.366</v>
      </c>
      <c r="N1095">
        <f>DAY(Table1[[#This Row],[order_date]])</f>
        <v>29</v>
      </c>
      <c r="O1095" t="str">
        <f>TEXT(Table1[[#This Row],[order_date]],"mmm")</f>
        <v>Dec</v>
      </c>
      <c r="P1095">
        <f>YEAR(Table1[[#This Row],[order_date]])</f>
        <v>2024</v>
      </c>
    </row>
    <row r="1096" spans="1:16" x14ac:dyDescent="0.3">
      <c r="A1096">
        <v>11095</v>
      </c>
      <c r="B1096" s="1">
        <v>45656</v>
      </c>
      <c r="C1096">
        <v>1421</v>
      </c>
      <c r="D1096" t="s">
        <v>19</v>
      </c>
      <c r="E1096" t="s">
        <v>17</v>
      </c>
      <c r="F1096">
        <v>4</v>
      </c>
      <c r="G1096">
        <v>548.37</v>
      </c>
      <c r="H1096">
        <v>0.25</v>
      </c>
      <c r="I1096" t="s">
        <v>14</v>
      </c>
      <c r="J1096">
        <v>3</v>
      </c>
      <c r="K1096">
        <v>4.5999999999999996</v>
      </c>
      <c r="L1096">
        <v>1645.11</v>
      </c>
      <c r="M1096">
        <f>(Table1[[#This Row],[unit_price]]*Table1[[#This Row],[quantity]])-(Table1[[#This Row],[unit_price]]*Table1[[#This Row],[discount]]*Table1[[#This Row],[quantity]])</f>
        <v>1645.1100000000001</v>
      </c>
      <c r="N1096">
        <f>DAY(Table1[[#This Row],[order_date]])</f>
        <v>30</v>
      </c>
      <c r="O1096" t="str">
        <f>TEXT(Table1[[#This Row],[order_date]],"mmm")</f>
        <v>Dec</v>
      </c>
      <c r="P1096">
        <f>YEAR(Table1[[#This Row],[order_date]])</f>
        <v>2024</v>
      </c>
    </row>
    <row r="1097" spans="1:16" x14ac:dyDescent="0.3">
      <c r="A1097">
        <v>11096</v>
      </c>
      <c r="B1097" s="1">
        <v>45657</v>
      </c>
      <c r="C1097">
        <v>1703</v>
      </c>
      <c r="D1097" t="s">
        <v>15</v>
      </c>
      <c r="E1097" t="s">
        <v>21</v>
      </c>
      <c r="F1097">
        <v>4</v>
      </c>
      <c r="G1097">
        <v>163.79</v>
      </c>
      <c r="H1097">
        <v>0.13</v>
      </c>
      <c r="I1097" t="s">
        <v>16</v>
      </c>
      <c r="J1097">
        <v>5</v>
      </c>
      <c r="K1097">
        <v>2.4</v>
      </c>
      <c r="L1097">
        <v>569.99</v>
      </c>
      <c r="M1097">
        <f>(Table1[[#This Row],[unit_price]]*Table1[[#This Row],[quantity]])-(Table1[[#This Row],[unit_price]]*Table1[[#This Row],[discount]]*Table1[[#This Row],[quantity]])</f>
        <v>569.98919999999998</v>
      </c>
      <c r="N1097">
        <f>DAY(Table1[[#This Row],[order_date]])</f>
        <v>31</v>
      </c>
      <c r="O1097" t="str">
        <f>TEXT(Table1[[#This Row],[order_date]],"mmm")</f>
        <v>Dec</v>
      </c>
      <c r="P1097">
        <f>YEAR(Table1[[#This Row],[order_date]])</f>
        <v>2024</v>
      </c>
    </row>
    <row r="1098" spans="1:16" x14ac:dyDescent="0.3">
      <c r="A1098">
        <v>11097</v>
      </c>
      <c r="B1098" s="1">
        <v>45658</v>
      </c>
      <c r="C1098">
        <v>1763</v>
      </c>
      <c r="D1098" t="s">
        <v>15</v>
      </c>
      <c r="E1098" t="s">
        <v>20</v>
      </c>
      <c r="F1098">
        <v>7</v>
      </c>
      <c r="G1098">
        <v>466.93</v>
      </c>
      <c r="H1098">
        <v>0.03</v>
      </c>
      <c r="I1098" t="s">
        <v>18</v>
      </c>
      <c r="J1098">
        <v>5</v>
      </c>
      <c r="K1098">
        <v>3.4</v>
      </c>
      <c r="L1098">
        <v>3170.45</v>
      </c>
      <c r="M1098">
        <f>(Table1[[#This Row],[unit_price]]*Table1[[#This Row],[quantity]])-(Table1[[#This Row],[unit_price]]*Table1[[#This Row],[discount]]*Table1[[#This Row],[quantity]])</f>
        <v>3170.4547000000002</v>
      </c>
      <c r="N1098">
        <f>DAY(Table1[[#This Row],[order_date]])</f>
        <v>1</v>
      </c>
      <c r="O1098" t="str">
        <f>TEXT(Table1[[#This Row],[order_date]],"mmm")</f>
        <v>Jan</v>
      </c>
      <c r="P1098">
        <f>YEAR(Table1[[#This Row],[order_date]])</f>
        <v>2025</v>
      </c>
    </row>
    <row r="1099" spans="1:16" x14ac:dyDescent="0.3">
      <c r="A1099">
        <v>11098</v>
      </c>
      <c r="B1099" s="1">
        <v>45659</v>
      </c>
      <c r="C1099">
        <v>1737</v>
      </c>
      <c r="D1099" t="s">
        <v>22</v>
      </c>
      <c r="E1099" t="s">
        <v>17</v>
      </c>
      <c r="F1099">
        <v>4</v>
      </c>
      <c r="G1099">
        <v>170.3</v>
      </c>
      <c r="H1099">
        <v>0</v>
      </c>
      <c r="I1099" t="s">
        <v>14</v>
      </c>
      <c r="J1099">
        <v>2</v>
      </c>
      <c r="K1099">
        <v>4.9000000000000004</v>
      </c>
      <c r="L1099">
        <v>681.2</v>
      </c>
      <c r="M1099">
        <f>(Table1[[#This Row],[unit_price]]*Table1[[#This Row],[quantity]])-(Table1[[#This Row],[unit_price]]*Table1[[#This Row],[discount]]*Table1[[#This Row],[quantity]])</f>
        <v>681.2</v>
      </c>
      <c r="N1099">
        <f>DAY(Table1[[#This Row],[order_date]])</f>
        <v>2</v>
      </c>
      <c r="O1099" t="str">
        <f>TEXT(Table1[[#This Row],[order_date]],"mmm")</f>
        <v>Jan</v>
      </c>
      <c r="P1099">
        <f>YEAR(Table1[[#This Row],[order_date]])</f>
        <v>2025</v>
      </c>
    </row>
    <row r="1100" spans="1:16" x14ac:dyDescent="0.3">
      <c r="A1100">
        <v>11099</v>
      </c>
      <c r="B1100" s="1">
        <v>45660</v>
      </c>
      <c r="C1100">
        <v>1805</v>
      </c>
      <c r="D1100" t="s">
        <v>19</v>
      </c>
      <c r="E1100" t="s">
        <v>20</v>
      </c>
      <c r="F1100">
        <v>6</v>
      </c>
      <c r="G1100">
        <v>137.11000000000001</v>
      </c>
      <c r="H1100">
        <v>0.1</v>
      </c>
      <c r="I1100" t="s">
        <v>16</v>
      </c>
      <c r="J1100">
        <v>2</v>
      </c>
      <c r="K1100">
        <v>1.2</v>
      </c>
      <c r="L1100">
        <v>740.39</v>
      </c>
      <c r="M1100">
        <f>(Table1[[#This Row],[unit_price]]*Table1[[#This Row],[quantity]])-(Table1[[#This Row],[unit_price]]*Table1[[#This Row],[discount]]*Table1[[#This Row],[quantity]])</f>
        <v>740.39400000000001</v>
      </c>
      <c r="N1100">
        <f>DAY(Table1[[#This Row],[order_date]])</f>
        <v>3</v>
      </c>
      <c r="O1100" t="str">
        <f>TEXT(Table1[[#This Row],[order_date]],"mmm")</f>
        <v>Jan</v>
      </c>
      <c r="P1100">
        <f>YEAR(Table1[[#This Row],[order_date]])</f>
        <v>2025</v>
      </c>
    </row>
    <row r="1101" spans="1:16" x14ac:dyDescent="0.3">
      <c r="A1101">
        <v>11100</v>
      </c>
      <c r="B1101" s="1">
        <v>45661</v>
      </c>
      <c r="C1101">
        <v>1305</v>
      </c>
      <c r="D1101" t="s">
        <v>19</v>
      </c>
      <c r="E1101" t="s">
        <v>13</v>
      </c>
      <c r="F1101">
        <v>1</v>
      </c>
      <c r="G1101">
        <v>567.4</v>
      </c>
      <c r="H1101">
        <v>0</v>
      </c>
      <c r="I1101" t="s">
        <v>16</v>
      </c>
      <c r="J1101">
        <v>10</v>
      </c>
      <c r="K1101">
        <v>1.2</v>
      </c>
      <c r="L1101">
        <v>567.4</v>
      </c>
      <c r="M1101">
        <f>(Table1[[#This Row],[unit_price]]*Table1[[#This Row],[quantity]])-(Table1[[#This Row],[unit_price]]*Table1[[#This Row],[discount]]*Table1[[#This Row],[quantity]])</f>
        <v>567.4</v>
      </c>
      <c r="N1101">
        <f>DAY(Table1[[#This Row],[order_date]])</f>
        <v>4</v>
      </c>
      <c r="O1101" t="str">
        <f>TEXT(Table1[[#This Row],[order_date]],"mmm")</f>
        <v>Jan</v>
      </c>
      <c r="P1101">
        <f>YEAR(Table1[[#This Row],[order_date]])</f>
        <v>2025</v>
      </c>
    </row>
    <row r="1102" spans="1:16" x14ac:dyDescent="0.3">
      <c r="A1102">
        <v>11101</v>
      </c>
      <c r="B1102" s="1">
        <v>45662</v>
      </c>
      <c r="C1102">
        <v>1097</v>
      </c>
      <c r="D1102" t="s">
        <v>15</v>
      </c>
      <c r="E1102" t="s">
        <v>21</v>
      </c>
      <c r="F1102">
        <v>4</v>
      </c>
      <c r="G1102">
        <v>26.29</v>
      </c>
      <c r="H1102">
        <v>0.08</v>
      </c>
      <c r="I1102" t="s">
        <v>18</v>
      </c>
      <c r="J1102">
        <v>1</v>
      </c>
      <c r="K1102">
        <v>3.1</v>
      </c>
      <c r="L1102">
        <v>96.75</v>
      </c>
      <c r="M1102">
        <f>(Table1[[#This Row],[unit_price]]*Table1[[#This Row],[quantity]])-(Table1[[#This Row],[unit_price]]*Table1[[#This Row],[discount]]*Table1[[#This Row],[quantity]])</f>
        <v>96.747199999999992</v>
      </c>
      <c r="N1102">
        <f>DAY(Table1[[#This Row],[order_date]])</f>
        <v>5</v>
      </c>
      <c r="O1102" t="str">
        <f>TEXT(Table1[[#This Row],[order_date]],"mmm")</f>
        <v>Jan</v>
      </c>
      <c r="P1102">
        <f>YEAR(Table1[[#This Row],[order_date]])</f>
        <v>2025</v>
      </c>
    </row>
    <row r="1103" spans="1:16" x14ac:dyDescent="0.3">
      <c r="A1103">
        <v>11102</v>
      </c>
      <c r="B1103" s="1">
        <v>45663</v>
      </c>
      <c r="C1103">
        <v>1849</v>
      </c>
      <c r="D1103" t="s">
        <v>19</v>
      </c>
      <c r="E1103" t="s">
        <v>20</v>
      </c>
      <c r="F1103">
        <v>2</v>
      </c>
      <c r="G1103">
        <v>579.75</v>
      </c>
      <c r="H1103">
        <v>0.15</v>
      </c>
      <c r="I1103" t="s">
        <v>16</v>
      </c>
      <c r="J1103">
        <v>2</v>
      </c>
      <c r="K1103">
        <v>2.2000000000000002</v>
      </c>
      <c r="L1103">
        <v>985.58</v>
      </c>
      <c r="M1103">
        <f>(Table1[[#This Row],[unit_price]]*Table1[[#This Row],[quantity]])-(Table1[[#This Row],[unit_price]]*Table1[[#This Row],[discount]]*Table1[[#This Row],[quantity]])</f>
        <v>985.57500000000005</v>
      </c>
      <c r="N1103">
        <f>DAY(Table1[[#This Row],[order_date]])</f>
        <v>6</v>
      </c>
      <c r="O1103" t="str">
        <f>TEXT(Table1[[#This Row],[order_date]],"mmm")</f>
        <v>Jan</v>
      </c>
      <c r="P1103">
        <f>YEAR(Table1[[#This Row],[order_date]])</f>
        <v>2025</v>
      </c>
    </row>
    <row r="1104" spans="1:16" x14ac:dyDescent="0.3">
      <c r="A1104">
        <v>11103</v>
      </c>
      <c r="B1104" s="1">
        <v>45664</v>
      </c>
      <c r="C1104">
        <v>1797</v>
      </c>
      <c r="D1104" t="s">
        <v>19</v>
      </c>
      <c r="E1104" t="s">
        <v>13</v>
      </c>
      <c r="F1104">
        <v>4</v>
      </c>
      <c r="G1104">
        <v>102.32</v>
      </c>
      <c r="H1104">
        <v>0.04</v>
      </c>
      <c r="I1104" t="s">
        <v>16</v>
      </c>
      <c r="J1104">
        <v>11</v>
      </c>
      <c r="K1104">
        <v>3.3</v>
      </c>
      <c r="L1104">
        <v>392.91</v>
      </c>
      <c r="M1104">
        <f>(Table1[[#This Row],[unit_price]]*Table1[[#This Row],[quantity]])-(Table1[[#This Row],[unit_price]]*Table1[[#This Row],[discount]]*Table1[[#This Row],[quantity]])</f>
        <v>392.90879999999999</v>
      </c>
      <c r="N1104">
        <f>DAY(Table1[[#This Row],[order_date]])</f>
        <v>7</v>
      </c>
      <c r="O1104" t="str">
        <f>TEXT(Table1[[#This Row],[order_date]],"mmm")</f>
        <v>Jan</v>
      </c>
      <c r="P1104">
        <f>YEAR(Table1[[#This Row],[order_date]])</f>
        <v>2025</v>
      </c>
    </row>
    <row r="1105" spans="1:16" x14ac:dyDescent="0.3">
      <c r="A1105">
        <v>11104</v>
      </c>
      <c r="B1105" s="1">
        <v>45665</v>
      </c>
      <c r="C1105">
        <v>1334</v>
      </c>
      <c r="D1105" t="s">
        <v>22</v>
      </c>
      <c r="E1105" t="s">
        <v>17</v>
      </c>
      <c r="F1105">
        <v>2</v>
      </c>
      <c r="G1105">
        <v>494.37</v>
      </c>
      <c r="H1105">
        <v>0.04</v>
      </c>
      <c r="I1105" t="s">
        <v>16</v>
      </c>
      <c r="J1105">
        <v>7</v>
      </c>
      <c r="K1105">
        <v>3.9</v>
      </c>
      <c r="L1105">
        <v>949.19</v>
      </c>
      <c r="M1105">
        <f>(Table1[[#This Row],[unit_price]]*Table1[[#This Row],[quantity]])-(Table1[[#This Row],[unit_price]]*Table1[[#This Row],[discount]]*Table1[[#This Row],[quantity]])</f>
        <v>949.19039999999995</v>
      </c>
      <c r="N1105">
        <f>DAY(Table1[[#This Row],[order_date]])</f>
        <v>8</v>
      </c>
      <c r="O1105" t="str">
        <f>TEXT(Table1[[#This Row],[order_date]],"mmm")</f>
        <v>Jan</v>
      </c>
      <c r="P1105">
        <f>YEAR(Table1[[#This Row],[order_date]])</f>
        <v>2025</v>
      </c>
    </row>
    <row r="1106" spans="1:16" x14ac:dyDescent="0.3">
      <c r="A1106">
        <v>11105</v>
      </c>
      <c r="B1106" s="1">
        <v>45666</v>
      </c>
      <c r="C1106">
        <v>1858</v>
      </c>
      <c r="D1106" t="s">
        <v>19</v>
      </c>
      <c r="E1106" t="s">
        <v>21</v>
      </c>
      <c r="F1106">
        <v>3</v>
      </c>
      <c r="G1106">
        <v>176.41</v>
      </c>
      <c r="H1106">
        <v>0.31</v>
      </c>
      <c r="I1106" t="s">
        <v>16</v>
      </c>
      <c r="J1106">
        <v>1</v>
      </c>
      <c r="K1106">
        <v>1.3</v>
      </c>
      <c r="L1106">
        <v>365.17</v>
      </c>
      <c r="M1106">
        <f>(Table1[[#This Row],[unit_price]]*Table1[[#This Row],[quantity]])-(Table1[[#This Row],[unit_price]]*Table1[[#This Row],[discount]]*Table1[[#This Row],[quantity]])</f>
        <v>365.1687</v>
      </c>
      <c r="N1106">
        <f>DAY(Table1[[#This Row],[order_date]])</f>
        <v>9</v>
      </c>
      <c r="O1106" t="str">
        <f>TEXT(Table1[[#This Row],[order_date]],"mmm")</f>
        <v>Jan</v>
      </c>
      <c r="P1106">
        <f>YEAR(Table1[[#This Row],[order_date]])</f>
        <v>2025</v>
      </c>
    </row>
    <row r="1107" spans="1:16" x14ac:dyDescent="0.3">
      <c r="A1107">
        <v>11106</v>
      </c>
      <c r="B1107" s="1">
        <v>45667</v>
      </c>
      <c r="C1107">
        <v>1434</v>
      </c>
      <c r="D1107" t="s">
        <v>15</v>
      </c>
      <c r="E1107" t="s">
        <v>21</v>
      </c>
      <c r="F1107">
        <v>1</v>
      </c>
      <c r="G1107">
        <v>220.16</v>
      </c>
      <c r="H1107">
        <v>0.2</v>
      </c>
      <c r="I1107" t="s">
        <v>14</v>
      </c>
      <c r="J1107">
        <v>1</v>
      </c>
      <c r="K1107">
        <v>4.5</v>
      </c>
      <c r="L1107">
        <v>176.13</v>
      </c>
      <c r="M1107">
        <f>(Table1[[#This Row],[unit_price]]*Table1[[#This Row],[quantity]])-(Table1[[#This Row],[unit_price]]*Table1[[#This Row],[discount]]*Table1[[#This Row],[quantity]])</f>
        <v>176.12799999999999</v>
      </c>
      <c r="N1107">
        <f>DAY(Table1[[#This Row],[order_date]])</f>
        <v>10</v>
      </c>
      <c r="O1107" t="str">
        <f>TEXT(Table1[[#This Row],[order_date]],"mmm")</f>
        <v>Jan</v>
      </c>
      <c r="P1107">
        <f>YEAR(Table1[[#This Row],[order_date]])</f>
        <v>2025</v>
      </c>
    </row>
    <row r="1108" spans="1:16" x14ac:dyDescent="0.3">
      <c r="A1108">
        <v>11107</v>
      </c>
      <c r="B1108" s="1">
        <v>45668</v>
      </c>
      <c r="C1108">
        <v>1446</v>
      </c>
      <c r="D1108" t="s">
        <v>19</v>
      </c>
      <c r="E1108" t="s">
        <v>17</v>
      </c>
      <c r="F1108">
        <v>1</v>
      </c>
      <c r="G1108">
        <v>141.80000000000001</v>
      </c>
      <c r="H1108">
        <v>0.33</v>
      </c>
      <c r="I1108" t="s">
        <v>18</v>
      </c>
      <c r="J1108">
        <v>9</v>
      </c>
      <c r="K1108">
        <v>2.1</v>
      </c>
      <c r="L1108">
        <v>95.01</v>
      </c>
      <c r="M1108">
        <f>(Table1[[#This Row],[unit_price]]*Table1[[#This Row],[quantity]])-(Table1[[#This Row],[unit_price]]*Table1[[#This Row],[discount]]*Table1[[#This Row],[quantity]])</f>
        <v>95.006</v>
      </c>
      <c r="N1108">
        <f>DAY(Table1[[#This Row],[order_date]])</f>
        <v>11</v>
      </c>
      <c r="O1108" t="str">
        <f>TEXT(Table1[[#This Row],[order_date]],"mmm")</f>
        <v>Jan</v>
      </c>
      <c r="P1108">
        <f>YEAR(Table1[[#This Row],[order_date]])</f>
        <v>2025</v>
      </c>
    </row>
    <row r="1109" spans="1:16" x14ac:dyDescent="0.3">
      <c r="A1109">
        <v>11108</v>
      </c>
      <c r="B1109" s="1">
        <v>45669</v>
      </c>
      <c r="C1109">
        <v>1993</v>
      </c>
      <c r="D1109" t="s">
        <v>19</v>
      </c>
      <c r="E1109" t="s">
        <v>17</v>
      </c>
      <c r="F1109">
        <v>7</v>
      </c>
      <c r="G1109">
        <v>357.53</v>
      </c>
      <c r="H1109">
        <v>0.12</v>
      </c>
      <c r="I1109" t="s">
        <v>16</v>
      </c>
      <c r="J1109">
        <v>2</v>
      </c>
      <c r="K1109">
        <v>2.5</v>
      </c>
      <c r="L1109">
        <v>2202.38</v>
      </c>
      <c r="M1109">
        <f>(Table1[[#This Row],[unit_price]]*Table1[[#This Row],[quantity]])-(Table1[[#This Row],[unit_price]]*Table1[[#This Row],[discount]]*Table1[[#This Row],[quantity]])</f>
        <v>2202.3847999999998</v>
      </c>
      <c r="N1109">
        <f>DAY(Table1[[#This Row],[order_date]])</f>
        <v>12</v>
      </c>
      <c r="O1109" t="str">
        <f>TEXT(Table1[[#This Row],[order_date]],"mmm")</f>
        <v>Jan</v>
      </c>
      <c r="P1109">
        <f>YEAR(Table1[[#This Row],[order_date]])</f>
        <v>2025</v>
      </c>
    </row>
    <row r="1110" spans="1:16" x14ac:dyDescent="0.3">
      <c r="A1110">
        <v>11109</v>
      </c>
      <c r="B1110" s="1">
        <v>45670</v>
      </c>
      <c r="C1110">
        <v>1307</v>
      </c>
      <c r="D1110" t="s">
        <v>15</v>
      </c>
      <c r="E1110" t="s">
        <v>21</v>
      </c>
      <c r="F1110">
        <v>6</v>
      </c>
      <c r="G1110">
        <v>218.64</v>
      </c>
      <c r="H1110">
        <v>0.24</v>
      </c>
      <c r="I1110" t="s">
        <v>18</v>
      </c>
      <c r="J1110">
        <v>11</v>
      </c>
      <c r="K1110">
        <v>2.2999999999999998</v>
      </c>
      <c r="L1110">
        <v>997</v>
      </c>
      <c r="M1110">
        <f>(Table1[[#This Row],[unit_price]]*Table1[[#This Row],[quantity]])-(Table1[[#This Row],[unit_price]]*Table1[[#This Row],[discount]]*Table1[[#This Row],[quantity]])</f>
        <v>996.99839999999995</v>
      </c>
      <c r="N1110">
        <f>DAY(Table1[[#This Row],[order_date]])</f>
        <v>13</v>
      </c>
      <c r="O1110" t="str">
        <f>TEXT(Table1[[#This Row],[order_date]],"mmm")</f>
        <v>Jan</v>
      </c>
      <c r="P1110">
        <f>YEAR(Table1[[#This Row],[order_date]])</f>
        <v>2025</v>
      </c>
    </row>
    <row r="1111" spans="1:16" x14ac:dyDescent="0.3">
      <c r="A1111">
        <v>11110</v>
      </c>
      <c r="B1111" s="1">
        <v>45671</v>
      </c>
      <c r="C1111">
        <v>1248</v>
      </c>
      <c r="D1111" t="s">
        <v>22</v>
      </c>
      <c r="E1111" t="s">
        <v>20</v>
      </c>
      <c r="F1111">
        <v>6</v>
      </c>
      <c r="G1111">
        <v>399.57</v>
      </c>
      <c r="H1111">
        <v>7.0000000000000007E-2</v>
      </c>
      <c r="I1111" t="s">
        <v>14</v>
      </c>
      <c r="J1111">
        <v>4</v>
      </c>
      <c r="K1111">
        <v>4.4000000000000004</v>
      </c>
      <c r="L1111">
        <v>2229.6</v>
      </c>
      <c r="M1111">
        <f>(Table1[[#This Row],[unit_price]]*Table1[[#This Row],[quantity]])-(Table1[[#This Row],[unit_price]]*Table1[[#This Row],[discount]]*Table1[[#This Row],[quantity]])</f>
        <v>2229.6006000000002</v>
      </c>
      <c r="N1111">
        <f>DAY(Table1[[#This Row],[order_date]])</f>
        <v>14</v>
      </c>
      <c r="O1111" t="str">
        <f>TEXT(Table1[[#This Row],[order_date]],"mmm")</f>
        <v>Jan</v>
      </c>
      <c r="P1111">
        <f>YEAR(Table1[[#This Row],[order_date]])</f>
        <v>2025</v>
      </c>
    </row>
    <row r="1112" spans="1:16" x14ac:dyDescent="0.3">
      <c r="A1112">
        <v>11111</v>
      </c>
      <c r="B1112" s="1">
        <v>45672</v>
      </c>
      <c r="C1112">
        <v>1165</v>
      </c>
      <c r="D1112" t="s">
        <v>15</v>
      </c>
      <c r="E1112" t="s">
        <v>21</v>
      </c>
      <c r="F1112">
        <v>5</v>
      </c>
      <c r="G1112">
        <v>24.15</v>
      </c>
      <c r="H1112">
        <v>0.22</v>
      </c>
      <c r="I1112" t="s">
        <v>16</v>
      </c>
      <c r="J1112">
        <v>11</v>
      </c>
      <c r="K1112">
        <v>1.7</v>
      </c>
      <c r="L1112">
        <v>94.18</v>
      </c>
      <c r="M1112">
        <f>(Table1[[#This Row],[unit_price]]*Table1[[#This Row],[quantity]])-(Table1[[#This Row],[unit_price]]*Table1[[#This Row],[discount]]*Table1[[#This Row],[quantity]])</f>
        <v>94.185000000000002</v>
      </c>
      <c r="N1112">
        <f>DAY(Table1[[#This Row],[order_date]])</f>
        <v>15</v>
      </c>
      <c r="O1112" t="str">
        <f>TEXT(Table1[[#This Row],[order_date]],"mmm")</f>
        <v>Jan</v>
      </c>
      <c r="P1112">
        <f>YEAR(Table1[[#This Row],[order_date]])</f>
        <v>2025</v>
      </c>
    </row>
    <row r="1113" spans="1:16" x14ac:dyDescent="0.3">
      <c r="A1113">
        <v>11112</v>
      </c>
      <c r="B1113" s="1">
        <v>45673</v>
      </c>
      <c r="C1113">
        <v>1480</v>
      </c>
      <c r="D1113" t="s">
        <v>22</v>
      </c>
      <c r="E1113" t="s">
        <v>17</v>
      </c>
      <c r="F1113">
        <v>3</v>
      </c>
      <c r="G1113">
        <v>52.66</v>
      </c>
      <c r="H1113">
        <v>0.05</v>
      </c>
      <c r="I1113" t="s">
        <v>16</v>
      </c>
      <c r="J1113">
        <v>3</v>
      </c>
      <c r="K1113">
        <v>1.1000000000000001</v>
      </c>
      <c r="L1113">
        <v>150.08000000000001</v>
      </c>
      <c r="M1113">
        <f>(Table1[[#This Row],[unit_price]]*Table1[[#This Row],[quantity]])-(Table1[[#This Row],[unit_price]]*Table1[[#This Row],[discount]]*Table1[[#This Row],[quantity]])</f>
        <v>150.08099999999999</v>
      </c>
      <c r="N1113">
        <f>DAY(Table1[[#This Row],[order_date]])</f>
        <v>16</v>
      </c>
      <c r="O1113" t="str">
        <f>TEXT(Table1[[#This Row],[order_date]],"mmm")</f>
        <v>Jan</v>
      </c>
      <c r="P1113">
        <f>YEAR(Table1[[#This Row],[order_date]])</f>
        <v>2025</v>
      </c>
    </row>
    <row r="1114" spans="1:16" x14ac:dyDescent="0.3">
      <c r="A1114">
        <v>11113</v>
      </c>
      <c r="B1114" s="1">
        <v>45674</v>
      </c>
      <c r="C1114">
        <v>1983</v>
      </c>
      <c r="D1114" t="s">
        <v>19</v>
      </c>
      <c r="E1114" t="s">
        <v>20</v>
      </c>
      <c r="F1114">
        <v>7</v>
      </c>
      <c r="G1114">
        <v>73.3</v>
      </c>
      <c r="H1114">
        <v>0</v>
      </c>
      <c r="I1114" t="s">
        <v>14</v>
      </c>
      <c r="J1114">
        <v>11</v>
      </c>
      <c r="K1114">
        <v>4.9000000000000004</v>
      </c>
      <c r="L1114">
        <v>513.1</v>
      </c>
      <c r="M1114">
        <f>(Table1[[#This Row],[unit_price]]*Table1[[#This Row],[quantity]])-(Table1[[#This Row],[unit_price]]*Table1[[#This Row],[discount]]*Table1[[#This Row],[quantity]])</f>
        <v>513.1</v>
      </c>
      <c r="N1114">
        <f>DAY(Table1[[#This Row],[order_date]])</f>
        <v>17</v>
      </c>
      <c r="O1114" t="str">
        <f>TEXT(Table1[[#This Row],[order_date]],"mmm")</f>
        <v>Jan</v>
      </c>
      <c r="P1114">
        <f>YEAR(Table1[[#This Row],[order_date]])</f>
        <v>2025</v>
      </c>
    </row>
    <row r="1115" spans="1:16" x14ac:dyDescent="0.3">
      <c r="A1115">
        <v>11114</v>
      </c>
      <c r="B1115" s="1">
        <v>45675</v>
      </c>
      <c r="C1115">
        <v>1334</v>
      </c>
      <c r="D1115" t="s">
        <v>22</v>
      </c>
      <c r="E1115" t="s">
        <v>13</v>
      </c>
      <c r="F1115">
        <v>6</v>
      </c>
      <c r="G1115">
        <v>260.11</v>
      </c>
      <c r="H1115">
        <v>0.33</v>
      </c>
      <c r="I1115" t="s">
        <v>14</v>
      </c>
      <c r="J1115">
        <v>4</v>
      </c>
      <c r="K1115">
        <v>4.9000000000000004</v>
      </c>
      <c r="L1115">
        <v>1045.6400000000001</v>
      </c>
      <c r="M1115">
        <f>(Table1[[#This Row],[unit_price]]*Table1[[#This Row],[quantity]])-(Table1[[#This Row],[unit_price]]*Table1[[#This Row],[discount]]*Table1[[#This Row],[quantity]])</f>
        <v>1045.6422</v>
      </c>
      <c r="N1115">
        <f>DAY(Table1[[#This Row],[order_date]])</f>
        <v>18</v>
      </c>
      <c r="O1115" t="str">
        <f>TEXT(Table1[[#This Row],[order_date]],"mmm")</f>
        <v>Jan</v>
      </c>
      <c r="P1115">
        <f>YEAR(Table1[[#This Row],[order_date]])</f>
        <v>2025</v>
      </c>
    </row>
    <row r="1116" spans="1:16" x14ac:dyDescent="0.3">
      <c r="A1116">
        <v>11115</v>
      </c>
      <c r="B1116" s="1">
        <v>45676</v>
      </c>
      <c r="C1116">
        <v>1541</v>
      </c>
      <c r="D1116" t="s">
        <v>19</v>
      </c>
      <c r="E1116" t="s">
        <v>21</v>
      </c>
      <c r="F1116">
        <v>2</v>
      </c>
      <c r="G1116">
        <v>491.66</v>
      </c>
      <c r="H1116">
        <v>0.19</v>
      </c>
      <c r="I1116" t="s">
        <v>16</v>
      </c>
      <c r="J1116">
        <v>11</v>
      </c>
      <c r="K1116">
        <v>2</v>
      </c>
      <c r="L1116">
        <v>796.49</v>
      </c>
      <c r="M1116">
        <f>(Table1[[#This Row],[unit_price]]*Table1[[#This Row],[quantity]])-(Table1[[#This Row],[unit_price]]*Table1[[#This Row],[discount]]*Table1[[#This Row],[quantity]])</f>
        <v>796.48919999999998</v>
      </c>
      <c r="N1116">
        <f>DAY(Table1[[#This Row],[order_date]])</f>
        <v>19</v>
      </c>
      <c r="O1116" t="str">
        <f>TEXT(Table1[[#This Row],[order_date]],"mmm")</f>
        <v>Jan</v>
      </c>
      <c r="P1116">
        <f>YEAR(Table1[[#This Row],[order_date]])</f>
        <v>2025</v>
      </c>
    </row>
    <row r="1117" spans="1:16" x14ac:dyDescent="0.3">
      <c r="A1117">
        <v>11116</v>
      </c>
      <c r="B1117" s="1">
        <v>45677</v>
      </c>
      <c r="C1117">
        <v>1758</v>
      </c>
      <c r="D1117" t="s">
        <v>22</v>
      </c>
      <c r="E1117" t="s">
        <v>17</v>
      </c>
      <c r="F1117">
        <v>3</v>
      </c>
      <c r="G1117">
        <v>534.58000000000004</v>
      </c>
      <c r="H1117">
        <v>0.32</v>
      </c>
      <c r="I1117" t="s">
        <v>16</v>
      </c>
      <c r="J1117">
        <v>11</v>
      </c>
      <c r="K1117">
        <v>1</v>
      </c>
      <c r="L1117">
        <v>1090.54</v>
      </c>
      <c r="M1117">
        <f>(Table1[[#This Row],[unit_price]]*Table1[[#This Row],[quantity]])-(Table1[[#This Row],[unit_price]]*Table1[[#This Row],[discount]]*Table1[[#This Row],[quantity]])</f>
        <v>1090.5432000000001</v>
      </c>
      <c r="N1117">
        <f>DAY(Table1[[#This Row],[order_date]])</f>
        <v>20</v>
      </c>
      <c r="O1117" t="str">
        <f>TEXT(Table1[[#This Row],[order_date]],"mmm")</f>
        <v>Jan</v>
      </c>
      <c r="P1117">
        <f>YEAR(Table1[[#This Row],[order_date]])</f>
        <v>2025</v>
      </c>
    </row>
    <row r="1118" spans="1:16" x14ac:dyDescent="0.3">
      <c r="A1118">
        <v>11117</v>
      </c>
      <c r="B1118" s="1">
        <v>45678</v>
      </c>
      <c r="C1118">
        <v>1105</v>
      </c>
      <c r="D1118" t="s">
        <v>15</v>
      </c>
      <c r="E1118" t="s">
        <v>13</v>
      </c>
      <c r="F1118">
        <v>1</v>
      </c>
      <c r="G1118">
        <v>158.21</v>
      </c>
      <c r="H1118">
        <v>0.12</v>
      </c>
      <c r="I1118" t="s">
        <v>16</v>
      </c>
      <c r="J1118">
        <v>7</v>
      </c>
      <c r="K1118">
        <v>3.6</v>
      </c>
      <c r="L1118">
        <v>139.22</v>
      </c>
      <c r="M1118">
        <f>(Table1[[#This Row],[unit_price]]*Table1[[#This Row],[quantity]])-(Table1[[#This Row],[unit_price]]*Table1[[#This Row],[discount]]*Table1[[#This Row],[quantity]])</f>
        <v>139.22480000000002</v>
      </c>
      <c r="N1118">
        <f>DAY(Table1[[#This Row],[order_date]])</f>
        <v>21</v>
      </c>
      <c r="O1118" t="str">
        <f>TEXT(Table1[[#This Row],[order_date]],"mmm")</f>
        <v>Jan</v>
      </c>
      <c r="P1118">
        <f>YEAR(Table1[[#This Row],[order_date]])</f>
        <v>2025</v>
      </c>
    </row>
    <row r="1119" spans="1:16" x14ac:dyDescent="0.3">
      <c r="A1119">
        <v>11118</v>
      </c>
      <c r="B1119" s="1">
        <v>45679</v>
      </c>
      <c r="C1119">
        <v>1562</v>
      </c>
      <c r="D1119" t="s">
        <v>12</v>
      </c>
      <c r="E1119" t="s">
        <v>21</v>
      </c>
      <c r="F1119">
        <v>2</v>
      </c>
      <c r="G1119">
        <v>351.01</v>
      </c>
      <c r="H1119">
        <v>0.11</v>
      </c>
      <c r="I1119" t="s">
        <v>16</v>
      </c>
      <c r="J1119">
        <v>10</v>
      </c>
      <c r="K1119">
        <v>3.6</v>
      </c>
      <c r="L1119">
        <v>624.79999999999995</v>
      </c>
      <c r="M1119">
        <f>(Table1[[#This Row],[unit_price]]*Table1[[#This Row],[quantity]])-(Table1[[#This Row],[unit_price]]*Table1[[#This Row],[discount]]*Table1[[#This Row],[quantity]])</f>
        <v>624.79779999999994</v>
      </c>
      <c r="N1119">
        <f>DAY(Table1[[#This Row],[order_date]])</f>
        <v>22</v>
      </c>
      <c r="O1119" t="str">
        <f>TEXT(Table1[[#This Row],[order_date]],"mmm")</f>
        <v>Jan</v>
      </c>
      <c r="P1119">
        <f>YEAR(Table1[[#This Row],[order_date]])</f>
        <v>2025</v>
      </c>
    </row>
    <row r="1120" spans="1:16" x14ac:dyDescent="0.3">
      <c r="A1120">
        <v>11119</v>
      </c>
      <c r="B1120" s="1">
        <v>45680</v>
      </c>
      <c r="C1120">
        <v>1080</v>
      </c>
      <c r="D1120" t="s">
        <v>15</v>
      </c>
      <c r="E1120" t="s">
        <v>21</v>
      </c>
      <c r="F1120">
        <v>7</v>
      </c>
      <c r="G1120">
        <v>464.49</v>
      </c>
      <c r="H1120">
        <v>0.14000000000000001</v>
      </c>
      <c r="I1120" t="s">
        <v>18</v>
      </c>
      <c r="J1120">
        <v>2</v>
      </c>
      <c r="K1120">
        <v>4.8</v>
      </c>
      <c r="L1120">
        <v>2796.23</v>
      </c>
      <c r="M1120">
        <f>(Table1[[#This Row],[unit_price]]*Table1[[#This Row],[quantity]])-(Table1[[#This Row],[unit_price]]*Table1[[#This Row],[discount]]*Table1[[#This Row],[quantity]])</f>
        <v>2796.2298000000001</v>
      </c>
      <c r="N1120">
        <f>DAY(Table1[[#This Row],[order_date]])</f>
        <v>23</v>
      </c>
      <c r="O1120" t="str">
        <f>TEXT(Table1[[#This Row],[order_date]],"mmm")</f>
        <v>Jan</v>
      </c>
      <c r="P1120">
        <f>YEAR(Table1[[#This Row],[order_date]])</f>
        <v>2025</v>
      </c>
    </row>
    <row r="1121" spans="1:16" x14ac:dyDescent="0.3">
      <c r="A1121">
        <v>11120</v>
      </c>
      <c r="B1121" s="1">
        <v>45681</v>
      </c>
      <c r="C1121">
        <v>1132</v>
      </c>
      <c r="D1121" t="s">
        <v>19</v>
      </c>
      <c r="E1121" t="s">
        <v>20</v>
      </c>
      <c r="F1121">
        <v>7</v>
      </c>
      <c r="G1121">
        <v>183.97</v>
      </c>
      <c r="H1121">
        <v>0.25</v>
      </c>
      <c r="I1121" t="s">
        <v>16</v>
      </c>
      <c r="J1121">
        <v>2</v>
      </c>
      <c r="K1121">
        <v>2.2000000000000002</v>
      </c>
      <c r="L1121">
        <v>965.84</v>
      </c>
      <c r="M1121">
        <f>(Table1[[#This Row],[unit_price]]*Table1[[#This Row],[quantity]])-(Table1[[#This Row],[unit_price]]*Table1[[#This Row],[discount]]*Table1[[#This Row],[quantity]])</f>
        <v>965.84249999999997</v>
      </c>
      <c r="N1121">
        <f>DAY(Table1[[#This Row],[order_date]])</f>
        <v>24</v>
      </c>
      <c r="O1121" t="str">
        <f>TEXT(Table1[[#This Row],[order_date]],"mmm")</f>
        <v>Jan</v>
      </c>
      <c r="P1121">
        <f>YEAR(Table1[[#This Row],[order_date]])</f>
        <v>2025</v>
      </c>
    </row>
    <row r="1122" spans="1:16" x14ac:dyDescent="0.3">
      <c r="A1122">
        <v>11121</v>
      </c>
      <c r="B1122" s="1">
        <v>45682</v>
      </c>
      <c r="C1122">
        <v>1796</v>
      </c>
      <c r="D1122" t="s">
        <v>19</v>
      </c>
      <c r="E1122" t="s">
        <v>17</v>
      </c>
      <c r="F1122">
        <v>3</v>
      </c>
      <c r="G1122">
        <v>254.27</v>
      </c>
      <c r="H1122">
        <v>0.2</v>
      </c>
      <c r="I1122" t="s">
        <v>16</v>
      </c>
      <c r="J1122">
        <v>9</v>
      </c>
      <c r="K1122">
        <v>1.8</v>
      </c>
      <c r="L1122">
        <v>610.25</v>
      </c>
      <c r="M1122">
        <f>(Table1[[#This Row],[unit_price]]*Table1[[#This Row],[quantity]])-(Table1[[#This Row],[unit_price]]*Table1[[#This Row],[discount]]*Table1[[#This Row],[quantity]])</f>
        <v>610.24800000000005</v>
      </c>
      <c r="N1122">
        <f>DAY(Table1[[#This Row],[order_date]])</f>
        <v>25</v>
      </c>
      <c r="O1122" t="str">
        <f>TEXT(Table1[[#This Row],[order_date]],"mmm")</f>
        <v>Jan</v>
      </c>
      <c r="P1122">
        <f>YEAR(Table1[[#This Row],[order_date]])</f>
        <v>2025</v>
      </c>
    </row>
    <row r="1123" spans="1:16" x14ac:dyDescent="0.3">
      <c r="A1123">
        <v>11122</v>
      </c>
      <c r="B1123" s="1">
        <v>45683</v>
      </c>
      <c r="C1123">
        <v>1899</v>
      </c>
      <c r="D1123" t="s">
        <v>22</v>
      </c>
      <c r="E1123" t="s">
        <v>13</v>
      </c>
      <c r="F1123">
        <v>1</v>
      </c>
      <c r="G1123">
        <v>321.52</v>
      </c>
      <c r="H1123">
        <v>0.32</v>
      </c>
      <c r="I1123" t="s">
        <v>18</v>
      </c>
      <c r="J1123">
        <v>6</v>
      </c>
      <c r="K1123">
        <v>3.5</v>
      </c>
      <c r="L1123">
        <v>218.63</v>
      </c>
      <c r="M1123">
        <f>(Table1[[#This Row],[unit_price]]*Table1[[#This Row],[quantity]])-(Table1[[#This Row],[unit_price]]*Table1[[#This Row],[discount]]*Table1[[#This Row],[quantity]])</f>
        <v>218.6336</v>
      </c>
      <c r="N1123">
        <f>DAY(Table1[[#This Row],[order_date]])</f>
        <v>26</v>
      </c>
      <c r="O1123" t="str">
        <f>TEXT(Table1[[#This Row],[order_date]],"mmm")</f>
        <v>Jan</v>
      </c>
      <c r="P1123">
        <f>YEAR(Table1[[#This Row],[order_date]])</f>
        <v>2025</v>
      </c>
    </row>
    <row r="1124" spans="1:16" x14ac:dyDescent="0.3">
      <c r="A1124">
        <v>11123</v>
      </c>
      <c r="B1124" s="1">
        <v>45684</v>
      </c>
      <c r="C1124">
        <v>1137</v>
      </c>
      <c r="D1124" t="s">
        <v>15</v>
      </c>
      <c r="E1124" t="s">
        <v>21</v>
      </c>
      <c r="F1124">
        <v>6</v>
      </c>
      <c r="G1124">
        <v>93.9</v>
      </c>
      <c r="H1124">
        <v>0.01</v>
      </c>
      <c r="I1124" t="s">
        <v>14</v>
      </c>
      <c r="J1124">
        <v>11</v>
      </c>
      <c r="K1124">
        <v>3.3</v>
      </c>
      <c r="L1124">
        <v>557.77</v>
      </c>
      <c r="M1124">
        <f>(Table1[[#This Row],[unit_price]]*Table1[[#This Row],[quantity]])-(Table1[[#This Row],[unit_price]]*Table1[[#This Row],[discount]]*Table1[[#This Row],[quantity]])</f>
        <v>557.76600000000008</v>
      </c>
      <c r="N1124">
        <f>DAY(Table1[[#This Row],[order_date]])</f>
        <v>27</v>
      </c>
      <c r="O1124" t="str">
        <f>TEXT(Table1[[#This Row],[order_date]],"mmm")</f>
        <v>Jan</v>
      </c>
      <c r="P1124">
        <f>YEAR(Table1[[#This Row],[order_date]])</f>
        <v>2025</v>
      </c>
    </row>
    <row r="1125" spans="1:16" x14ac:dyDescent="0.3">
      <c r="A1125">
        <v>11124</v>
      </c>
      <c r="B1125" s="1">
        <v>45685</v>
      </c>
      <c r="C1125">
        <v>1183</v>
      </c>
      <c r="D1125" t="s">
        <v>22</v>
      </c>
      <c r="E1125" t="s">
        <v>20</v>
      </c>
      <c r="F1125">
        <v>2</v>
      </c>
      <c r="G1125">
        <v>30.2</v>
      </c>
      <c r="H1125">
        <v>0.25</v>
      </c>
      <c r="I1125" t="s">
        <v>16</v>
      </c>
      <c r="J1125">
        <v>7</v>
      </c>
      <c r="K1125">
        <v>3.9</v>
      </c>
      <c r="L1125">
        <v>45.3</v>
      </c>
      <c r="M1125">
        <f>(Table1[[#This Row],[unit_price]]*Table1[[#This Row],[quantity]])-(Table1[[#This Row],[unit_price]]*Table1[[#This Row],[discount]]*Table1[[#This Row],[quantity]])</f>
        <v>45.3</v>
      </c>
      <c r="N1125">
        <f>DAY(Table1[[#This Row],[order_date]])</f>
        <v>28</v>
      </c>
      <c r="O1125" t="str">
        <f>TEXT(Table1[[#This Row],[order_date]],"mmm")</f>
        <v>Jan</v>
      </c>
      <c r="P1125">
        <f>YEAR(Table1[[#This Row],[order_date]])</f>
        <v>2025</v>
      </c>
    </row>
    <row r="1126" spans="1:16" x14ac:dyDescent="0.3">
      <c r="A1126">
        <v>11125</v>
      </c>
      <c r="B1126" s="1">
        <v>45686</v>
      </c>
      <c r="C1126">
        <v>1400</v>
      </c>
      <c r="D1126" t="s">
        <v>19</v>
      </c>
      <c r="E1126" t="s">
        <v>13</v>
      </c>
      <c r="F1126">
        <v>2</v>
      </c>
      <c r="G1126">
        <v>104.39</v>
      </c>
      <c r="H1126">
        <v>0.12</v>
      </c>
      <c r="I1126" t="s">
        <v>16</v>
      </c>
      <c r="J1126">
        <v>5</v>
      </c>
      <c r="K1126">
        <v>4.5</v>
      </c>
      <c r="L1126">
        <v>183.73</v>
      </c>
      <c r="M1126">
        <f>(Table1[[#This Row],[unit_price]]*Table1[[#This Row],[quantity]])-(Table1[[#This Row],[unit_price]]*Table1[[#This Row],[discount]]*Table1[[#This Row],[quantity]])</f>
        <v>183.72640000000001</v>
      </c>
      <c r="N1126">
        <f>DAY(Table1[[#This Row],[order_date]])</f>
        <v>29</v>
      </c>
      <c r="O1126" t="str">
        <f>TEXT(Table1[[#This Row],[order_date]],"mmm")</f>
        <v>Jan</v>
      </c>
      <c r="P1126">
        <f>YEAR(Table1[[#This Row],[order_date]])</f>
        <v>2025</v>
      </c>
    </row>
    <row r="1127" spans="1:16" x14ac:dyDescent="0.3">
      <c r="A1127">
        <v>11126</v>
      </c>
      <c r="B1127" s="1">
        <v>45687</v>
      </c>
      <c r="C1127">
        <v>1329</v>
      </c>
      <c r="D1127" t="s">
        <v>19</v>
      </c>
      <c r="E1127" t="s">
        <v>13</v>
      </c>
      <c r="F1127">
        <v>1</v>
      </c>
      <c r="G1127">
        <v>381.71</v>
      </c>
      <c r="H1127">
        <v>0.06</v>
      </c>
      <c r="I1127" t="s">
        <v>14</v>
      </c>
      <c r="J1127">
        <v>5</v>
      </c>
      <c r="K1127">
        <v>3.2</v>
      </c>
      <c r="L1127">
        <v>358.81</v>
      </c>
      <c r="M1127">
        <f>(Table1[[#This Row],[unit_price]]*Table1[[#This Row],[quantity]])-(Table1[[#This Row],[unit_price]]*Table1[[#This Row],[discount]]*Table1[[#This Row],[quantity]])</f>
        <v>358.80739999999997</v>
      </c>
      <c r="N1127">
        <f>DAY(Table1[[#This Row],[order_date]])</f>
        <v>30</v>
      </c>
      <c r="O1127" t="str">
        <f>TEXT(Table1[[#This Row],[order_date]],"mmm")</f>
        <v>Jan</v>
      </c>
      <c r="P1127">
        <f>YEAR(Table1[[#This Row],[order_date]])</f>
        <v>2025</v>
      </c>
    </row>
    <row r="1128" spans="1:16" x14ac:dyDescent="0.3">
      <c r="A1128">
        <v>11127</v>
      </c>
      <c r="B1128" s="1">
        <v>45688</v>
      </c>
      <c r="C1128">
        <v>1784</v>
      </c>
      <c r="D1128" t="s">
        <v>19</v>
      </c>
      <c r="E1128" t="s">
        <v>21</v>
      </c>
      <c r="F1128">
        <v>2</v>
      </c>
      <c r="G1128">
        <v>58.07</v>
      </c>
      <c r="H1128">
        <v>0.18</v>
      </c>
      <c r="I1128" t="s">
        <v>18</v>
      </c>
      <c r="J1128">
        <v>4</v>
      </c>
      <c r="K1128">
        <v>1.6</v>
      </c>
      <c r="L1128">
        <v>95.23</v>
      </c>
      <c r="M1128">
        <f>(Table1[[#This Row],[unit_price]]*Table1[[#This Row],[quantity]])-(Table1[[#This Row],[unit_price]]*Table1[[#This Row],[discount]]*Table1[[#This Row],[quantity]])</f>
        <v>95.234800000000007</v>
      </c>
      <c r="N1128">
        <f>DAY(Table1[[#This Row],[order_date]])</f>
        <v>31</v>
      </c>
      <c r="O1128" t="str">
        <f>TEXT(Table1[[#This Row],[order_date]],"mmm")</f>
        <v>Jan</v>
      </c>
      <c r="P1128">
        <f>YEAR(Table1[[#This Row],[order_date]])</f>
        <v>2025</v>
      </c>
    </row>
    <row r="1129" spans="1:16" x14ac:dyDescent="0.3">
      <c r="A1129">
        <v>11128</v>
      </c>
      <c r="B1129" s="1">
        <v>45689</v>
      </c>
      <c r="C1129">
        <v>1507</v>
      </c>
      <c r="D1129" t="s">
        <v>12</v>
      </c>
      <c r="E1129" t="s">
        <v>13</v>
      </c>
      <c r="F1129">
        <v>6</v>
      </c>
      <c r="G1129">
        <v>125.97</v>
      </c>
      <c r="H1129">
        <v>0.18</v>
      </c>
      <c r="I1129" t="s">
        <v>16</v>
      </c>
      <c r="J1129">
        <v>8</v>
      </c>
      <c r="K1129">
        <v>3.4</v>
      </c>
      <c r="L1129">
        <v>619.77</v>
      </c>
      <c r="M1129">
        <f>(Table1[[#This Row],[unit_price]]*Table1[[#This Row],[quantity]])-(Table1[[#This Row],[unit_price]]*Table1[[#This Row],[discount]]*Table1[[#This Row],[quantity]])</f>
        <v>619.77239999999995</v>
      </c>
      <c r="N1129">
        <f>DAY(Table1[[#This Row],[order_date]])</f>
        <v>1</v>
      </c>
      <c r="O1129" t="str">
        <f>TEXT(Table1[[#This Row],[order_date]],"mmm")</f>
        <v>Feb</v>
      </c>
      <c r="P1129">
        <f>YEAR(Table1[[#This Row],[order_date]])</f>
        <v>2025</v>
      </c>
    </row>
    <row r="1130" spans="1:16" x14ac:dyDescent="0.3">
      <c r="A1130">
        <v>11129</v>
      </c>
      <c r="B1130" s="1">
        <v>45690</v>
      </c>
      <c r="C1130">
        <v>1851</v>
      </c>
      <c r="D1130" t="s">
        <v>22</v>
      </c>
      <c r="E1130" t="s">
        <v>21</v>
      </c>
      <c r="F1130">
        <v>6</v>
      </c>
      <c r="G1130">
        <v>212.64</v>
      </c>
      <c r="H1130">
        <v>0.05</v>
      </c>
      <c r="I1130" t="s">
        <v>16</v>
      </c>
      <c r="J1130">
        <v>7</v>
      </c>
      <c r="K1130">
        <v>2.5</v>
      </c>
      <c r="L1130">
        <v>1212.05</v>
      </c>
      <c r="M1130">
        <f>(Table1[[#This Row],[unit_price]]*Table1[[#This Row],[quantity]])-(Table1[[#This Row],[unit_price]]*Table1[[#This Row],[discount]]*Table1[[#This Row],[quantity]])</f>
        <v>1212.048</v>
      </c>
      <c r="N1130">
        <f>DAY(Table1[[#This Row],[order_date]])</f>
        <v>2</v>
      </c>
      <c r="O1130" t="str">
        <f>TEXT(Table1[[#This Row],[order_date]],"mmm")</f>
        <v>Feb</v>
      </c>
      <c r="P1130">
        <f>YEAR(Table1[[#This Row],[order_date]])</f>
        <v>2025</v>
      </c>
    </row>
    <row r="1131" spans="1:16" x14ac:dyDescent="0.3">
      <c r="A1131">
        <v>11130</v>
      </c>
      <c r="B1131" s="1">
        <v>45691</v>
      </c>
      <c r="C1131">
        <v>1983</v>
      </c>
      <c r="D1131" t="s">
        <v>12</v>
      </c>
      <c r="E1131" t="s">
        <v>20</v>
      </c>
      <c r="F1131">
        <v>6</v>
      </c>
      <c r="G1131">
        <v>60.55</v>
      </c>
      <c r="H1131">
        <v>7.0000000000000007E-2</v>
      </c>
      <c r="I1131" t="s">
        <v>16</v>
      </c>
      <c r="J1131">
        <v>10</v>
      </c>
      <c r="K1131">
        <v>2.8</v>
      </c>
      <c r="L1131">
        <v>337.87</v>
      </c>
      <c r="M1131">
        <f>(Table1[[#This Row],[unit_price]]*Table1[[#This Row],[quantity]])-(Table1[[#This Row],[unit_price]]*Table1[[#This Row],[discount]]*Table1[[#This Row],[quantity]])</f>
        <v>337.86899999999997</v>
      </c>
      <c r="N1131">
        <f>DAY(Table1[[#This Row],[order_date]])</f>
        <v>3</v>
      </c>
      <c r="O1131" t="str">
        <f>TEXT(Table1[[#This Row],[order_date]],"mmm")</f>
        <v>Feb</v>
      </c>
      <c r="P1131">
        <f>YEAR(Table1[[#This Row],[order_date]])</f>
        <v>2025</v>
      </c>
    </row>
    <row r="1132" spans="1:16" x14ac:dyDescent="0.3">
      <c r="A1132">
        <v>11131</v>
      </c>
      <c r="B1132" s="1">
        <v>45692</v>
      </c>
      <c r="C1132">
        <v>1068</v>
      </c>
      <c r="D1132" t="s">
        <v>19</v>
      </c>
      <c r="E1132" t="s">
        <v>20</v>
      </c>
      <c r="F1132">
        <v>1</v>
      </c>
      <c r="G1132">
        <v>127.14</v>
      </c>
      <c r="H1132">
        <v>0.14000000000000001</v>
      </c>
      <c r="I1132" t="s">
        <v>18</v>
      </c>
      <c r="J1132">
        <v>2</v>
      </c>
      <c r="K1132">
        <v>4.8</v>
      </c>
      <c r="L1132">
        <v>109.34</v>
      </c>
      <c r="M1132">
        <f>(Table1[[#This Row],[unit_price]]*Table1[[#This Row],[quantity]])-(Table1[[#This Row],[unit_price]]*Table1[[#This Row],[discount]]*Table1[[#This Row],[quantity]])</f>
        <v>109.3404</v>
      </c>
      <c r="N1132">
        <f>DAY(Table1[[#This Row],[order_date]])</f>
        <v>4</v>
      </c>
      <c r="O1132" t="str">
        <f>TEXT(Table1[[#This Row],[order_date]],"mmm")</f>
        <v>Feb</v>
      </c>
      <c r="P1132">
        <f>YEAR(Table1[[#This Row],[order_date]])</f>
        <v>2025</v>
      </c>
    </row>
    <row r="1133" spans="1:16" x14ac:dyDescent="0.3">
      <c r="A1133">
        <v>11132</v>
      </c>
      <c r="B1133" s="1">
        <v>45693</v>
      </c>
      <c r="C1133">
        <v>1545</v>
      </c>
      <c r="D1133" t="s">
        <v>15</v>
      </c>
      <c r="E1133" t="s">
        <v>13</v>
      </c>
      <c r="F1133">
        <v>4</v>
      </c>
      <c r="G1133">
        <v>548.09</v>
      </c>
      <c r="H1133">
        <v>0.14000000000000001</v>
      </c>
      <c r="I1133" t="s">
        <v>16</v>
      </c>
      <c r="J1133">
        <v>2</v>
      </c>
      <c r="K1133">
        <v>3.2</v>
      </c>
      <c r="L1133">
        <v>1885.43</v>
      </c>
      <c r="M1133">
        <f>(Table1[[#This Row],[unit_price]]*Table1[[#This Row],[quantity]])-(Table1[[#This Row],[unit_price]]*Table1[[#This Row],[discount]]*Table1[[#This Row],[quantity]])</f>
        <v>1885.4296000000002</v>
      </c>
      <c r="N1133">
        <f>DAY(Table1[[#This Row],[order_date]])</f>
        <v>5</v>
      </c>
      <c r="O1133" t="str">
        <f>TEXT(Table1[[#This Row],[order_date]],"mmm")</f>
        <v>Feb</v>
      </c>
      <c r="P1133">
        <f>YEAR(Table1[[#This Row],[order_date]])</f>
        <v>2025</v>
      </c>
    </row>
    <row r="1134" spans="1:16" x14ac:dyDescent="0.3">
      <c r="A1134">
        <v>11133</v>
      </c>
      <c r="B1134" s="1">
        <v>45694</v>
      </c>
      <c r="C1134">
        <v>1773</v>
      </c>
      <c r="D1134" t="s">
        <v>22</v>
      </c>
      <c r="E1134" t="s">
        <v>21</v>
      </c>
      <c r="F1134">
        <v>4</v>
      </c>
      <c r="G1134">
        <v>26.29</v>
      </c>
      <c r="H1134">
        <v>0.11</v>
      </c>
      <c r="I1134" t="s">
        <v>16</v>
      </c>
      <c r="J1134">
        <v>6</v>
      </c>
      <c r="K1134">
        <v>1.6</v>
      </c>
      <c r="L1134">
        <v>93.59</v>
      </c>
      <c r="M1134">
        <f>(Table1[[#This Row],[unit_price]]*Table1[[#This Row],[quantity]])-(Table1[[#This Row],[unit_price]]*Table1[[#This Row],[discount]]*Table1[[#This Row],[quantity]])</f>
        <v>93.592399999999998</v>
      </c>
      <c r="N1134">
        <f>DAY(Table1[[#This Row],[order_date]])</f>
        <v>6</v>
      </c>
      <c r="O1134" t="str">
        <f>TEXT(Table1[[#This Row],[order_date]],"mmm")</f>
        <v>Feb</v>
      </c>
      <c r="P1134">
        <f>YEAR(Table1[[#This Row],[order_date]])</f>
        <v>2025</v>
      </c>
    </row>
    <row r="1135" spans="1:16" x14ac:dyDescent="0.3">
      <c r="A1135">
        <v>11134</v>
      </c>
      <c r="B1135" s="1">
        <v>45695</v>
      </c>
      <c r="C1135">
        <v>1052</v>
      </c>
      <c r="D1135" t="s">
        <v>19</v>
      </c>
      <c r="E1135" t="s">
        <v>17</v>
      </c>
      <c r="F1135">
        <v>7</v>
      </c>
      <c r="G1135">
        <v>397.26</v>
      </c>
      <c r="H1135">
        <v>0.05</v>
      </c>
      <c r="I1135" t="s">
        <v>16</v>
      </c>
      <c r="J1135">
        <v>11</v>
      </c>
      <c r="K1135">
        <v>2.8</v>
      </c>
      <c r="L1135">
        <v>2641.78</v>
      </c>
      <c r="M1135">
        <f>(Table1[[#This Row],[unit_price]]*Table1[[#This Row],[quantity]])-(Table1[[#This Row],[unit_price]]*Table1[[#This Row],[discount]]*Table1[[#This Row],[quantity]])</f>
        <v>2641.7789999999995</v>
      </c>
      <c r="N1135">
        <f>DAY(Table1[[#This Row],[order_date]])</f>
        <v>7</v>
      </c>
      <c r="O1135" t="str">
        <f>TEXT(Table1[[#This Row],[order_date]],"mmm")</f>
        <v>Feb</v>
      </c>
      <c r="P1135">
        <f>YEAR(Table1[[#This Row],[order_date]])</f>
        <v>2025</v>
      </c>
    </row>
    <row r="1136" spans="1:16" x14ac:dyDescent="0.3">
      <c r="A1136">
        <v>11135</v>
      </c>
      <c r="B1136" s="1">
        <v>45696</v>
      </c>
      <c r="C1136">
        <v>1449</v>
      </c>
      <c r="D1136" t="s">
        <v>22</v>
      </c>
      <c r="E1136" t="s">
        <v>20</v>
      </c>
      <c r="F1136">
        <v>7</v>
      </c>
      <c r="G1136">
        <v>239.88</v>
      </c>
      <c r="H1136">
        <v>0</v>
      </c>
      <c r="I1136" t="s">
        <v>16</v>
      </c>
      <c r="J1136">
        <v>1</v>
      </c>
      <c r="K1136">
        <v>1.9</v>
      </c>
      <c r="L1136">
        <v>1679.16</v>
      </c>
      <c r="M1136">
        <f>(Table1[[#This Row],[unit_price]]*Table1[[#This Row],[quantity]])-(Table1[[#This Row],[unit_price]]*Table1[[#This Row],[discount]]*Table1[[#This Row],[quantity]])</f>
        <v>1679.1599999999999</v>
      </c>
      <c r="N1136">
        <f>DAY(Table1[[#This Row],[order_date]])</f>
        <v>8</v>
      </c>
      <c r="O1136" t="str">
        <f>TEXT(Table1[[#This Row],[order_date]],"mmm")</f>
        <v>Feb</v>
      </c>
      <c r="P1136">
        <f>YEAR(Table1[[#This Row],[order_date]])</f>
        <v>2025</v>
      </c>
    </row>
    <row r="1137" spans="1:16" x14ac:dyDescent="0.3">
      <c r="A1137">
        <v>11136</v>
      </c>
      <c r="B1137" s="1">
        <v>45697</v>
      </c>
      <c r="C1137">
        <v>1204</v>
      </c>
      <c r="D1137" t="s">
        <v>12</v>
      </c>
      <c r="E1137" t="s">
        <v>21</v>
      </c>
      <c r="F1137">
        <v>2</v>
      </c>
      <c r="G1137">
        <v>408.5</v>
      </c>
      <c r="H1137">
        <v>0.34</v>
      </c>
      <c r="I1137" t="s">
        <v>18</v>
      </c>
      <c r="J1137">
        <v>7</v>
      </c>
      <c r="K1137">
        <v>1.5</v>
      </c>
      <c r="L1137">
        <v>539.22</v>
      </c>
      <c r="M1137">
        <f>(Table1[[#This Row],[unit_price]]*Table1[[#This Row],[quantity]])-(Table1[[#This Row],[unit_price]]*Table1[[#This Row],[discount]]*Table1[[#This Row],[quantity]])</f>
        <v>539.22</v>
      </c>
      <c r="N1137">
        <f>DAY(Table1[[#This Row],[order_date]])</f>
        <v>9</v>
      </c>
      <c r="O1137" t="str">
        <f>TEXT(Table1[[#This Row],[order_date]],"mmm")</f>
        <v>Feb</v>
      </c>
      <c r="P1137">
        <f>YEAR(Table1[[#This Row],[order_date]])</f>
        <v>2025</v>
      </c>
    </row>
    <row r="1138" spans="1:16" x14ac:dyDescent="0.3">
      <c r="A1138">
        <v>11137</v>
      </c>
      <c r="B1138" s="1">
        <v>45698</v>
      </c>
      <c r="C1138">
        <v>1125</v>
      </c>
      <c r="D1138" t="s">
        <v>12</v>
      </c>
      <c r="E1138" t="s">
        <v>21</v>
      </c>
      <c r="F1138">
        <v>6</v>
      </c>
      <c r="G1138">
        <v>359.38</v>
      </c>
      <c r="H1138">
        <v>0.33</v>
      </c>
      <c r="I1138" t="s">
        <v>16</v>
      </c>
      <c r="J1138">
        <v>8</v>
      </c>
      <c r="K1138">
        <v>3.8</v>
      </c>
      <c r="L1138">
        <v>1444.71</v>
      </c>
      <c r="M1138">
        <f>(Table1[[#This Row],[unit_price]]*Table1[[#This Row],[quantity]])-(Table1[[#This Row],[unit_price]]*Table1[[#This Row],[discount]]*Table1[[#This Row],[quantity]])</f>
        <v>1444.7075999999997</v>
      </c>
      <c r="N1138">
        <f>DAY(Table1[[#This Row],[order_date]])</f>
        <v>10</v>
      </c>
      <c r="O1138" t="str">
        <f>TEXT(Table1[[#This Row],[order_date]],"mmm")</f>
        <v>Feb</v>
      </c>
      <c r="P1138">
        <f>YEAR(Table1[[#This Row],[order_date]])</f>
        <v>2025</v>
      </c>
    </row>
    <row r="1139" spans="1:16" x14ac:dyDescent="0.3">
      <c r="A1139">
        <v>11138</v>
      </c>
      <c r="B1139" s="1">
        <v>45699</v>
      </c>
      <c r="C1139">
        <v>1746</v>
      </c>
      <c r="D1139" t="s">
        <v>22</v>
      </c>
      <c r="E1139" t="s">
        <v>21</v>
      </c>
      <c r="F1139">
        <v>2</v>
      </c>
      <c r="G1139">
        <v>145.75</v>
      </c>
      <c r="H1139">
        <v>0.17</v>
      </c>
      <c r="I1139" t="s">
        <v>16</v>
      </c>
      <c r="J1139">
        <v>10</v>
      </c>
      <c r="K1139">
        <v>3.5</v>
      </c>
      <c r="L1139">
        <v>241.94</v>
      </c>
      <c r="M1139">
        <f>(Table1[[#This Row],[unit_price]]*Table1[[#This Row],[quantity]])-(Table1[[#This Row],[unit_price]]*Table1[[#This Row],[discount]]*Table1[[#This Row],[quantity]])</f>
        <v>241.94499999999999</v>
      </c>
      <c r="N1139">
        <f>DAY(Table1[[#This Row],[order_date]])</f>
        <v>11</v>
      </c>
      <c r="O1139" t="str">
        <f>TEXT(Table1[[#This Row],[order_date]],"mmm")</f>
        <v>Feb</v>
      </c>
      <c r="P1139">
        <f>YEAR(Table1[[#This Row],[order_date]])</f>
        <v>2025</v>
      </c>
    </row>
    <row r="1140" spans="1:16" x14ac:dyDescent="0.3">
      <c r="A1140">
        <v>11139</v>
      </c>
      <c r="B1140" s="1">
        <v>45700</v>
      </c>
      <c r="C1140">
        <v>1042</v>
      </c>
      <c r="D1140" t="s">
        <v>19</v>
      </c>
      <c r="E1140" t="s">
        <v>13</v>
      </c>
      <c r="F1140">
        <v>1</v>
      </c>
      <c r="G1140">
        <v>510.62</v>
      </c>
      <c r="H1140">
        <v>0.35</v>
      </c>
      <c r="I1140" t="s">
        <v>14</v>
      </c>
      <c r="J1140">
        <v>8</v>
      </c>
      <c r="K1140">
        <v>3</v>
      </c>
      <c r="L1140">
        <v>331.9</v>
      </c>
      <c r="M1140">
        <f>(Table1[[#This Row],[unit_price]]*Table1[[#This Row],[quantity]])-(Table1[[#This Row],[unit_price]]*Table1[[#This Row],[discount]]*Table1[[#This Row],[quantity]])</f>
        <v>331.90300000000002</v>
      </c>
      <c r="N1140">
        <f>DAY(Table1[[#This Row],[order_date]])</f>
        <v>12</v>
      </c>
      <c r="O1140" t="str">
        <f>TEXT(Table1[[#This Row],[order_date]],"mmm")</f>
        <v>Feb</v>
      </c>
      <c r="P1140">
        <f>YEAR(Table1[[#This Row],[order_date]])</f>
        <v>2025</v>
      </c>
    </row>
    <row r="1141" spans="1:16" x14ac:dyDescent="0.3">
      <c r="A1141">
        <v>11140</v>
      </c>
      <c r="B1141" s="1">
        <v>45701</v>
      </c>
      <c r="C1141">
        <v>1751</v>
      </c>
      <c r="D1141" t="s">
        <v>19</v>
      </c>
      <c r="E1141" t="s">
        <v>17</v>
      </c>
      <c r="F1141">
        <v>2</v>
      </c>
      <c r="G1141">
        <v>302.79000000000002</v>
      </c>
      <c r="H1141">
        <v>0.24</v>
      </c>
      <c r="I1141" t="s">
        <v>18</v>
      </c>
      <c r="J1141">
        <v>3</v>
      </c>
      <c r="K1141">
        <v>2.7</v>
      </c>
      <c r="L1141">
        <v>460.24</v>
      </c>
      <c r="M1141">
        <f>(Table1[[#This Row],[unit_price]]*Table1[[#This Row],[quantity]])-(Table1[[#This Row],[unit_price]]*Table1[[#This Row],[discount]]*Table1[[#This Row],[quantity]])</f>
        <v>460.24080000000004</v>
      </c>
      <c r="N1141">
        <f>DAY(Table1[[#This Row],[order_date]])</f>
        <v>13</v>
      </c>
      <c r="O1141" t="str">
        <f>TEXT(Table1[[#This Row],[order_date]],"mmm")</f>
        <v>Feb</v>
      </c>
      <c r="P1141">
        <f>YEAR(Table1[[#This Row],[order_date]])</f>
        <v>2025</v>
      </c>
    </row>
    <row r="1142" spans="1:16" x14ac:dyDescent="0.3">
      <c r="A1142">
        <v>11141</v>
      </c>
      <c r="B1142" s="1">
        <v>45702</v>
      </c>
      <c r="C1142">
        <v>1970</v>
      </c>
      <c r="D1142" t="s">
        <v>12</v>
      </c>
      <c r="E1142" t="s">
        <v>13</v>
      </c>
      <c r="F1142">
        <v>5</v>
      </c>
      <c r="G1142">
        <v>496.18</v>
      </c>
      <c r="H1142">
        <v>0.02</v>
      </c>
      <c r="I1142" t="s">
        <v>16</v>
      </c>
      <c r="J1142">
        <v>7</v>
      </c>
      <c r="K1142">
        <v>2.2999999999999998</v>
      </c>
      <c r="L1142">
        <v>2431.2800000000002</v>
      </c>
      <c r="M1142">
        <f>(Table1[[#This Row],[unit_price]]*Table1[[#This Row],[quantity]])-(Table1[[#This Row],[unit_price]]*Table1[[#This Row],[discount]]*Table1[[#This Row],[quantity]])</f>
        <v>2431.2820000000002</v>
      </c>
      <c r="N1142">
        <f>DAY(Table1[[#This Row],[order_date]])</f>
        <v>14</v>
      </c>
      <c r="O1142" t="str">
        <f>TEXT(Table1[[#This Row],[order_date]],"mmm")</f>
        <v>Feb</v>
      </c>
      <c r="P1142">
        <f>YEAR(Table1[[#This Row],[order_date]])</f>
        <v>2025</v>
      </c>
    </row>
    <row r="1143" spans="1:16" x14ac:dyDescent="0.3">
      <c r="A1143">
        <v>11142</v>
      </c>
      <c r="B1143" s="1">
        <v>45703</v>
      </c>
      <c r="C1143">
        <v>1882</v>
      </c>
      <c r="D1143" t="s">
        <v>19</v>
      </c>
      <c r="E1143" t="s">
        <v>20</v>
      </c>
      <c r="F1143">
        <v>4</v>
      </c>
      <c r="G1143">
        <v>252.52</v>
      </c>
      <c r="H1143">
        <v>0.04</v>
      </c>
      <c r="I1143" t="s">
        <v>18</v>
      </c>
      <c r="J1143">
        <v>1</v>
      </c>
      <c r="K1143">
        <v>1.4</v>
      </c>
      <c r="L1143">
        <v>969.68</v>
      </c>
      <c r="M1143">
        <f>(Table1[[#This Row],[unit_price]]*Table1[[#This Row],[quantity]])-(Table1[[#This Row],[unit_price]]*Table1[[#This Row],[discount]]*Table1[[#This Row],[quantity]])</f>
        <v>969.67680000000007</v>
      </c>
      <c r="N1143">
        <f>DAY(Table1[[#This Row],[order_date]])</f>
        <v>15</v>
      </c>
      <c r="O1143" t="str">
        <f>TEXT(Table1[[#This Row],[order_date]],"mmm")</f>
        <v>Feb</v>
      </c>
      <c r="P1143">
        <f>YEAR(Table1[[#This Row],[order_date]])</f>
        <v>2025</v>
      </c>
    </row>
    <row r="1144" spans="1:16" x14ac:dyDescent="0.3">
      <c r="A1144">
        <v>11143</v>
      </c>
      <c r="B1144" s="1">
        <v>45704</v>
      </c>
      <c r="C1144">
        <v>1110</v>
      </c>
      <c r="D1144" t="s">
        <v>22</v>
      </c>
      <c r="E1144" t="s">
        <v>13</v>
      </c>
      <c r="F1144">
        <v>2</v>
      </c>
      <c r="G1144">
        <v>591.04</v>
      </c>
      <c r="H1144">
        <v>0.32</v>
      </c>
      <c r="I1144" t="s">
        <v>16</v>
      </c>
      <c r="J1144">
        <v>11</v>
      </c>
      <c r="K1144">
        <v>2.2000000000000002</v>
      </c>
      <c r="L1144">
        <v>803.81</v>
      </c>
      <c r="M1144">
        <f>(Table1[[#This Row],[unit_price]]*Table1[[#This Row],[quantity]])-(Table1[[#This Row],[unit_price]]*Table1[[#This Row],[discount]]*Table1[[#This Row],[quantity]])</f>
        <v>803.81439999999998</v>
      </c>
      <c r="N1144">
        <f>DAY(Table1[[#This Row],[order_date]])</f>
        <v>16</v>
      </c>
      <c r="O1144" t="str">
        <f>TEXT(Table1[[#This Row],[order_date]],"mmm")</f>
        <v>Feb</v>
      </c>
      <c r="P1144">
        <f>YEAR(Table1[[#This Row],[order_date]])</f>
        <v>2025</v>
      </c>
    </row>
    <row r="1145" spans="1:16" x14ac:dyDescent="0.3">
      <c r="A1145">
        <v>11144</v>
      </c>
      <c r="B1145" s="1">
        <v>45705</v>
      </c>
      <c r="C1145">
        <v>1760</v>
      </c>
      <c r="D1145" t="s">
        <v>22</v>
      </c>
      <c r="E1145" t="s">
        <v>21</v>
      </c>
      <c r="F1145">
        <v>2</v>
      </c>
      <c r="G1145">
        <v>465.74</v>
      </c>
      <c r="H1145">
        <v>0.22</v>
      </c>
      <c r="I1145" t="s">
        <v>18</v>
      </c>
      <c r="J1145">
        <v>3</v>
      </c>
      <c r="K1145">
        <v>4.4000000000000004</v>
      </c>
      <c r="L1145">
        <v>726.55</v>
      </c>
      <c r="M1145">
        <f>(Table1[[#This Row],[unit_price]]*Table1[[#This Row],[quantity]])-(Table1[[#This Row],[unit_price]]*Table1[[#This Row],[discount]]*Table1[[#This Row],[quantity]])</f>
        <v>726.55439999999999</v>
      </c>
      <c r="N1145">
        <f>DAY(Table1[[#This Row],[order_date]])</f>
        <v>17</v>
      </c>
      <c r="O1145" t="str">
        <f>TEXT(Table1[[#This Row],[order_date]],"mmm")</f>
        <v>Feb</v>
      </c>
      <c r="P1145">
        <f>YEAR(Table1[[#This Row],[order_date]])</f>
        <v>2025</v>
      </c>
    </row>
    <row r="1146" spans="1:16" x14ac:dyDescent="0.3">
      <c r="A1146">
        <v>11145</v>
      </c>
      <c r="B1146" s="1">
        <v>45706</v>
      </c>
      <c r="C1146">
        <v>1662</v>
      </c>
      <c r="D1146" t="s">
        <v>15</v>
      </c>
      <c r="E1146" t="s">
        <v>13</v>
      </c>
      <c r="F1146">
        <v>3</v>
      </c>
      <c r="G1146">
        <v>580.08000000000004</v>
      </c>
      <c r="H1146">
        <v>0.3</v>
      </c>
      <c r="I1146" t="s">
        <v>18</v>
      </c>
      <c r="J1146">
        <v>6</v>
      </c>
      <c r="K1146">
        <v>4.0999999999999996</v>
      </c>
      <c r="L1146">
        <v>1218.17</v>
      </c>
      <c r="M1146">
        <f>(Table1[[#This Row],[unit_price]]*Table1[[#This Row],[quantity]])-(Table1[[#This Row],[unit_price]]*Table1[[#This Row],[discount]]*Table1[[#This Row],[quantity]])</f>
        <v>1218.1680000000001</v>
      </c>
      <c r="N1146">
        <f>DAY(Table1[[#This Row],[order_date]])</f>
        <v>18</v>
      </c>
      <c r="O1146" t="str">
        <f>TEXT(Table1[[#This Row],[order_date]],"mmm")</f>
        <v>Feb</v>
      </c>
      <c r="P1146">
        <f>YEAR(Table1[[#This Row],[order_date]])</f>
        <v>2025</v>
      </c>
    </row>
    <row r="1147" spans="1:16" x14ac:dyDescent="0.3">
      <c r="A1147">
        <v>11146</v>
      </c>
      <c r="B1147" s="1">
        <v>45707</v>
      </c>
      <c r="C1147">
        <v>1182</v>
      </c>
      <c r="D1147" t="s">
        <v>12</v>
      </c>
      <c r="E1147" t="s">
        <v>21</v>
      </c>
      <c r="F1147">
        <v>2</v>
      </c>
      <c r="G1147">
        <v>315.88</v>
      </c>
      <c r="H1147">
        <v>0.31</v>
      </c>
      <c r="I1147" t="s">
        <v>18</v>
      </c>
      <c r="J1147">
        <v>9</v>
      </c>
      <c r="K1147">
        <v>4.9000000000000004</v>
      </c>
      <c r="L1147">
        <v>435.91</v>
      </c>
      <c r="M1147">
        <f>(Table1[[#This Row],[unit_price]]*Table1[[#This Row],[quantity]])-(Table1[[#This Row],[unit_price]]*Table1[[#This Row],[discount]]*Table1[[#This Row],[quantity]])</f>
        <v>435.9144</v>
      </c>
      <c r="N1147">
        <f>DAY(Table1[[#This Row],[order_date]])</f>
        <v>19</v>
      </c>
      <c r="O1147" t="str">
        <f>TEXT(Table1[[#This Row],[order_date]],"mmm")</f>
        <v>Feb</v>
      </c>
      <c r="P1147">
        <f>YEAR(Table1[[#This Row],[order_date]])</f>
        <v>2025</v>
      </c>
    </row>
    <row r="1148" spans="1:16" x14ac:dyDescent="0.3">
      <c r="A1148">
        <v>11147</v>
      </c>
      <c r="B1148" s="1">
        <v>45708</v>
      </c>
      <c r="C1148">
        <v>1847</v>
      </c>
      <c r="D1148" t="s">
        <v>19</v>
      </c>
      <c r="E1148" t="s">
        <v>17</v>
      </c>
      <c r="F1148">
        <v>5</v>
      </c>
      <c r="G1148">
        <v>292.11</v>
      </c>
      <c r="H1148">
        <v>0.16</v>
      </c>
      <c r="I1148" t="s">
        <v>18</v>
      </c>
      <c r="J1148">
        <v>5</v>
      </c>
      <c r="K1148">
        <v>3.6</v>
      </c>
      <c r="L1148">
        <v>1226.8599999999999</v>
      </c>
      <c r="M1148">
        <f>(Table1[[#This Row],[unit_price]]*Table1[[#This Row],[quantity]])-(Table1[[#This Row],[unit_price]]*Table1[[#This Row],[discount]]*Table1[[#This Row],[quantity]])</f>
        <v>1226.8620000000001</v>
      </c>
      <c r="N1148">
        <f>DAY(Table1[[#This Row],[order_date]])</f>
        <v>20</v>
      </c>
      <c r="O1148" t="str">
        <f>TEXT(Table1[[#This Row],[order_date]],"mmm")</f>
        <v>Feb</v>
      </c>
      <c r="P1148">
        <f>YEAR(Table1[[#This Row],[order_date]])</f>
        <v>2025</v>
      </c>
    </row>
    <row r="1149" spans="1:16" x14ac:dyDescent="0.3">
      <c r="A1149">
        <v>11148</v>
      </c>
      <c r="B1149" s="1">
        <v>45709</v>
      </c>
      <c r="C1149">
        <v>1094</v>
      </c>
      <c r="D1149" t="s">
        <v>19</v>
      </c>
      <c r="E1149" t="s">
        <v>13</v>
      </c>
      <c r="F1149">
        <v>4</v>
      </c>
      <c r="G1149">
        <v>456.94</v>
      </c>
      <c r="H1149">
        <v>0.02</v>
      </c>
      <c r="I1149" t="s">
        <v>16</v>
      </c>
      <c r="J1149">
        <v>5</v>
      </c>
      <c r="K1149">
        <v>3.2</v>
      </c>
      <c r="L1149">
        <v>1791.2</v>
      </c>
      <c r="M1149">
        <f>(Table1[[#This Row],[unit_price]]*Table1[[#This Row],[quantity]])-(Table1[[#This Row],[unit_price]]*Table1[[#This Row],[discount]]*Table1[[#This Row],[quantity]])</f>
        <v>1791.2048</v>
      </c>
      <c r="N1149">
        <f>DAY(Table1[[#This Row],[order_date]])</f>
        <v>21</v>
      </c>
      <c r="O1149" t="str">
        <f>TEXT(Table1[[#This Row],[order_date]],"mmm")</f>
        <v>Feb</v>
      </c>
      <c r="P1149">
        <f>YEAR(Table1[[#This Row],[order_date]])</f>
        <v>2025</v>
      </c>
    </row>
    <row r="1150" spans="1:16" x14ac:dyDescent="0.3">
      <c r="A1150">
        <v>11149</v>
      </c>
      <c r="B1150" s="1">
        <v>45710</v>
      </c>
      <c r="C1150">
        <v>1970</v>
      </c>
      <c r="D1150" t="s">
        <v>19</v>
      </c>
      <c r="E1150" t="s">
        <v>13</v>
      </c>
      <c r="F1150">
        <v>3</v>
      </c>
      <c r="G1150">
        <v>529.97</v>
      </c>
      <c r="H1150">
        <v>7.0000000000000007E-2</v>
      </c>
      <c r="I1150" t="s">
        <v>18</v>
      </c>
      <c r="J1150">
        <v>9</v>
      </c>
      <c r="K1150">
        <v>2.2000000000000002</v>
      </c>
      <c r="L1150">
        <v>1478.62</v>
      </c>
      <c r="M1150">
        <f>(Table1[[#This Row],[unit_price]]*Table1[[#This Row],[quantity]])-(Table1[[#This Row],[unit_price]]*Table1[[#This Row],[discount]]*Table1[[#This Row],[quantity]])</f>
        <v>1478.6163000000001</v>
      </c>
      <c r="N1150">
        <f>DAY(Table1[[#This Row],[order_date]])</f>
        <v>22</v>
      </c>
      <c r="O1150" t="str">
        <f>TEXT(Table1[[#This Row],[order_date]],"mmm")</f>
        <v>Feb</v>
      </c>
      <c r="P1150">
        <f>YEAR(Table1[[#This Row],[order_date]])</f>
        <v>2025</v>
      </c>
    </row>
    <row r="1151" spans="1:16" x14ac:dyDescent="0.3">
      <c r="A1151">
        <v>11150</v>
      </c>
      <c r="B1151" s="1">
        <v>45711</v>
      </c>
      <c r="C1151">
        <v>1373</v>
      </c>
      <c r="D1151" t="s">
        <v>15</v>
      </c>
      <c r="E1151" t="s">
        <v>13</v>
      </c>
      <c r="F1151">
        <v>1</v>
      </c>
      <c r="G1151">
        <v>579.03</v>
      </c>
      <c r="H1151">
        <v>0.02</v>
      </c>
      <c r="I1151" t="s">
        <v>16</v>
      </c>
      <c r="J1151">
        <v>9</v>
      </c>
      <c r="K1151">
        <v>1.3</v>
      </c>
      <c r="L1151">
        <v>567.45000000000005</v>
      </c>
      <c r="M1151">
        <f>(Table1[[#This Row],[unit_price]]*Table1[[#This Row],[quantity]])-(Table1[[#This Row],[unit_price]]*Table1[[#This Row],[discount]]*Table1[[#This Row],[quantity]])</f>
        <v>567.44939999999997</v>
      </c>
      <c r="N1151">
        <f>DAY(Table1[[#This Row],[order_date]])</f>
        <v>23</v>
      </c>
      <c r="O1151" t="str">
        <f>TEXT(Table1[[#This Row],[order_date]],"mmm")</f>
        <v>Feb</v>
      </c>
      <c r="P1151">
        <f>YEAR(Table1[[#This Row],[order_date]])</f>
        <v>2025</v>
      </c>
    </row>
    <row r="1152" spans="1:16" x14ac:dyDescent="0.3">
      <c r="A1152">
        <v>11151</v>
      </c>
      <c r="B1152" s="1">
        <v>45712</v>
      </c>
      <c r="C1152">
        <v>1911</v>
      </c>
      <c r="D1152" t="s">
        <v>19</v>
      </c>
      <c r="E1152" t="s">
        <v>21</v>
      </c>
      <c r="F1152">
        <v>7</v>
      </c>
      <c r="G1152">
        <v>204.86</v>
      </c>
      <c r="H1152">
        <v>7.0000000000000007E-2</v>
      </c>
      <c r="I1152" t="s">
        <v>16</v>
      </c>
      <c r="J1152">
        <v>6</v>
      </c>
      <c r="K1152">
        <v>3.5</v>
      </c>
      <c r="L1152">
        <v>1333.64</v>
      </c>
      <c r="M1152">
        <f>(Table1[[#This Row],[unit_price]]*Table1[[#This Row],[quantity]])-(Table1[[#This Row],[unit_price]]*Table1[[#This Row],[discount]]*Table1[[#This Row],[quantity]])</f>
        <v>1333.6386</v>
      </c>
      <c r="N1152">
        <f>DAY(Table1[[#This Row],[order_date]])</f>
        <v>24</v>
      </c>
      <c r="O1152" t="str">
        <f>TEXT(Table1[[#This Row],[order_date]],"mmm")</f>
        <v>Feb</v>
      </c>
      <c r="P1152">
        <f>YEAR(Table1[[#This Row],[order_date]])</f>
        <v>2025</v>
      </c>
    </row>
    <row r="1153" spans="1:16" x14ac:dyDescent="0.3">
      <c r="A1153">
        <v>11152</v>
      </c>
      <c r="B1153" s="1">
        <v>45713</v>
      </c>
      <c r="C1153">
        <v>1519</v>
      </c>
      <c r="D1153" t="s">
        <v>19</v>
      </c>
      <c r="E1153" t="s">
        <v>21</v>
      </c>
      <c r="F1153">
        <v>1</v>
      </c>
      <c r="G1153">
        <v>482.24</v>
      </c>
      <c r="H1153">
        <v>0.14000000000000001</v>
      </c>
      <c r="I1153" t="s">
        <v>14</v>
      </c>
      <c r="J1153">
        <v>5</v>
      </c>
      <c r="K1153">
        <v>3</v>
      </c>
      <c r="L1153">
        <v>414.73</v>
      </c>
      <c r="M1153">
        <f>(Table1[[#This Row],[unit_price]]*Table1[[#This Row],[quantity]])-(Table1[[#This Row],[unit_price]]*Table1[[#This Row],[discount]]*Table1[[#This Row],[quantity]])</f>
        <v>414.72640000000001</v>
      </c>
      <c r="N1153">
        <f>DAY(Table1[[#This Row],[order_date]])</f>
        <v>25</v>
      </c>
      <c r="O1153" t="str">
        <f>TEXT(Table1[[#This Row],[order_date]],"mmm")</f>
        <v>Feb</v>
      </c>
      <c r="P1153">
        <f>YEAR(Table1[[#This Row],[order_date]])</f>
        <v>2025</v>
      </c>
    </row>
    <row r="1154" spans="1:16" x14ac:dyDescent="0.3">
      <c r="A1154">
        <v>11153</v>
      </c>
      <c r="B1154" s="1">
        <v>45714</v>
      </c>
      <c r="C1154">
        <v>1899</v>
      </c>
      <c r="D1154" t="s">
        <v>22</v>
      </c>
      <c r="E1154" t="s">
        <v>13</v>
      </c>
      <c r="F1154">
        <v>4</v>
      </c>
      <c r="G1154">
        <v>138.22999999999999</v>
      </c>
      <c r="H1154">
        <v>0.04</v>
      </c>
      <c r="I1154" t="s">
        <v>18</v>
      </c>
      <c r="J1154">
        <v>10</v>
      </c>
      <c r="K1154">
        <v>4</v>
      </c>
      <c r="L1154">
        <v>530.79999999999995</v>
      </c>
      <c r="M1154">
        <f>(Table1[[#This Row],[unit_price]]*Table1[[#This Row],[quantity]])-(Table1[[#This Row],[unit_price]]*Table1[[#This Row],[discount]]*Table1[[#This Row],[quantity]])</f>
        <v>530.80319999999995</v>
      </c>
      <c r="N1154">
        <f>DAY(Table1[[#This Row],[order_date]])</f>
        <v>26</v>
      </c>
      <c r="O1154" t="str">
        <f>TEXT(Table1[[#This Row],[order_date]],"mmm")</f>
        <v>Feb</v>
      </c>
      <c r="P1154">
        <f>YEAR(Table1[[#This Row],[order_date]])</f>
        <v>2025</v>
      </c>
    </row>
    <row r="1155" spans="1:16" x14ac:dyDescent="0.3">
      <c r="A1155">
        <v>11154</v>
      </c>
      <c r="B1155" s="1">
        <v>45715</v>
      </c>
      <c r="C1155">
        <v>1359</v>
      </c>
      <c r="D1155" t="s">
        <v>12</v>
      </c>
      <c r="E1155" t="s">
        <v>13</v>
      </c>
      <c r="F1155">
        <v>7</v>
      </c>
      <c r="G1155">
        <v>334.16</v>
      </c>
      <c r="H1155">
        <v>0.06</v>
      </c>
      <c r="I1155" t="s">
        <v>14</v>
      </c>
      <c r="J1155">
        <v>2</v>
      </c>
      <c r="K1155">
        <v>2.6</v>
      </c>
      <c r="L1155">
        <v>2198.77</v>
      </c>
      <c r="M1155">
        <f>(Table1[[#This Row],[unit_price]]*Table1[[#This Row],[quantity]])-(Table1[[#This Row],[unit_price]]*Table1[[#This Row],[discount]]*Table1[[#This Row],[quantity]])</f>
        <v>2198.7728000000002</v>
      </c>
      <c r="N1155">
        <f>DAY(Table1[[#This Row],[order_date]])</f>
        <v>27</v>
      </c>
      <c r="O1155" t="str">
        <f>TEXT(Table1[[#This Row],[order_date]],"mmm")</f>
        <v>Feb</v>
      </c>
      <c r="P1155">
        <f>YEAR(Table1[[#This Row],[order_date]])</f>
        <v>2025</v>
      </c>
    </row>
    <row r="1156" spans="1:16" x14ac:dyDescent="0.3">
      <c r="A1156">
        <v>11155</v>
      </c>
      <c r="B1156" s="1">
        <v>45716</v>
      </c>
      <c r="C1156">
        <v>1899</v>
      </c>
      <c r="D1156" t="s">
        <v>19</v>
      </c>
      <c r="E1156" t="s">
        <v>17</v>
      </c>
      <c r="F1156">
        <v>1</v>
      </c>
      <c r="G1156">
        <v>120.21</v>
      </c>
      <c r="H1156">
        <v>0.16</v>
      </c>
      <c r="I1156" t="s">
        <v>16</v>
      </c>
      <c r="J1156">
        <v>11</v>
      </c>
      <c r="K1156">
        <v>4.9000000000000004</v>
      </c>
      <c r="L1156">
        <v>100.98</v>
      </c>
      <c r="M1156">
        <f>(Table1[[#This Row],[unit_price]]*Table1[[#This Row],[quantity]])-(Table1[[#This Row],[unit_price]]*Table1[[#This Row],[discount]]*Table1[[#This Row],[quantity]])</f>
        <v>100.9764</v>
      </c>
      <c r="N1156">
        <f>DAY(Table1[[#This Row],[order_date]])</f>
        <v>28</v>
      </c>
      <c r="O1156" t="str">
        <f>TEXT(Table1[[#This Row],[order_date]],"mmm")</f>
        <v>Feb</v>
      </c>
      <c r="P1156">
        <f>YEAR(Table1[[#This Row],[order_date]])</f>
        <v>2025</v>
      </c>
    </row>
    <row r="1157" spans="1:16" x14ac:dyDescent="0.3">
      <c r="A1157">
        <v>11156</v>
      </c>
      <c r="B1157" s="1">
        <v>45717</v>
      </c>
      <c r="C1157">
        <v>1695</v>
      </c>
      <c r="D1157" t="s">
        <v>15</v>
      </c>
      <c r="E1157" t="s">
        <v>17</v>
      </c>
      <c r="F1157">
        <v>5</v>
      </c>
      <c r="G1157">
        <v>218.23</v>
      </c>
      <c r="H1157">
        <v>0.12</v>
      </c>
      <c r="I1157" t="s">
        <v>18</v>
      </c>
      <c r="J1157">
        <v>8</v>
      </c>
      <c r="K1157">
        <v>2.6</v>
      </c>
      <c r="L1157">
        <v>960.21</v>
      </c>
      <c r="M1157">
        <f>(Table1[[#This Row],[unit_price]]*Table1[[#This Row],[quantity]])-(Table1[[#This Row],[unit_price]]*Table1[[#This Row],[discount]]*Table1[[#This Row],[quantity]])</f>
        <v>960.21199999999988</v>
      </c>
      <c r="N1157">
        <f>DAY(Table1[[#This Row],[order_date]])</f>
        <v>1</v>
      </c>
      <c r="O1157" t="str">
        <f>TEXT(Table1[[#This Row],[order_date]],"mmm")</f>
        <v>Mar</v>
      </c>
      <c r="P1157">
        <f>YEAR(Table1[[#This Row],[order_date]])</f>
        <v>2025</v>
      </c>
    </row>
    <row r="1158" spans="1:16" x14ac:dyDescent="0.3">
      <c r="A1158">
        <v>11157</v>
      </c>
      <c r="B1158" s="1">
        <v>45718</v>
      </c>
      <c r="C1158">
        <v>1280</v>
      </c>
      <c r="D1158" t="s">
        <v>12</v>
      </c>
      <c r="E1158" t="s">
        <v>20</v>
      </c>
      <c r="F1158">
        <v>2</v>
      </c>
      <c r="G1158">
        <v>559.84</v>
      </c>
      <c r="H1158">
        <v>0.16</v>
      </c>
      <c r="I1158" t="s">
        <v>16</v>
      </c>
      <c r="J1158">
        <v>8</v>
      </c>
      <c r="K1158">
        <v>2.2999999999999998</v>
      </c>
      <c r="L1158">
        <v>940.53</v>
      </c>
      <c r="M1158">
        <f>(Table1[[#This Row],[unit_price]]*Table1[[#This Row],[quantity]])-(Table1[[#This Row],[unit_price]]*Table1[[#This Row],[discount]]*Table1[[#This Row],[quantity]])</f>
        <v>940.53120000000001</v>
      </c>
      <c r="N1158">
        <f>DAY(Table1[[#This Row],[order_date]])</f>
        <v>2</v>
      </c>
      <c r="O1158" t="str">
        <f>TEXT(Table1[[#This Row],[order_date]],"mmm")</f>
        <v>Mar</v>
      </c>
      <c r="P1158">
        <f>YEAR(Table1[[#This Row],[order_date]])</f>
        <v>2025</v>
      </c>
    </row>
    <row r="1159" spans="1:16" x14ac:dyDescent="0.3">
      <c r="A1159">
        <v>11158</v>
      </c>
      <c r="B1159" s="1">
        <v>45719</v>
      </c>
      <c r="C1159">
        <v>1194</v>
      </c>
      <c r="D1159" t="s">
        <v>19</v>
      </c>
      <c r="E1159" t="s">
        <v>17</v>
      </c>
      <c r="F1159">
        <v>4</v>
      </c>
      <c r="G1159">
        <v>100.46</v>
      </c>
      <c r="H1159">
        <v>0.15</v>
      </c>
      <c r="I1159" t="s">
        <v>18</v>
      </c>
      <c r="J1159">
        <v>7</v>
      </c>
      <c r="K1159">
        <v>4.5</v>
      </c>
      <c r="L1159">
        <v>341.56</v>
      </c>
      <c r="M1159">
        <f>(Table1[[#This Row],[unit_price]]*Table1[[#This Row],[quantity]])-(Table1[[#This Row],[unit_price]]*Table1[[#This Row],[discount]]*Table1[[#This Row],[quantity]])</f>
        <v>341.56399999999996</v>
      </c>
      <c r="N1159">
        <f>DAY(Table1[[#This Row],[order_date]])</f>
        <v>3</v>
      </c>
      <c r="O1159" t="str">
        <f>TEXT(Table1[[#This Row],[order_date]],"mmm")</f>
        <v>Mar</v>
      </c>
      <c r="P1159">
        <f>YEAR(Table1[[#This Row],[order_date]])</f>
        <v>2025</v>
      </c>
    </row>
    <row r="1160" spans="1:16" x14ac:dyDescent="0.3">
      <c r="A1160">
        <v>11159</v>
      </c>
      <c r="B1160" s="1">
        <v>45720</v>
      </c>
      <c r="C1160">
        <v>1863</v>
      </c>
      <c r="D1160" t="s">
        <v>19</v>
      </c>
      <c r="E1160" t="s">
        <v>17</v>
      </c>
      <c r="F1160">
        <v>7</v>
      </c>
      <c r="G1160">
        <v>384.95</v>
      </c>
      <c r="H1160">
        <v>0.23</v>
      </c>
      <c r="I1160" t="s">
        <v>16</v>
      </c>
      <c r="J1160">
        <v>8</v>
      </c>
      <c r="K1160">
        <v>2.6</v>
      </c>
      <c r="L1160">
        <v>2074.88</v>
      </c>
      <c r="M1160">
        <f>(Table1[[#This Row],[unit_price]]*Table1[[#This Row],[quantity]])-(Table1[[#This Row],[unit_price]]*Table1[[#This Row],[discount]]*Table1[[#This Row],[quantity]])</f>
        <v>2074.8805000000002</v>
      </c>
      <c r="N1160">
        <f>DAY(Table1[[#This Row],[order_date]])</f>
        <v>4</v>
      </c>
      <c r="O1160" t="str">
        <f>TEXT(Table1[[#This Row],[order_date]],"mmm")</f>
        <v>Mar</v>
      </c>
      <c r="P1160">
        <f>YEAR(Table1[[#This Row],[order_date]])</f>
        <v>2025</v>
      </c>
    </row>
    <row r="1161" spans="1:16" x14ac:dyDescent="0.3">
      <c r="A1161">
        <v>11160</v>
      </c>
      <c r="B1161" s="1">
        <v>45721</v>
      </c>
      <c r="C1161">
        <v>1194</v>
      </c>
      <c r="D1161" t="s">
        <v>19</v>
      </c>
      <c r="E1161" t="s">
        <v>17</v>
      </c>
      <c r="F1161">
        <v>3</v>
      </c>
      <c r="G1161">
        <v>361.88</v>
      </c>
      <c r="H1161">
        <v>0.33</v>
      </c>
      <c r="I1161" t="s">
        <v>16</v>
      </c>
      <c r="J1161">
        <v>3</v>
      </c>
      <c r="K1161">
        <v>4.5</v>
      </c>
      <c r="L1161">
        <v>727.38</v>
      </c>
      <c r="M1161">
        <f>(Table1[[#This Row],[unit_price]]*Table1[[#This Row],[quantity]])-(Table1[[#This Row],[unit_price]]*Table1[[#This Row],[discount]]*Table1[[#This Row],[quantity]])</f>
        <v>727.37879999999984</v>
      </c>
      <c r="N1161">
        <f>DAY(Table1[[#This Row],[order_date]])</f>
        <v>5</v>
      </c>
      <c r="O1161" t="str">
        <f>TEXT(Table1[[#This Row],[order_date]],"mmm")</f>
        <v>Mar</v>
      </c>
      <c r="P1161">
        <f>YEAR(Table1[[#This Row],[order_date]])</f>
        <v>2025</v>
      </c>
    </row>
    <row r="1162" spans="1:16" x14ac:dyDescent="0.3">
      <c r="A1162">
        <v>11161</v>
      </c>
      <c r="B1162" s="1">
        <v>45722</v>
      </c>
      <c r="C1162">
        <v>1666</v>
      </c>
      <c r="D1162" t="s">
        <v>15</v>
      </c>
      <c r="E1162" t="s">
        <v>21</v>
      </c>
      <c r="F1162">
        <v>2</v>
      </c>
      <c r="G1162">
        <v>85.63</v>
      </c>
      <c r="H1162">
        <v>0.04</v>
      </c>
      <c r="I1162" t="s">
        <v>16</v>
      </c>
      <c r="J1162">
        <v>3</v>
      </c>
      <c r="K1162">
        <v>1.1000000000000001</v>
      </c>
      <c r="L1162">
        <v>164.41</v>
      </c>
      <c r="M1162">
        <f>(Table1[[#This Row],[unit_price]]*Table1[[#This Row],[quantity]])-(Table1[[#This Row],[unit_price]]*Table1[[#This Row],[discount]]*Table1[[#This Row],[quantity]])</f>
        <v>164.40959999999998</v>
      </c>
      <c r="N1162">
        <f>DAY(Table1[[#This Row],[order_date]])</f>
        <v>6</v>
      </c>
      <c r="O1162" t="str">
        <f>TEXT(Table1[[#This Row],[order_date]],"mmm")</f>
        <v>Mar</v>
      </c>
      <c r="P1162">
        <f>YEAR(Table1[[#This Row],[order_date]])</f>
        <v>2025</v>
      </c>
    </row>
    <row r="1163" spans="1:16" x14ac:dyDescent="0.3">
      <c r="A1163">
        <v>11162</v>
      </c>
      <c r="B1163" s="1">
        <v>45723</v>
      </c>
      <c r="C1163">
        <v>1092</v>
      </c>
      <c r="D1163" t="s">
        <v>19</v>
      </c>
      <c r="E1163" t="s">
        <v>17</v>
      </c>
      <c r="F1163">
        <v>1</v>
      </c>
      <c r="G1163">
        <v>205.7</v>
      </c>
      <c r="H1163">
        <v>0.03</v>
      </c>
      <c r="I1163" t="s">
        <v>18</v>
      </c>
      <c r="J1163">
        <v>2</v>
      </c>
      <c r="K1163">
        <v>3.8</v>
      </c>
      <c r="L1163">
        <v>199.53</v>
      </c>
      <c r="M1163">
        <f>(Table1[[#This Row],[unit_price]]*Table1[[#This Row],[quantity]])-(Table1[[#This Row],[unit_price]]*Table1[[#This Row],[discount]]*Table1[[#This Row],[quantity]])</f>
        <v>199.529</v>
      </c>
      <c r="N1163">
        <f>DAY(Table1[[#This Row],[order_date]])</f>
        <v>7</v>
      </c>
      <c r="O1163" t="str">
        <f>TEXT(Table1[[#This Row],[order_date]],"mmm")</f>
        <v>Mar</v>
      </c>
      <c r="P1163">
        <f>YEAR(Table1[[#This Row],[order_date]])</f>
        <v>2025</v>
      </c>
    </row>
    <row r="1164" spans="1:16" x14ac:dyDescent="0.3">
      <c r="A1164">
        <v>11163</v>
      </c>
      <c r="B1164" s="1">
        <v>45724</v>
      </c>
      <c r="C1164">
        <v>1671</v>
      </c>
      <c r="D1164" t="s">
        <v>12</v>
      </c>
      <c r="E1164" t="s">
        <v>17</v>
      </c>
      <c r="F1164">
        <v>1</v>
      </c>
      <c r="G1164">
        <v>344.34</v>
      </c>
      <c r="H1164">
        <v>0.3</v>
      </c>
      <c r="I1164" t="s">
        <v>16</v>
      </c>
      <c r="J1164">
        <v>1</v>
      </c>
      <c r="K1164">
        <v>1.3</v>
      </c>
      <c r="L1164">
        <v>241.04</v>
      </c>
      <c r="M1164">
        <f>(Table1[[#This Row],[unit_price]]*Table1[[#This Row],[quantity]])-(Table1[[#This Row],[unit_price]]*Table1[[#This Row],[discount]]*Table1[[#This Row],[quantity]])</f>
        <v>241.03799999999998</v>
      </c>
      <c r="N1164">
        <f>DAY(Table1[[#This Row],[order_date]])</f>
        <v>8</v>
      </c>
      <c r="O1164" t="str">
        <f>TEXT(Table1[[#This Row],[order_date]],"mmm")</f>
        <v>Mar</v>
      </c>
      <c r="P1164">
        <f>YEAR(Table1[[#This Row],[order_date]])</f>
        <v>2025</v>
      </c>
    </row>
    <row r="1165" spans="1:16" x14ac:dyDescent="0.3">
      <c r="A1165">
        <v>11164</v>
      </c>
      <c r="B1165" s="1">
        <v>45725</v>
      </c>
      <c r="C1165">
        <v>1945</v>
      </c>
      <c r="D1165" t="s">
        <v>15</v>
      </c>
      <c r="E1165" t="s">
        <v>13</v>
      </c>
      <c r="F1165">
        <v>3</v>
      </c>
      <c r="G1165">
        <v>124.5</v>
      </c>
      <c r="H1165">
        <v>0.18</v>
      </c>
      <c r="I1165" t="s">
        <v>14</v>
      </c>
      <c r="J1165">
        <v>3</v>
      </c>
      <c r="K1165">
        <v>1.6</v>
      </c>
      <c r="L1165">
        <v>306.27</v>
      </c>
      <c r="M1165">
        <f>(Table1[[#This Row],[unit_price]]*Table1[[#This Row],[quantity]])-(Table1[[#This Row],[unit_price]]*Table1[[#This Row],[discount]]*Table1[[#This Row],[quantity]])</f>
        <v>306.27</v>
      </c>
      <c r="N1165">
        <f>DAY(Table1[[#This Row],[order_date]])</f>
        <v>9</v>
      </c>
      <c r="O1165" t="str">
        <f>TEXT(Table1[[#This Row],[order_date]],"mmm")</f>
        <v>Mar</v>
      </c>
      <c r="P1165">
        <f>YEAR(Table1[[#This Row],[order_date]])</f>
        <v>2025</v>
      </c>
    </row>
    <row r="1166" spans="1:16" x14ac:dyDescent="0.3">
      <c r="A1166">
        <v>11165</v>
      </c>
      <c r="B1166" s="1">
        <v>45726</v>
      </c>
      <c r="C1166">
        <v>1060</v>
      </c>
      <c r="D1166" t="s">
        <v>15</v>
      </c>
      <c r="E1166" t="s">
        <v>21</v>
      </c>
      <c r="F1166">
        <v>5</v>
      </c>
      <c r="G1166">
        <v>483.36</v>
      </c>
      <c r="H1166">
        <v>0.27</v>
      </c>
      <c r="I1166" t="s">
        <v>16</v>
      </c>
      <c r="J1166">
        <v>3</v>
      </c>
      <c r="K1166">
        <v>3.8</v>
      </c>
      <c r="L1166">
        <v>1764.26</v>
      </c>
      <c r="M1166">
        <f>(Table1[[#This Row],[unit_price]]*Table1[[#This Row],[quantity]])-(Table1[[#This Row],[unit_price]]*Table1[[#This Row],[discount]]*Table1[[#This Row],[quantity]])</f>
        <v>1764.2640000000001</v>
      </c>
      <c r="N1166">
        <f>DAY(Table1[[#This Row],[order_date]])</f>
        <v>10</v>
      </c>
      <c r="O1166" t="str">
        <f>TEXT(Table1[[#This Row],[order_date]],"mmm")</f>
        <v>Mar</v>
      </c>
      <c r="P1166">
        <f>YEAR(Table1[[#This Row],[order_date]])</f>
        <v>2025</v>
      </c>
    </row>
    <row r="1167" spans="1:16" x14ac:dyDescent="0.3">
      <c r="A1167">
        <v>11166</v>
      </c>
      <c r="B1167" s="1">
        <v>45727</v>
      </c>
      <c r="C1167">
        <v>1633</v>
      </c>
      <c r="D1167" t="s">
        <v>19</v>
      </c>
      <c r="E1167" t="s">
        <v>20</v>
      </c>
      <c r="F1167">
        <v>3</v>
      </c>
      <c r="G1167">
        <v>583.71</v>
      </c>
      <c r="H1167">
        <v>0.08</v>
      </c>
      <c r="I1167" t="s">
        <v>16</v>
      </c>
      <c r="J1167">
        <v>7</v>
      </c>
      <c r="K1167">
        <v>2.2000000000000002</v>
      </c>
      <c r="L1167">
        <v>1611.04</v>
      </c>
      <c r="M1167">
        <f>(Table1[[#This Row],[unit_price]]*Table1[[#This Row],[quantity]])-(Table1[[#This Row],[unit_price]]*Table1[[#This Row],[discount]]*Table1[[#This Row],[quantity]])</f>
        <v>1611.0396000000001</v>
      </c>
      <c r="N1167">
        <f>DAY(Table1[[#This Row],[order_date]])</f>
        <v>11</v>
      </c>
      <c r="O1167" t="str">
        <f>TEXT(Table1[[#This Row],[order_date]],"mmm")</f>
        <v>Mar</v>
      </c>
      <c r="P1167">
        <f>YEAR(Table1[[#This Row],[order_date]])</f>
        <v>2025</v>
      </c>
    </row>
    <row r="1168" spans="1:16" x14ac:dyDescent="0.3">
      <c r="A1168">
        <v>11167</v>
      </c>
      <c r="B1168" s="1">
        <v>45728</v>
      </c>
      <c r="C1168">
        <v>1050</v>
      </c>
      <c r="D1168" t="s">
        <v>15</v>
      </c>
      <c r="E1168" t="s">
        <v>20</v>
      </c>
      <c r="F1168">
        <v>4</v>
      </c>
      <c r="G1168">
        <v>140.63</v>
      </c>
      <c r="H1168">
        <v>0.28999999999999998</v>
      </c>
      <c r="I1168" t="s">
        <v>16</v>
      </c>
      <c r="J1168">
        <v>10</v>
      </c>
      <c r="K1168">
        <v>1.8</v>
      </c>
      <c r="L1168">
        <v>399.39</v>
      </c>
      <c r="M1168">
        <f>(Table1[[#This Row],[unit_price]]*Table1[[#This Row],[quantity]])-(Table1[[#This Row],[unit_price]]*Table1[[#This Row],[discount]]*Table1[[#This Row],[quantity]])</f>
        <v>399.38919999999996</v>
      </c>
      <c r="N1168">
        <f>DAY(Table1[[#This Row],[order_date]])</f>
        <v>12</v>
      </c>
      <c r="O1168" t="str">
        <f>TEXT(Table1[[#This Row],[order_date]],"mmm")</f>
        <v>Mar</v>
      </c>
      <c r="P1168">
        <f>YEAR(Table1[[#This Row],[order_date]])</f>
        <v>2025</v>
      </c>
    </row>
    <row r="1169" spans="1:16" x14ac:dyDescent="0.3">
      <c r="A1169">
        <v>11168</v>
      </c>
      <c r="B1169" s="1">
        <v>45729</v>
      </c>
      <c r="C1169">
        <v>1402</v>
      </c>
      <c r="D1169" t="s">
        <v>22</v>
      </c>
      <c r="E1169" t="s">
        <v>17</v>
      </c>
      <c r="F1169">
        <v>3</v>
      </c>
      <c r="G1169">
        <v>124.34</v>
      </c>
      <c r="H1169">
        <v>0.32</v>
      </c>
      <c r="I1169" t="s">
        <v>14</v>
      </c>
      <c r="J1169">
        <v>9</v>
      </c>
      <c r="K1169">
        <v>4.2</v>
      </c>
      <c r="L1169">
        <v>253.65</v>
      </c>
      <c r="M1169">
        <f>(Table1[[#This Row],[unit_price]]*Table1[[#This Row],[quantity]])-(Table1[[#This Row],[unit_price]]*Table1[[#This Row],[discount]]*Table1[[#This Row],[quantity]])</f>
        <v>253.65359999999998</v>
      </c>
      <c r="N1169">
        <f>DAY(Table1[[#This Row],[order_date]])</f>
        <v>13</v>
      </c>
      <c r="O1169" t="str">
        <f>TEXT(Table1[[#This Row],[order_date]],"mmm")</f>
        <v>Mar</v>
      </c>
      <c r="P1169">
        <f>YEAR(Table1[[#This Row],[order_date]])</f>
        <v>2025</v>
      </c>
    </row>
    <row r="1170" spans="1:16" x14ac:dyDescent="0.3">
      <c r="A1170">
        <v>11169</v>
      </c>
      <c r="B1170" s="1">
        <v>45730</v>
      </c>
      <c r="C1170">
        <v>1788</v>
      </c>
      <c r="D1170" t="s">
        <v>22</v>
      </c>
      <c r="E1170" t="s">
        <v>20</v>
      </c>
      <c r="F1170">
        <v>1</v>
      </c>
      <c r="G1170">
        <v>281.14</v>
      </c>
      <c r="H1170">
        <v>0.22</v>
      </c>
      <c r="I1170" t="s">
        <v>16</v>
      </c>
      <c r="J1170">
        <v>1</v>
      </c>
      <c r="K1170">
        <v>4.8</v>
      </c>
      <c r="L1170">
        <v>219.29</v>
      </c>
      <c r="M1170">
        <f>(Table1[[#This Row],[unit_price]]*Table1[[#This Row],[quantity]])-(Table1[[#This Row],[unit_price]]*Table1[[#This Row],[discount]]*Table1[[#This Row],[quantity]])</f>
        <v>219.28919999999999</v>
      </c>
      <c r="N1170">
        <f>DAY(Table1[[#This Row],[order_date]])</f>
        <v>14</v>
      </c>
      <c r="O1170" t="str">
        <f>TEXT(Table1[[#This Row],[order_date]],"mmm")</f>
        <v>Mar</v>
      </c>
      <c r="P1170">
        <f>YEAR(Table1[[#This Row],[order_date]])</f>
        <v>2025</v>
      </c>
    </row>
    <row r="1171" spans="1:16" x14ac:dyDescent="0.3">
      <c r="A1171">
        <v>11170</v>
      </c>
      <c r="B1171" s="1">
        <v>45731</v>
      </c>
      <c r="C1171">
        <v>1004</v>
      </c>
      <c r="D1171" t="s">
        <v>22</v>
      </c>
      <c r="E1171" t="s">
        <v>20</v>
      </c>
      <c r="F1171">
        <v>5</v>
      </c>
      <c r="G1171">
        <v>452.44</v>
      </c>
      <c r="H1171">
        <v>0.04</v>
      </c>
      <c r="I1171" t="s">
        <v>16</v>
      </c>
      <c r="J1171">
        <v>8</v>
      </c>
      <c r="K1171">
        <v>1.9</v>
      </c>
      <c r="L1171">
        <v>2171.71</v>
      </c>
      <c r="M1171">
        <f>(Table1[[#This Row],[unit_price]]*Table1[[#This Row],[quantity]])-(Table1[[#This Row],[unit_price]]*Table1[[#This Row],[discount]]*Table1[[#This Row],[quantity]])</f>
        <v>2171.712</v>
      </c>
      <c r="N1171">
        <f>DAY(Table1[[#This Row],[order_date]])</f>
        <v>15</v>
      </c>
      <c r="O1171" t="str">
        <f>TEXT(Table1[[#This Row],[order_date]],"mmm")</f>
        <v>Mar</v>
      </c>
      <c r="P1171">
        <f>YEAR(Table1[[#This Row],[order_date]])</f>
        <v>2025</v>
      </c>
    </row>
    <row r="1172" spans="1:16" x14ac:dyDescent="0.3">
      <c r="A1172">
        <v>11171</v>
      </c>
      <c r="B1172" s="1">
        <v>45732</v>
      </c>
      <c r="C1172">
        <v>1465</v>
      </c>
      <c r="D1172" t="s">
        <v>15</v>
      </c>
      <c r="E1172" t="s">
        <v>20</v>
      </c>
      <c r="F1172">
        <v>5</v>
      </c>
      <c r="G1172">
        <v>179.74</v>
      </c>
      <c r="H1172">
        <v>0.31</v>
      </c>
      <c r="I1172" t="s">
        <v>18</v>
      </c>
      <c r="J1172">
        <v>1</v>
      </c>
      <c r="K1172">
        <v>2.2999999999999998</v>
      </c>
      <c r="L1172">
        <v>620.1</v>
      </c>
      <c r="M1172">
        <f>(Table1[[#This Row],[unit_price]]*Table1[[#This Row],[quantity]])-(Table1[[#This Row],[unit_price]]*Table1[[#This Row],[discount]]*Table1[[#This Row],[quantity]])</f>
        <v>620.10300000000007</v>
      </c>
      <c r="N1172">
        <f>DAY(Table1[[#This Row],[order_date]])</f>
        <v>16</v>
      </c>
      <c r="O1172" t="str">
        <f>TEXT(Table1[[#This Row],[order_date]],"mmm")</f>
        <v>Mar</v>
      </c>
      <c r="P1172">
        <f>YEAR(Table1[[#This Row],[order_date]])</f>
        <v>2025</v>
      </c>
    </row>
    <row r="1173" spans="1:16" x14ac:dyDescent="0.3">
      <c r="A1173">
        <v>11172</v>
      </c>
      <c r="B1173" s="1">
        <v>45733</v>
      </c>
      <c r="C1173">
        <v>1603</v>
      </c>
      <c r="D1173" t="s">
        <v>12</v>
      </c>
      <c r="E1173" t="s">
        <v>17</v>
      </c>
      <c r="F1173">
        <v>6</v>
      </c>
      <c r="G1173">
        <v>26.63</v>
      </c>
      <c r="H1173">
        <v>0.28000000000000003</v>
      </c>
      <c r="I1173" t="s">
        <v>16</v>
      </c>
      <c r="J1173">
        <v>3</v>
      </c>
      <c r="K1173">
        <v>3.9</v>
      </c>
      <c r="L1173">
        <v>115.04</v>
      </c>
      <c r="M1173">
        <f>(Table1[[#This Row],[unit_price]]*Table1[[#This Row],[quantity]])-(Table1[[#This Row],[unit_price]]*Table1[[#This Row],[discount]]*Table1[[#This Row],[quantity]])</f>
        <v>115.0416</v>
      </c>
      <c r="N1173">
        <f>DAY(Table1[[#This Row],[order_date]])</f>
        <v>17</v>
      </c>
      <c r="O1173" t="str">
        <f>TEXT(Table1[[#This Row],[order_date]],"mmm")</f>
        <v>Mar</v>
      </c>
      <c r="P1173">
        <f>YEAR(Table1[[#This Row],[order_date]])</f>
        <v>2025</v>
      </c>
    </row>
    <row r="1174" spans="1:16" x14ac:dyDescent="0.3">
      <c r="A1174">
        <v>11173</v>
      </c>
      <c r="B1174" s="1">
        <v>45734</v>
      </c>
      <c r="C1174">
        <v>1681</v>
      </c>
      <c r="D1174" t="s">
        <v>22</v>
      </c>
      <c r="E1174" t="s">
        <v>20</v>
      </c>
      <c r="F1174">
        <v>3</v>
      </c>
      <c r="G1174">
        <v>331.61</v>
      </c>
      <c r="H1174">
        <v>0.26</v>
      </c>
      <c r="I1174" t="s">
        <v>18</v>
      </c>
      <c r="J1174">
        <v>4</v>
      </c>
      <c r="K1174">
        <v>4.3</v>
      </c>
      <c r="L1174">
        <v>736.17</v>
      </c>
      <c r="M1174">
        <f>(Table1[[#This Row],[unit_price]]*Table1[[#This Row],[quantity]])-(Table1[[#This Row],[unit_price]]*Table1[[#This Row],[discount]]*Table1[[#This Row],[quantity]])</f>
        <v>736.17420000000004</v>
      </c>
      <c r="N1174">
        <f>DAY(Table1[[#This Row],[order_date]])</f>
        <v>18</v>
      </c>
      <c r="O1174" t="str">
        <f>TEXT(Table1[[#This Row],[order_date]],"mmm")</f>
        <v>Mar</v>
      </c>
      <c r="P1174">
        <f>YEAR(Table1[[#This Row],[order_date]])</f>
        <v>2025</v>
      </c>
    </row>
    <row r="1175" spans="1:16" x14ac:dyDescent="0.3">
      <c r="A1175">
        <v>11174</v>
      </c>
      <c r="B1175" s="1">
        <v>45735</v>
      </c>
      <c r="C1175">
        <v>1828</v>
      </c>
      <c r="D1175" t="s">
        <v>22</v>
      </c>
      <c r="E1175" t="s">
        <v>17</v>
      </c>
      <c r="F1175">
        <v>4</v>
      </c>
      <c r="G1175">
        <v>574.61</v>
      </c>
      <c r="H1175">
        <v>0.01</v>
      </c>
      <c r="I1175" t="s">
        <v>16</v>
      </c>
      <c r="J1175">
        <v>11</v>
      </c>
      <c r="K1175">
        <v>5</v>
      </c>
      <c r="L1175">
        <v>2275.46</v>
      </c>
      <c r="M1175">
        <f>(Table1[[#This Row],[unit_price]]*Table1[[#This Row],[quantity]])-(Table1[[#This Row],[unit_price]]*Table1[[#This Row],[discount]]*Table1[[#This Row],[quantity]])</f>
        <v>2275.4556000000002</v>
      </c>
      <c r="N1175">
        <f>DAY(Table1[[#This Row],[order_date]])</f>
        <v>19</v>
      </c>
      <c r="O1175" t="str">
        <f>TEXT(Table1[[#This Row],[order_date]],"mmm")</f>
        <v>Mar</v>
      </c>
      <c r="P1175">
        <f>YEAR(Table1[[#This Row],[order_date]])</f>
        <v>2025</v>
      </c>
    </row>
    <row r="1176" spans="1:16" x14ac:dyDescent="0.3">
      <c r="A1176">
        <v>11175</v>
      </c>
      <c r="B1176" s="1">
        <v>45736</v>
      </c>
      <c r="C1176">
        <v>1533</v>
      </c>
      <c r="D1176" t="s">
        <v>19</v>
      </c>
      <c r="E1176" t="s">
        <v>13</v>
      </c>
      <c r="F1176">
        <v>1</v>
      </c>
      <c r="G1176">
        <v>243.9</v>
      </c>
      <c r="H1176">
        <v>0.28000000000000003</v>
      </c>
      <c r="I1176" t="s">
        <v>18</v>
      </c>
      <c r="J1176">
        <v>8</v>
      </c>
      <c r="K1176">
        <v>2.1</v>
      </c>
      <c r="L1176">
        <v>175.61</v>
      </c>
      <c r="M1176">
        <f>(Table1[[#This Row],[unit_price]]*Table1[[#This Row],[quantity]])-(Table1[[#This Row],[unit_price]]*Table1[[#This Row],[discount]]*Table1[[#This Row],[quantity]])</f>
        <v>175.608</v>
      </c>
      <c r="N1176">
        <f>DAY(Table1[[#This Row],[order_date]])</f>
        <v>20</v>
      </c>
      <c r="O1176" t="str">
        <f>TEXT(Table1[[#This Row],[order_date]],"mmm")</f>
        <v>Mar</v>
      </c>
      <c r="P1176">
        <f>YEAR(Table1[[#This Row],[order_date]])</f>
        <v>2025</v>
      </c>
    </row>
    <row r="1177" spans="1:16" x14ac:dyDescent="0.3">
      <c r="A1177">
        <v>11176</v>
      </c>
      <c r="B1177" s="1">
        <v>45737</v>
      </c>
      <c r="C1177">
        <v>1404</v>
      </c>
      <c r="D1177" t="s">
        <v>19</v>
      </c>
      <c r="E1177" t="s">
        <v>13</v>
      </c>
      <c r="F1177">
        <v>2</v>
      </c>
      <c r="G1177">
        <v>260.77999999999997</v>
      </c>
      <c r="H1177">
        <v>0.05</v>
      </c>
      <c r="I1177" t="s">
        <v>16</v>
      </c>
      <c r="J1177">
        <v>1</v>
      </c>
      <c r="K1177">
        <v>3.2</v>
      </c>
      <c r="L1177">
        <v>495.48</v>
      </c>
      <c r="M1177">
        <f>(Table1[[#This Row],[unit_price]]*Table1[[#This Row],[quantity]])-(Table1[[#This Row],[unit_price]]*Table1[[#This Row],[discount]]*Table1[[#This Row],[quantity]])</f>
        <v>495.48199999999997</v>
      </c>
      <c r="N1177">
        <f>DAY(Table1[[#This Row],[order_date]])</f>
        <v>21</v>
      </c>
      <c r="O1177" t="str">
        <f>TEXT(Table1[[#This Row],[order_date]],"mmm")</f>
        <v>Mar</v>
      </c>
      <c r="P1177">
        <f>YEAR(Table1[[#This Row],[order_date]])</f>
        <v>2025</v>
      </c>
    </row>
    <row r="1178" spans="1:16" x14ac:dyDescent="0.3">
      <c r="A1178">
        <v>11177</v>
      </c>
      <c r="B1178" s="1">
        <v>45738</v>
      </c>
      <c r="C1178">
        <v>1837</v>
      </c>
      <c r="D1178" t="s">
        <v>19</v>
      </c>
      <c r="E1178" t="s">
        <v>20</v>
      </c>
      <c r="F1178">
        <v>5</v>
      </c>
      <c r="G1178">
        <v>581.80999999999995</v>
      </c>
      <c r="H1178">
        <v>0.08</v>
      </c>
      <c r="I1178" t="s">
        <v>18</v>
      </c>
      <c r="J1178">
        <v>2</v>
      </c>
      <c r="K1178">
        <v>1.5</v>
      </c>
      <c r="L1178">
        <v>2676.33</v>
      </c>
      <c r="M1178">
        <f>(Table1[[#This Row],[unit_price]]*Table1[[#This Row],[quantity]])-(Table1[[#This Row],[unit_price]]*Table1[[#This Row],[discount]]*Table1[[#This Row],[quantity]])</f>
        <v>2676.3259999999996</v>
      </c>
      <c r="N1178">
        <f>DAY(Table1[[#This Row],[order_date]])</f>
        <v>22</v>
      </c>
      <c r="O1178" t="str">
        <f>TEXT(Table1[[#This Row],[order_date]],"mmm")</f>
        <v>Mar</v>
      </c>
      <c r="P1178">
        <f>YEAR(Table1[[#This Row],[order_date]])</f>
        <v>2025</v>
      </c>
    </row>
    <row r="1179" spans="1:16" x14ac:dyDescent="0.3">
      <c r="A1179">
        <v>11178</v>
      </c>
      <c r="B1179" s="1">
        <v>45739</v>
      </c>
      <c r="C1179">
        <v>1512</v>
      </c>
      <c r="D1179" t="s">
        <v>22</v>
      </c>
      <c r="E1179" t="s">
        <v>13</v>
      </c>
      <c r="F1179">
        <v>3</v>
      </c>
      <c r="G1179">
        <v>421.35</v>
      </c>
      <c r="H1179">
        <v>0.2</v>
      </c>
      <c r="I1179" t="s">
        <v>18</v>
      </c>
      <c r="J1179">
        <v>11</v>
      </c>
      <c r="K1179">
        <v>2.2999999999999998</v>
      </c>
      <c r="L1179">
        <v>1011.24</v>
      </c>
      <c r="M1179">
        <f>(Table1[[#This Row],[unit_price]]*Table1[[#This Row],[quantity]])-(Table1[[#This Row],[unit_price]]*Table1[[#This Row],[discount]]*Table1[[#This Row],[quantity]])</f>
        <v>1011.2400000000001</v>
      </c>
      <c r="N1179">
        <f>DAY(Table1[[#This Row],[order_date]])</f>
        <v>23</v>
      </c>
      <c r="O1179" t="str">
        <f>TEXT(Table1[[#This Row],[order_date]],"mmm")</f>
        <v>Mar</v>
      </c>
      <c r="P1179">
        <f>YEAR(Table1[[#This Row],[order_date]])</f>
        <v>2025</v>
      </c>
    </row>
    <row r="1180" spans="1:16" x14ac:dyDescent="0.3">
      <c r="A1180">
        <v>11179</v>
      </c>
      <c r="B1180" s="1">
        <v>45740</v>
      </c>
      <c r="C1180">
        <v>1644</v>
      </c>
      <c r="D1180" t="s">
        <v>15</v>
      </c>
      <c r="E1180" t="s">
        <v>17</v>
      </c>
      <c r="F1180">
        <v>6</v>
      </c>
      <c r="G1180">
        <v>435.72</v>
      </c>
      <c r="H1180">
        <v>0.09</v>
      </c>
      <c r="I1180" t="s">
        <v>18</v>
      </c>
      <c r="J1180">
        <v>5</v>
      </c>
      <c r="K1180">
        <v>1.2</v>
      </c>
      <c r="L1180">
        <v>2379.0300000000002</v>
      </c>
      <c r="M1180">
        <f>(Table1[[#This Row],[unit_price]]*Table1[[#This Row],[quantity]])-(Table1[[#This Row],[unit_price]]*Table1[[#This Row],[discount]]*Table1[[#This Row],[quantity]])</f>
        <v>2379.0312000000004</v>
      </c>
      <c r="N1180">
        <f>DAY(Table1[[#This Row],[order_date]])</f>
        <v>24</v>
      </c>
      <c r="O1180" t="str">
        <f>TEXT(Table1[[#This Row],[order_date]],"mmm")</f>
        <v>Mar</v>
      </c>
      <c r="P1180">
        <f>YEAR(Table1[[#This Row],[order_date]])</f>
        <v>2025</v>
      </c>
    </row>
    <row r="1181" spans="1:16" x14ac:dyDescent="0.3">
      <c r="A1181">
        <v>11180</v>
      </c>
      <c r="B1181" s="1">
        <v>45741</v>
      </c>
      <c r="C1181">
        <v>1232</v>
      </c>
      <c r="D1181" t="s">
        <v>15</v>
      </c>
      <c r="E1181" t="s">
        <v>13</v>
      </c>
      <c r="F1181">
        <v>4</v>
      </c>
      <c r="G1181">
        <v>344.18</v>
      </c>
      <c r="H1181">
        <v>0.23</v>
      </c>
      <c r="I1181" t="s">
        <v>18</v>
      </c>
      <c r="J1181">
        <v>6</v>
      </c>
      <c r="K1181">
        <v>1.8</v>
      </c>
      <c r="L1181">
        <v>1060.07</v>
      </c>
      <c r="M1181">
        <f>(Table1[[#This Row],[unit_price]]*Table1[[#This Row],[quantity]])-(Table1[[#This Row],[unit_price]]*Table1[[#This Row],[discount]]*Table1[[#This Row],[quantity]])</f>
        <v>1060.0744</v>
      </c>
      <c r="N1181">
        <f>DAY(Table1[[#This Row],[order_date]])</f>
        <v>25</v>
      </c>
      <c r="O1181" t="str">
        <f>TEXT(Table1[[#This Row],[order_date]],"mmm")</f>
        <v>Mar</v>
      </c>
      <c r="P1181">
        <f>YEAR(Table1[[#This Row],[order_date]])</f>
        <v>2025</v>
      </c>
    </row>
    <row r="1182" spans="1:16" x14ac:dyDescent="0.3">
      <c r="A1182">
        <v>11181</v>
      </c>
      <c r="B1182" s="1">
        <v>45742</v>
      </c>
      <c r="C1182">
        <v>1523</v>
      </c>
      <c r="D1182" t="s">
        <v>12</v>
      </c>
      <c r="E1182" t="s">
        <v>20</v>
      </c>
      <c r="F1182">
        <v>4</v>
      </c>
      <c r="G1182">
        <v>585.15</v>
      </c>
      <c r="H1182">
        <v>0.21</v>
      </c>
      <c r="I1182" t="s">
        <v>14</v>
      </c>
      <c r="J1182">
        <v>5</v>
      </c>
      <c r="K1182">
        <v>3</v>
      </c>
      <c r="L1182">
        <v>1849.07</v>
      </c>
      <c r="M1182">
        <f>(Table1[[#This Row],[unit_price]]*Table1[[#This Row],[quantity]])-(Table1[[#This Row],[unit_price]]*Table1[[#This Row],[discount]]*Table1[[#This Row],[quantity]])</f>
        <v>1849.0740000000001</v>
      </c>
      <c r="N1182">
        <f>DAY(Table1[[#This Row],[order_date]])</f>
        <v>26</v>
      </c>
      <c r="O1182" t="str">
        <f>TEXT(Table1[[#This Row],[order_date]],"mmm")</f>
        <v>Mar</v>
      </c>
      <c r="P1182">
        <f>YEAR(Table1[[#This Row],[order_date]])</f>
        <v>2025</v>
      </c>
    </row>
    <row r="1183" spans="1:16" x14ac:dyDescent="0.3">
      <c r="A1183">
        <v>11182</v>
      </c>
      <c r="B1183" s="1">
        <v>45743</v>
      </c>
      <c r="C1183">
        <v>1345</v>
      </c>
      <c r="D1183" t="s">
        <v>12</v>
      </c>
      <c r="E1183" t="s">
        <v>17</v>
      </c>
      <c r="F1183">
        <v>7</v>
      </c>
      <c r="G1183">
        <v>417.99</v>
      </c>
      <c r="H1183">
        <v>0.04</v>
      </c>
      <c r="I1183" t="s">
        <v>16</v>
      </c>
      <c r="J1183">
        <v>3</v>
      </c>
      <c r="K1183">
        <v>1.7</v>
      </c>
      <c r="L1183">
        <v>2808.89</v>
      </c>
      <c r="M1183">
        <f>(Table1[[#This Row],[unit_price]]*Table1[[#This Row],[quantity]])-(Table1[[#This Row],[unit_price]]*Table1[[#This Row],[discount]]*Table1[[#This Row],[quantity]])</f>
        <v>2808.8928000000001</v>
      </c>
      <c r="N1183">
        <f>DAY(Table1[[#This Row],[order_date]])</f>
        <v>27</v>
      </c>
      <c r="O1183" t="str">
        <f>TEXT(Table1[[#This Row],[order_date]],"mmm")</f>
        <v>Mar</v>
      </c>
      <c r="P1183">
        <f>YEAR(Table1[[#This Row],[order_date]])</f>
        <v>2025</v>
      </c>
    </row>
    <row r="1184" spans="1:16" x14ac:dyDescent="0.3">
      <c r="A1184">
        <v>11183</v>
      </c>
      <c r="B1184" s="1">
        <v>45744</v>
      </c>
      <c r="C1184">
        <v>1045</v>
      </c>
      <c r="D1184" t="s">
        <v>12</v>
      </c>
      <c r="E1184" t="s">
        <v>21</v>
      </c>
      <c r="F1184">
        <v>1</v>
      </c>
      <c r="G1184">
        <v>538.59</v>
      </c>
      <c r="H1184">
        <v>0.23</v>
      </c>
      <c r="I1184" t="s">
        <v>16</v>
      </c>
      <c r="J1184">
        <v>10</v>
      </c>
      <c r="K1184">
        <v>4.5999999999999996</v>
      </c>
      <c r="L1184">
        <v>414.71</v>
      </c>
      <c r="M1184">
        <f>(Table1[[#This Row],[unit_price]]*Table1[[#This Row],[quantity]])-(Table1[[#This Row],[unit_price]]*Table1[[#This Row],[discount]]*Table1[[#This Row],[quantity]])</f>
        <v>414.71430000000004</v>
      </c>
      <c r="N1184">
        <f>DAY(Table1[[#This Row],[order_date]])</f>
        <v>28</v>
      </c>
      <c r="O1184" t="str">
        <f>TEXT(Table1[[#This Row],[order_date]],"mmm")</f>
        <v>Mar</v>
      </c>
      <c r="P1184">
        <f>YEAR(Table1[[#This Row],[order_date]])</f>
        <v>2025</v>
      </c>
    </row>
    <row r="1185" spans="1:16" x14ac:dyDescent="0.3">
      <c r="A1185">
        <v>11184</v>
      </c>
      <c r="B1185" s="1">
        <v>45745</v>
      </c>
      <c r="C1185">
        <v>1545</v>
      </c>
      <c r="D1185" t="s">
        <v>19</v>
      </c>
      <c r="E1185" t="s">
        <v>17</v>
      </c>
      <c r="F1185">
        <v>5</v>
      </c>
      <c r="G1185">
        <v>424.14</v>
      </c>
      <c r="H1185">
        <v>0.32</v>
      </c>
      <c r="I1185" t="s">
        <v>18</v>
      </c>
      <c r="J1185">
        <v>7</v>
      </c>
      <c r="K1185">
        <v>3.8</v>
      </c>
      <c r="L1185">
        <v>1442.08</v>
      </c>
      <c r="M1185">
        <f>(Table1[[#This Row],[unit_price]]*Table1[[#This Row],[quantity]])-(Table1[[#This Row],[unit_price]]*Table1[[#This Row],[discount]]*Table1[[#This Row],[quantity]])</f>
        <v>1442.076</v>
      </c>
      <c r="N1185">
        <f>DAY(Table1[[#This Row],[order_date]])</f>
        <v>29</v>
      </c>
      <c r="O1185" t="str">
        <f>TEXT(Table1[[#This Row],[order_date]],"mmm")</f>
        <v>Mar</v>
      </c>
      <c r="P1185">
        <f>YEAR(Table1[[#This Row],[order_date]])</f>
        <v>2025</v>
      </c>
    </row>
    <row r="1186" spans="1:16" x14ac:dyDescent="0.3">
      <c r="A1186">
        <v>11185</v>
      </c>
      <c r="B1186" s="1">
        <v>45746</v>
      </c>
      <c r="C1186">
        <v>1944</v>
      </c>
      <c r="D1186" t="s">
        <v>22</v>
      </c>
      <c r="E1186" t="s">
        <v>13</v>
      </c>
      <c r="F1186">
        <v>1</v>
      </c>
      <c r="G1186">
        <v>445.04</v>
      </c>
      <c r="H1186">
        <v>0.06</v>
      </c>
      <c r="I1186" t="s">
        <v>18</v>
      </c>
      <c r="J1186">
        <v>1</v>
      </c>
      <c r="K1186">
        <v>1.1000000000000001</v>
      </c>
      <c r="L1186">
        <v>418.34</v>
      </c>
      <c r="M1186">
        <f>(Table1[[#This Row],[unit_price]]*Table1[[#This Row],[quantity]])-(Table1[[#This Row],[unit_price]]*Table1[[#This Row],[discount]]*Table1[[#This Row],[quantity]])</f>
        <v>418.33760000000001</v>
      </c>
      <c r="N1186">
        <f>DAY(Table1[[#This Row],[order_date]])</f>
        <v>30</v>
      </c>
      <c r="O1186" t="str">
        <f>TEXT(Table1[[#This Row],[order_date]],"mmm")</f>
        <v>Mar</v>
      </c>
      <c r="P1186">
        <f>YEAR(Table1[[#This Row],[order_date]])</f>
        <v>2025</v>
      </c>
    </row>
    <row r="1187" spans="1:16" x14ac:dyDescent="0.3">
      <c r="A1187">
        <v>11186</v>
      </c>
      <c r="B1187" s="1">
        <v>45747</v>
      </c>
      <c r="C1187">
        <v>1077</v>
      </c>
      <c r="D1187" t="s">
        <v>19</v>
      </c>
      <c r="E1187" t="s">
        <v>21</v>
      </c>
      <c r="F1187">
        <v>6</v>
      </c>
      <c r="G1187">
        <v>184.89</v>
      </c>
      <c r="H1187">
        <v>0.21</v>
      </c>
      <c r="I1187" t="s">
        <v>16</v>
      </c>
      <c r="J1187">
        <v>2</v>
      </c>
      <c r="K1187">
        <v>4.5</v>
      </c>
      <c r="L1187">
        <v>876.38</v>
      </c>
      <c r="M1187">
        <f>(Table1[[#This Row],[unit_price]]*Table1[[#This Row],[quantity]])-(Table1[[#This Row],[unit_price]]*Table1[[#This Row],[discount]]*Table1[[#This Row],[quantity]])</f>
        <v>876.37860000000001</v>
      </c>
      <c r="N1187">
        <f>DAY(Table1[[#This Row],[order_date]])</f>
        <v>31</v>
      </c>
      <c r="O1187" t="str">
        <f>TEXT(Table1[[#This Row],[order_date]],"mmm")</f>
        <v>Mar</v>
      </c>
      <c r="P1187">
        <f>YEAR(Table1[[#This Row],[order_date]])</f>
        <v>2025</v>
      </c>
    </row>
    <row r="1188" spans="1:16" x14ac:dyDescent="0.3">
      <c r="A1188">
        <v>11187</v>
      </c>
      <c r="B1188" s="1">
        <v>45748</v>
      </c>
      <c r="C1188">
        <v>1729</v>
      </c>
      <c r="D1188" t="s">
        <v>19</v>
      </c>
      <c r="E1188" t="s">
        <v>17</v>
      </c>
      <c r="F1188">
        <v>2</v>
      </c>
      <c r="G1188">
        <v>192.54</v>
      </c>
      <c r="H1188">
        <v>0.12</v>
      </c>
      <c r="I1188" t="s">
        <v>18</v>
      </c>
      <c r="J1188">
        <v>11</v>
      </c>
      <c r="K1188">
        <v>4.9000000000000004</v>
      </c>
      <c r="L1188">
        <v>338.87</v>
      </c>
      <c r="M1188">
        <f>(Table1[[#This Row],[unit_price]]*Table1[[#This Row],[quantity]])-(Table1[[#This Row],[unit_price]]*Table1[[#This Row],[discount]]*Table1[[#This Row],[quantity]])</f>
        <v>338.87040000000002</v>
      </c>
      <c r="N1188">
        <f>DAY(Table1[[#This Row],[order_date]])</f>
        <v>1</v>
      </c>
      <c r="O1188" t="str">
        <f>TEXT(Table1[[#This Row],[order_date]],"mmm")</f>
        <v>Apr</v>
      </c>
      <c r="P1188">
        <f>YEAR(Table1[[#This Row],[order_date]])</f>
        <v>2025</v>
      </c>
    </row>
    <row r="1189" spans="1:16" x14ac:dyDescent="0.3">
      <c r="A1189">
        <v>11188</v>
      </c>
      <c r="B1189" s="1">
        <v>45749</v>
      </c>
      <c r="C1189">
        <v>1812</v>
      </c>
      <c r="D1189" t="s">
        <v>19</v>
      </c>
      <c r="E1189" t="s">
        <v>21</v>
      </c>
      <c r="F1189">
        <v>2</v>
      </c>
      <c r="G1189">
        <v>473.05</v>
      </c>
      <c r="H1189">
        <v>0.16</v>
      </c>
      <c r="I1189" t="s">
        <v>16</v>
      </c>
      <c r="J1189">
        <v>9</v>
      </c>
      <c r="K1189">
        <v>3</v>
      </c>
      <c r="L1189">
        <v>794.72</v>
      </c>
      <c r="M1189">
        <f>(Table1[[#This Row],[unit_price]]*Table1[[#This Row],[quantity]])-(Table1[[#This Row],[unit_price]]*Table1[[#This Row],[discount]]*Table1[[#This Row],[quantity]])</f>
        <v>794.72400000000005</v>
      </c>
      <c r="N1189">
        <f>DAY(Table1[[#This Row],[order_date]])</f>
        <v>2</v>
      </c>
      <c r="O1189" t="str">
        <f>TEXT(Table1[[#This Row],[order_date]],"mmm")</f>
        <v>Apr</v>
      </c>
      <c r="P1189">
        <f>YEAR(Table1[[#This Row],[order_date]])</f>
        <v>2025</v>
      </c>
    </row>
    <row r="1190" spans="1:16" x14ac:dyDescent="0.3">
      <c r="A1190">
        <v>11189</v>
      </c>
      <c r="B1190" s="1">
        <v>45750</v>
      </c>
      <c r="C1190">
        <v>1922</v>
      </c>
      <c r="D1190" t="s">
        <v>19</v>
      </c>
      <c r="E1190" t="s">
        <v>21</v>
      </c>
      <c r="F1190">
        <v>2</v>
      </c>
      <c r="G1190">
        <v>188.57</v>
      </c>
      <c r="H1190">
        <v>0.1</v>
      </c>
      <c r="I1190" t="s">
        <v>18</v>
      </c>
      <c r="J1190">
        <v>4</v>
      </c>
      <c r="K1190">
        <v>2.2999999999999998</v>
      </c>
      <c r="L1190">
        <v>339.43</v>
      </c>
      <c r="M1190">
        <f>(Table1[[#This Row],[unit_price]]*Table1[[#This Row],[quantity]])-(Table1[[#This Row],[unit_price]]*Table1[[#This Row],[discount]]*Table1[[#This Row],[quantity]])</f>
        <v>339.42599999999999</v>
      </c>
      <c r="N1190">
        <f>DAY(Table1[[#This Row],[order_date]])</f>
        <v>3</v>
      </c>
      <c r="O1190" t="str">
        <f>TEXT(Table1[[#This Row],[order_date]],"mmm")</f>
        <v>Apr</v>
      </c>
      <c r="P1190">
        <f>YEAR(Table1[[#This Row],[order_date]])</f>
        <v>2025</v>
      </c>
    </row>
    <row r="1191" spans="1:16" x14ac:dyDescent="0.3">
      <c r="A1191">
        <v>11190</v>
      </c>
      <c r="B1191" s="1">
        <v>45751</v>
      </c>
      <c r="C1191">
        <v>1072</v>
      </c>
      <c r="D1191" t="s">
        <v>15</v>
      </c>
      <c r="E1191" t="s">
        <v>21</v>
      </c>
      <c r="F1191">
        <v>4</v>
      </c>
      <c r="G1191">
        <v>344.22</v>
      </c>
      <c r="H1191">
        <v>0.12</v>
      </c>
      <c r="I1191" t="s">
        <v>14</v>
      </c>
      <c r="J1191">
        <v>8</v>
      </c>
      <c r="K1191">
        <v>2.1</v>
      </c>
      <c r="L1191">
        <v>1211.6500000000001</v>
      </c>
      <c r="M1191">
        <f>(Table1[[#This Row],[unit_price]]*Table1[[#This Row],[quantity]])-(Table1[[#This Row],[unit_price]]*Table1[[#This Row],[discount]]*Table1[[#This Row],[quantity]])</f>
        <v>1211.6544000000001</v>
      </c>
      <c r="N1191">
        <f>DAY(Table1[[#This Row],[order_date]])</f>
        <v>4</v>
      </c>
      <c r="O1191" t="str">
        <f>TEXT(Table1[[#This Row],[order_date]],"mmm")</f>
        <v>Apr</v>
      </c>
      <c r="P1191">
        <f>YEAR(Table1[[#This Row],[order_date]])</f>
        <v>2025</v>
      </c>
    </row>
    <row r="1192" spans="1:16" x14ac:dyDescent="0.3">
      <c r="A1192">
        <v>11191</v>
      </c>
      <c r="B1192" s="1">
        <v>45752</v>
      </c>
      <c r="C1192">
        <v>1793</v>
      </c>
      <c r="D1192" t="s">
        <v>22</v>
      </c>
      <c r="E1192" t="s">
        <v>17</v>
      </c>
      <c r="F1192">
        <v>5</v>
      </c>
      <c r="G1192">
        <v>160.87</v>
      </c>
      <c r="H1192">
        <v>0.01</v>
      </c>
      <c r="I1192" t="s">
        <v>18</v>
      </c>
      <c r="J1192">
        <v>9</v>
      </c>
      <c r="K1192">
        <v>1.3</v>
      </c>
      <c r="L1192">
        <v>796.31</v>
      </c>
      <c r="M1192">
        <f>(Table1[[#This Row],[unit_price]]*Table1[[#This Row],[quantity]])-(Table1[[#This Row],[unit_price]]*Table1[[#This Row],[discount]]*Table1[[#This Row],[quantity]])</f>
        <v>796.30650000000003</v>
      </c>
      <c r="N1192">
        <f>DAY(Table1[[#This Row],[order_date]])</f>
        <v>5</v>
      </c>
      <c r="O1192" t="str">
        <f>TEXT(Table1[[#This Row],[order_date]],"mmm")</f>
        <v>Apr</v>
      </c>
      <c r="P1192">
        <f>YEAR(Table1[[#This Row],[order_date]])</f>
        <v>2025</v>
      </c>
    </row>
    <row r="1193" spans="1:16" x14ac:dyDescent="0.3">
      <c r="A1193">
        <v>11192</v>
      </c>
      <c r="B1193" s="1">
        <v>45753</v>
      </c>
      <c r="C1193">
        <v>1248</v>
      </c>
      <c r="D1193" t="s">
        <v>19</v>
      </c>
      <c r="E1193" t="s">
        <v>13</v>
      </c>
      <c r="F1193">
        <v>1</v>
      </c>
      <c r="G1193">
        <v>492.94</v>
      </c>
      <c r="H1193">
        <v>0.34</v>
      </c>
      <c r="I1193" t="s">
        <v>16</v>
      </c>
      <c r="J1193">
        <v>7</v>
      </c>
      <c r="K1193">
        <v>3</v>
      </c>
      <c r="L1193">
        <v>325.33999999999997</v>
      </c>
      <c r="M1193">
        <f>(Table1[[#This Row],[unit_price]]*Table1[[#This Row],[quantity]])-(Table1[[#This Row],[unit_price]]*Table1[[#This Row],[discount]]*Table1[[#This Row],[quantity]])</f>
        <v>325.34039999999999</v>
      </c>
      <c r="N1193">
        <f>DAY(Table1[[#This Row],[order_date]])</f>
        <v>6</v>
      </c>
      <c r="O1193" t="str">
        <f>TEXT(Table1[[#This Row],[order_date]],"mmm")</f>
        <v>Apr</v>
      </c>
      <c r="P1193">
        <f>YEAR(Table1[[#This Row],[order_date]])</f>
        <v>2025</v>
      </c>
    </row>
    <row r="1194" spans="1:16" x14ac:dyDescent="0.3">
      <c r="A1194">
        <v>11193</v>
      </c>
      <c r="B1194" s="1">
        <v>45754</v>
      </c>
      <c r="C1194">
        <v>1046</v>
      </c>
      <c r="D1194" t="s">
        <v>22</v>
      </c>
      <c r="E1194" t="s">
        <v>17</v>
      </c>
      <c r="F1194">
        <v>1</v>
      </c>
      <c r="G1194">
        <v>79.64</v>
      </c>
      <c r="H1194">
        <v>0.22</v>
      </c>
      <c r="I1194" t="s">
        <v>18</v>
      </c>
      <c r="J1194">
        <v>1</v>
      </c>
      <c r="K1194">
        <v>1.2</v>
      </c>
      <c r="L1194">
        <v>62.12</v>
      </c>
      <c r="M1194">
        <f>(Table1[[#This Row],[unit_price]]*Table1[[#This Row],[quantity]])-(Table1[[#This Row],[unit_price]]*Table1[[#This Row],[discount]]*Table1[[#This Row],[quantity]])</f>
        <v>62.119199999999999</v>
      </c>
      <c r="N1194">
        <f>DAY(Table1[[#This Row],[order_date]])</f>
        <v>7</v>
      </c>
      <c r="O1194" t="str">
        <f>TEXT(Table1[[#This Row],[order_date]],"mmm")</f>
        <v>Apr</v>
      </c>
      <c r="P1194">
        <f>YEAR(Table1[[#This Row],[order_date]])</f>
        <v>2025</v>
      </c>
    </row>
    <row r="1195" spans="1:16" x14ac:dyDescent="0.3">
      <c r="A1195">
        <v>11194</v>
      </c>
      <c r="B1195" s="1">
        <v>45755</v>
      </c>
      <c r="C1195">
        <v>1120</v>
      </c>
      <c r="D1195" t="s">
        <v>15</v>
      </c>
      <c r="E1195" t="s">
        <v>13</v>
      </c>
      <c r="F1195">
        <v>6</v>
      </c>
      <c r="G1195">
        <v>500.23</v>
      </c>
      <c r="H1195">
        <v>0.18</v>
      </c>
      <c r="I1195" t="s">
        <v>18</v>
      </c>
      <c r="J1195">
        <v>5</v>
      </c>
      <c r="K1195">
        <v>3</v>
      </c>
      <c r="L1195">
        <v>2461.13</v>
      </c>
      <c r="M1195">
        <f>(Table1[[#This Row],[unit_price]]*Table1[[#This Row],[quantity]])-(Table1[[#This Row],[unit_price]]*Table1[[#This Row],[discount]]*Table1[[#This Row],[quantity]])</f>
        <v>2461.1316000000002</v>
      </c>
      <c r="N1195">
        <f>DAY(Table1[[#This Row],[order_date]])</f>
        <v>8</v>
      </c>
      <c r="O1195" t="str">
        <f>TEXT(Table1[[#This Row],[order_date]],"mmm")</f>
        <v>Apr</v>
      </c>
      <c r="P1195">
        <f>YEAR(Table1[[#This Row],[order_date]])</f>
        <v>2025</v>
      </c>
    </row>
    <row r="1196" spans="1:16" x14ac:dyDescent="0.3">
      <c r="A1196">
        <v>11195</v>
      </c>
      <c r="B1196" s="1">
        <v>45756</v>
      </c>
      <c r="C1196">
        <v>1213</v>
      </c>
      <c r="D1196" t="s">
        <v>19</v>
      </c>
      <c r="E1196" t="s">
        <v>17</v>
      </c>
      <c r="F1196">
        <v>2</v>
      </c>
      <c r="G1196">
        <v>367.6</v>
      </c>
      <c r="H1196">
        <v>0.13</v>
      </c>
      <c r="I1196" t="s">
        <v>16</v>
      </c>
      <c r="J1196">
        <v>6</v>
      </c>
      <c r="K1196">
        <v>2</v>
      </c>
      <c r="L1196">
        <v>639.62</v>
      </c>
      <c r="M1196">
        <f>(Table1[[#This Row],[unit_price]]*Table1[[#This Row],[quantity]])-(Table1[[#This Row],[unit_price]]*Table1[[#This Row],[discount]]*Table1[[#This Row],[quantity]])</f>
        <v>639.62400000000002</v>
      </c>
      <c r="N1196">
        <f>DAY(Table1[[#This Row],[order_date]])</f>
        <v>9</v>
      </c>
      <c r="O1196" t="str">
        <f>TEXT(Table1[[#This Row],[order_date]],"mmm")</f>
        <v>Apr</v>
      </c>
      <c r="P1196">
        <f>YEAR(Table1[[#This Row],[order_date]])</f>
        <v>2025</v>
      </c>
    </row>
    <row r="1197" spans="1:16" x14ac:dyDescent="0.3">
      <c r="A1197">
        <v>11196</v>
      </c>
      <c r="B1197" s="1">
        <v>45757</v>
      </c>
      <c r="C1197">
        <v>1238</v>
      </c>
      <c r="D1197" t="s">
        <v>15</v>
      </c>
      <c r="E1197" t="s">
        <v>17</v>
      </c>
      <c r="F1197">
        <v>5</v>
      </c>
      <c r="G1197">
        <v>124.34</v>
      </c>
      <c r="H1197">
        <v>0.19</v>
      </c>
      <c r="I1197" t="s">
        <v>18</v>
      </c>
      <c r="J1197">
        <v>11</v>
      </c>
      <c r="K1197">
        <v>2.9</v>
      </c>
      <c r="L1197">
        <v>503.58</v>
      </c>
      <c r="M1197">
        <f>(Table1[[#This Row],[unit_price]]*Table1[[#This Row],[quantity]])-(Table1[[#This Row],[unit_price]]*Table1[[#This Row],[discount]]*Table1[[#This Row],[quantity]])</f>
        <v>503.57700000000006</v>
      </c>
      <c r="N1197">
        <f>DAY(Table1[[#This Row],[order_date]])</f>
        <v>10</v>
      </c>
      <c r="O1197" t="str">
        <f>TEXT(Table1[[#This Row],[order_date]],"mmm")</f>
        <v>Apr</v>
      </c>
      <c r="P1197">
        <f>YEAR(Table1[[#This Row],[order_date]])</f>
        <v>2025</v>
      </c>
    </row>
    <row r="1198" spans="1:16" x14ac:dyDescent="0.3">
      <c r="A1198">
        <v>11197</v>
      </c>
      <c r="B1198" s="1">
        <v>45758</v>
      </c>
      <c r="C1198">
        <v>1055</v>
      </c>
      <c r="D1198" t="s">
        <v>19</v>
      </c>
      <c r="E1198" t="s">
        <v>17</v>
      </c>
      <c r="F1198">
        <v>5</v>
      </c>
      <c r="G1198">
        <v>332.09</v>
      </c>
      <c r="H1198">
        <v>0.13</v>
      </c>
      <c r="I1198" t="s">
        <v>14</v>
      </c>
      <c r="J1198">
        <v>8</v>
      </c>
      <c r="K1198">
        <v>2.7</v>
      </c>
      <c r="L1198">
        <v>1444.59</v>
      </c>
      <c r="M1198">
        <f>(Table1[[#This Row],[unit_price]]*Table1[[#This Row],[quantity]])-(Table1[[#This Row],[unit_price]]*Table1[[#This Row],[discount]]*Table1[[#This Row],[quantity]])</f>
        <v>1444.5914999999998</v>
      </c>
      <c r="N1198">
        <f>DAY(Table1[[#This Row],[order_date]])</f>
        <v>11</v>
      </c>
      <c r="O1198" t="str">
        <f>TEXT(Table1[[#This Row],[order_date]],"mmm")</f>
        <v>Apr</v>
      </c>
      <c r="P1198">
        <f>YEAR(Table1[[#This Row],[order_date]])</f>
        <v>2025</v>
      </c>
    </row>
    <row r="1199" spans="1:16" x14ac:dyDescent="0.3">
      <c r="A1199">
        <v>11198</v>
      </c>
      <c r="B1199" s="1">
        <v>45759</v>
      </c>
      <c r="C1199">
        <v>1349</v>
      </c>
      <c r="D1199" t="s">
        <v>15</v>
      </c>
      <c r="E1199" t="s">
        <v>13</v>
      </c>
      <c r="F1199">
        <v>6</v>
      </c>
      <c r="G1199">
        <v>180.26</v>
      </c>
      <c r="H1199">
        <v>0.13</v>
      </c>
      <c r="I1199" t="s">
        <v>16</v>
      </c>
      <c r="J1199">
        <v>10</v>
      </c>
      <c r="K1199">
        <v>2.2000000000000002</v>
      </c>
      <c r="L1199">
        <v>940.96</v>
      </c>
      <c r="M1199">
        <f>(Table1[[#This Row],[unit_price]]*Table1[[#This Row],[quantity]])-(Table1[[#This Row],[unit_price]]*Table1[[#This Row],[discount]]*Table1[[#This Row],[quantity]])</f>
        <v>940.95719999999994</v>
      </c>
      <c r="N1199">
        <f>DAY(Table1[[#This Row],[order_date]])</f>
        <v>12</v>
      </c>
      <c r="O1199" t="str">
        <f>TEXT(Table1[[#This Row],[order_date]],"mmm")</f>
        <v>Apr</v>
      </c>
      <c r="P1199">
        <f>YEAR(Table1[[#This Row],[order_date]])</f>
        <v>2025</v>
      </c>
    </row>
    <row r="1200" spans="1:16" x14ac:dyDescent="0.3">
      <c r="A1200">
        <v>11199</v>
      </c>
      <c r="B1200" s="1">
        <v>45760</v>
      </c>
      <c r="C1200">
        <v>1106</v>
      </c>
      <c r="D1200" t="s">
        <v>15</v>
      </c>
      <c r="E1200" t="s">
        <v>17</v>
      </c>
      <c r="F1200">
        <v>3</v>
      </c>
      <c r="G1200">
        <v>204.23</v>
      </c>
      <c r="H1200">
        <v>0.16</v>
      </c>
      <c r="I1200" t="s">
        <v>16</v>
      </c>
      <c r="J1200">
        <v>8</v>
      </c>
      <c r="K1200">
        <v>2.8</v>
      </c>
      <c r="L1200">
        <v>514.66</v>
      </c>
      <c r="M1200">
        <f>(Table1[[#This Row],[unit_price]]*Table1[[#This Row],[quantity]])-(Table1[[#This Row],[unit_price]]*Table1[[#This Row],[discount]]*Table1[[#This Row],[quantity]])</f>
        <v>514.65959999999995</v>
      </c>
      <c r="N1200">
        <f>DAY(Table1[[#This Row],[order_date]])</f>
        <v>13</v>
      </c>
      <c r="O1200" t="str">
        <f>TEXT(Table1[[#This Row],[order_date]],"mmm")</f>
        <v>Apr</v>
      </c>
      <c r="P1200">
        <f>YEAR(Table1[[#This Row],[order_date]])</f>
        <v>2025</v>
      </c>
    </row>
    <row r="1201" spans="1:16" x14ac:dyDescent="0.3">
      <c r="A1201">
        <v>11200</v>
      </c>
      <c r="B1201" s="1">
        <v>45761</v>
      </c>
      <c r="C1201">
        <v>1830</v>
      </c>
      <c r="D1201" t="s">
        <v>19</v>
      </c>
      <c r="E1201" t="s">
        <v>21</v>
      </c>
      <c r="F1201">
        <v>5</v>
      </c>
      <c r="G1201">
        <v>220.64</v>
      </c>
      <c r="H1201">
        <v>0.1</v>
      </c>
      <c r="I1201" t="s">
        <v>16</v>
      </c>
      <c r="J1201">
        <v>9</v>
      </c>
      <c r="K1201">
        <v>2.9</v>
      </c>
      <c r="L1201">
        <v>992.88</v>
      </c>
      <c r="M1201">
        <f>(Table1[[#This Row],[unit_price]]*Table1[[#This Row],[quantity]])-(Table1[[#This Row],[unit_price]]*Table1[[#This Row],[discount]]*Table1[[#This Row],[quantity]])</f>
        <v>992.87999999999988</v>
      </c>
      <c r="N1201">
        <f>DAY(Table1[[#This Row],[order_date]])</f>
        <v>14</v>
      </c>
      <c r="O1201" t="str">
        <f>TEXT(Table1[[#This Row],[order_date]],"mmm")</f>
        <v>Apr</v>
      </c>
      <c r="P1201">
        <f>YEAR(Table1[[#This Row],[order_date]])</f>
        <v>2025</v>
      </c>
    </row>
    <row r="1202" spans="1:16" x14ac:dyDescent="0.3">
      <c r="A1202">
        <v>11201</v>
      </c>
      <c r="B1202" s="1">
        <v>45762</v>
      </c>
      <c r="C1202">
        <v>1047</v>
      </c>
      <c r="D1202" t="s">
        <v>19</v>
      </c>
      <c r="E1202" t="s">
        <v>17</v>
      </c>
      <c r="F1202">
        <v>5</v>
      </c>
      <c r="G1202">
        <v>52.04</v>
      </c>
      <c r="H1202">
        <v>0.06</v>
      </c>
      <c r="I1202" t="s">
        <v>18</v>
      </c>
      <c r="J1202">
        <v>9</v>
      </c>
      <c r="K1202">
        <v>4.3</v>
      </c>
      <c r="L1202">
        <v>244.59</v>
      </c>
      <c r="M1202">
        <f>(Table1[[#This Row],[unit_price]]*Table1[[#This Row],[quantity]])-(Table1[[#This Row],[unit_price]]*Table1[[#This Row],[discount]]*Table1[[#This Row],[quantity]])</f>
        <v>244.58799999999999</v>
      </c>
      <c r="N1202">
        <f>DAY(Table1[[#This Row],[order_date]])</f>
        <v>15</v>
      </c>
      <c r="O1202" t="str">
        <f>TEXT(Table1[[#This Row],[order_date]],"mmm")</f>
        <v>Apr</v>
      </c>
      <c r="P1202">
        <f>YEAR(Table1[[#This Row],[order_date]])</f>
        <v>2025</v>
      </c>
    </row>
    <row r="1203" spans="1:16" x14ac:dyDescent="0.3">
      <c r="A1203">
        <v>11202</v>
      </c>
      <c r="B1203" s="1">
        <v>45763</v>
      </c>
      <c r="C1203">
        <v>1572</v>
      </c>
      <c r="D1203" t="s">
        <v>15</v>
      </c>
      <c r="E1203" t="s">
        <v>21</v>
      </c>
      <c r="F1203">
        <v>1</v>
      </c>
      <c r="G1203">
        <v>591.79</v>
      </c>
      <c r="H1203">
        <v>0.19</v>
      </c>
      <c r="I1203" t="s">
        <v>14</v>
      </c>
      <c r="J1203">
        <v>4</v>
      </c>
      <c r="K1203">
        <v>3.7</v>
      </c>
      <c r="L1203">
        <v>479.35</v>
      </c>
      <c r="M1203">
        <f>(Table1[[#This Row],[unit_price]]*Table1[[#This Row],[quantity]])-(Table1[[#This Row],[unit_price]]*Table1[[#This Row],[discount]]*Table1[[#This Row],[quantity]])</f>
        <v>479.34989999999993</v>
      </c>
      <c r="N1203">
        <f>DAY(Table1[[#This Row],[order_date]])</f>
        <v>16</v>
      </c>
      <c r="O1203" t="str">
        <f>TEXT(Table1[[#This Row],[order_date]],"mmm")</f>
        <v>Apr</v>
      </c>
      <c r="P1203">
        <f>YEAR(Table1[[#This Row],[order_date]])</f>
        <v>2025</v>
      </c>
    </row>
    <row r="1204" spans="1:16" x14ac:dyDescent="0.3">
      <c r="A1204">
        <v>11203</v>
      </c>
      <c r="B1204" s="1">
        <v>45764</v>
      </c>
      <c r="C1204">
        <v>1336</v>
      </c>
      <c r="D1204" t="s">
        <v>12</v>
      </c>
      <c r="E1204" t="s">
        <v>20</v>
      </c>
      <c r="F1204">
        <v>6</v>
      </c>
      <c r="G1204">
        <v>33.450000000000003</v>
      </c>
      <c r="H1204">
        <v>0.28999999999999998</v>
      </c>
      <c r="I1204" t="s">
        <v>18</v>
      </c>
      <c r="J1204">
        <v>6</v>
      </c>
      <c r="K1204">
        <v>2.7</v>
      </c>
      <c r="L1204">
        <v>142.5</v>
      </c>
      <c r="M1204">
        <f>(Table1[[#This Row],[unit_price]]*Table1[[#This Row],[quantity]])-(Table1[[#This Row],[unit_price]]*Table1[[#This Row],[discount]]*Table1[[#This Row],[quantity]])</f>
        <v>142.49700000000001</v>
      </c>
      <c r="N1204">
        <f>DAY(Table1[[#This Row],[order_date]])</f>
        <v>17</v>
      </c>
      <c r="O1204" t="str">
        <f>TEXT(Table1[[#This Row],[order_date]],"mmm")</f>
        <v>Apr</v>
      </c>
      <c r="P1204">
        <f>YEAR(Table1[[#This Row],[order_date]])</f>
        <v>2025</v>
      </c>
    </row>
    <row r="1205" spans="1:16" x14ac:dyDescent="0.3">
      <c r="A1205">
        <v>11204</v>
      </c>
      <c r="B1205" s="1">
        <v>45765</v>
      </c>
      <c r="C1205">
        <v>1025</v>
      </c>
      <c r="D1205" t="s">
        <v>19</v>
      </c>
      <c r="E1205" t="s">
        <v>20</v>
      </c>
      <c r="F1205">
        <v>5</v>
      </c>
      <c r="G1205">
        <v>402.56</v>
      </c>
      <c r="H1205">
        <v>0.05</v>
      </c>
      <c r="I1205" t="s">
        <v>16</v>
      </c>
      <c r="J1205">
        <v>3</v>
      </c>
      <c r="K1205">
        <v>4.5999999999999996</v>
      </c>
      <c r="L1205">
        <v>1912.16</v>
      </c>
      <c r="M1205">
        <f>(Table1[[#This Row],[unit_price]]*Table1[[#This Row],[quantity]])-(Table1[[#This Row],[unit_price]]*Table1[[#This Row],[discount]]*Table1[[#This Row],[quantity]])</f>
        <v>1912.1599999999999</v>
      </c>
      <c r="N1205">
        <f>DAY(Table1[[#This Row],[order_date]])</f>
        <v>18</v>
      </c>
      <c r="O1205" t="str">
        <f>TEXT(Table1[[#This Row],[order_date]],"mmm")</f>
        <v>Apr</v>
      </c>
      <c r="P1205">
        <f>YEAR(Table1[[#This Row],[order_date]])</f>
        <v>2025</v>
      </c>
    </row>
    <row r="1206" spans="1:16" x14ac:dyDescent="0.3">
      <c r="A1206">
        <v>11205</v>
      </c>
      <c r="B1206" s="1">
        <v>45766</v>
      </c>
      <c r="C1206">
        <v>1803</v>
      </c>
      <c r="D1206" t="s">
        <v>22</v>
      </c>
      <c r="E1206" t="s">
        <v>13</v>
      </c>
      <c r="F1206">
        <v>5</v>
      </c>
      <c r="G1206">
        <v>232.17</v>
      </c>
      <c r="H1206">
        <v>0.01</v>
      </c>
      <c r="I1206" t="s">
        <v>18</v>
      </c>
      <c r="J1206">
        <v>1</v>
      </c>
      <c r="K1206">
        <v>4</v>
      </c>
      <c r="L1206">
        <v>1149.24</v>
      </c>
      <c r="M1206">
        <f>(Table1[[#This Row],[unit_price]]*Table1[[#This Row],[quantity]])-(Table1[[#This Row],[unit_price]]*Table1[[#This Row],[discount]]*Table1[[#This Row],[quantity]])</f>
        <v>1149.2414999999999</v>
      </c>
      <c r="N1206">
        <f>DAY(Table1[[#This Row],[order_date]])</f>
        <v>19</v>
      </c>
      <c r="O1206" t="str">
        <f>TEXT(Table1[[#This Row],[order_date]],"mmm")</f>
        <v>Apr</v>
      </c>
      <c r="P1206">
        <f>YEAR(Table1[[#This Row],[order_date]])</f>
        <v>2025</v>
      </c>
    </row>
    <row r="1207" spans="1:16" x14ac:dyDescent="0.3">
      <c r="A1207">
        <v>11206</v>
      </c>
      <c r="B1207" s="1">
        <v>45767</v>
      </c>
      <c r="C1207">
        <v>1256</v>
      </c>
      <c r="D1207" t="s">
        <v>22</v>
      </c>
      <c r="E1207" t="s">
        <v>13</v>
      </c>
      <c r="F1207">
        <v>1</v>
      </c>
      <c r="G1207">
        <v>392.92</v>
      </c>
      <c r="H1207">
        <v>0.09</v>
      </c>
      <c r="I1207" t="s">
        <v>18</v>
      </c>
      <c r="J1207">
        <v>6</v>
      </c>
      <c r="K1207">
        <v>1.3</v>
      </c>
      <c r="L1207">
        <v>357.56</v>
      </c>
      <c r="M1207">
        <f>(Table1[[#This Row],[unit_price]]*Table1[[#This Row],[quantity]])-(Table1[[#This Row],[unit_price]]*Table1[[#This Row],[discount]]*Table1[[#This Row],[quantity]])</f>
        <v>357.55720000000002</v>
      </c>
      <c r="N1207">
        <f>DAY(Table1[[#This Row],[order_date]])</f>
        <v>20</v>
      </c>
      <c r="O1207" t="str">
        <f>TEXT(Table1[[#This Row],[order_date]],"mmm")</f>
        <v>Apr</v>
      </c>
      <c r="P1207">
        <f>YEAR(Table1[[#This Row],[order_date]])</f>
        <v>2025</v>
      </c>
    </row>
    <row r="1208" spans="1:16" x14ac:dyDescent="0.3">
      <c r="A1208">
        <v>11207</v>
      </c>
      <c r="B1208" s="1">
        <v>45768</v>
      </c>
      <c r="C1208">
        <v>1007</v>
      </c>
      <c r="D1208" t="s">
        <v>12</v>
      </c>
      <c r="E1208" t="s">
        <v>20</v>
      </c>
      <c r="F1208">
        <v>5</v>
      </c>
      <c r="G1208">
        <v>223.41</v>
      </c>
      <c r="H1208">
        <v>0.34</v>
      </c>
      <c r="I1208" t="s">
        <v>18</v>
      </c>
      <c r="J1208">
        <v>1</v>
      </c>
      <c r="K1208">
        <v>1.6</v>
      </c>
      <c r="L1208">
        <v>737.25</v>
      </c>
      <c r="M1208">
        <f>(Table1[[#This Row],[unit_price]]*Table1[[#This Row],[quantity]])-(Table1[[#This Row],[unit_price]]*Table1[[#This Row],[discount]]*Table1[[#This Row],[quantity]])</f>
        <v>737.25299999999993</v>
      </c>
      <c r="N1208">
        <f>DAY(Table1[[#This Row],[order_date]])</f>
        <v>21</v>
      </c>
      <c r="O1208" t="str">
        <f>TEXT(Table1[[#This Row],[order_date]],"mmm")</f>
        <v>Apr</v>
      </c>
      <c r="P1208">
        <f>YEAR(Table1[[#This Row],[order_date]])</f>
        <v>2025</v>
      </c>
    </row>
    <row r="1209" spans="1:16" x14ac:dyDescent="0.3">
      <c r="A1209">
        <v>11208</v>
      </c>
      <c r="B1209" s="1">
        <v>45769</v>
      </c>
      <c r="C1209">
        <v>1624</v>
      </c>
      <c r="D1209" t="s">
        <v>22</v>
      </c>
      <c r="E1209" t="s">
        <v>17</v>
      </c>
      <c r="F1209">
        <v>1</v>
      </c>
      <c r="G1209">
        <v>409.14</v>
      </c>
      <c r="H1209">
        <v>0.28999999999999998</v>
      </c>
      <c r="I1209" t="s">
        <v>16</v>
      </c>
      <c r="J1209">
        <v>9</v>
      </c>
      <c r="K1209">
        <v>1.3</v>
      </c>
      <c r="L1209">
        <v>290.49</v>
      </c>
      <c r="M1209">
        <f>(Table1[[#This Row],[unit_price]]*Table1[[#This Row],[quantity]])-(Table1[[#This Row],[unit_price]]*Table1[[#This Row],[discount]]*Table1[[#This Row],[quantity]])</f>
        <v>290.48939999999999</v>
      </c>
      <c r="N1209">
        <f>DAY(Table1[[#This Row],[order_date]])</f>
        <v>22</v>
      </c>
      <c r="O1209" t="str">
        <f>TEXT(Table1[[#This Row],[order_date]],"mmm")</f>
        <v>Apr</v>
      </c>
      <c r="P1209">
        <f>YEAR(Table1[[#This Row],[order_date]])</f>
        <v>2025</v>
      </c>
    </row>
    <row r="1210" spans="1:16" x14ac:dyDescent="0.3">
      <c r="A1210">
        <v>11209</v>
      </c>
      <c r="B1210" s="1">
        <v>45770</v>
      </c>
      <c r="C1210">
        <v>1866</v>
      </c>
      <c r="D1210" t="s">
        <v>15</v>
      </c>
      <c r="E1210" t="s">
        <v>17</v>
      </c>
      <c r="F1210">
        <v>3</v>
      </c>
      <c r="G1210">
        <v>441.6</v>
      </c>
      <c r="H1210">
        <v>0.21</v>
      </c>
      <c r="I1210" t="s">
        <v>18</v>
      </c>
      <c r="J1210">
        <v>11</v>
      </c>
      <c r="K1210">
        <v>2.2999999999999998</v>
      </c>
      <c r="L1210">
        <v>1046.5899999999999</v>
      </c>
      <c r="M1210">
        <f>(Table1[[#This Row],[unit_price]]*Table1[[#This Row],[quantity]])-(Table1[[#This Row],[unit_price]]*Table1[[#This Row],[discount]]*Table1[[#This Row],[quantity]])</f>
        <v>1046.5920000000001</v>
      </c>
      <c r="N1210">
        <f>DAY(Table1[[#This Row],[order_date]])</f>
        <v>23</v>
      </c>
      <c r="O1210" t="str">
        <f>TEXT(Table1[[#This Row],[order_date]],"mmm")</f>
        <v>Apr</v>
      </c>
      <c r="P1210">
        <f>YEAR(Table1[[#This Row],[order_date]])</f>
        <v>2025</v>
      </c>
    </row>
    <row r="1211" spans="1:16" x14ac:dyDescent="0.3">
      <c r="A1211">
        <v>11210</v>
      </c>
      <c r="B1211" s="1">
        <v>45771</v>
      </c>
      <c r="C1211">
        <v>1252</v>
      </c>
      <c r="D1211" t="s">
        <v>22</v>
      </c>
      <c r="E1211" t="s">
        <v>17</v>
      </c>
      <c r="F1211">
        <v>4</v>
      </c>
      <c r="G1211">
        <v>418.97</v>
      </c>
      <c r="H1211">
        <v>0.33</v>
      </c>
      <c r="I1211" t="s">
        <v>16</v>
      </c>
      <c r="J1211">
        <v>6</v>
      </c>
      <c r="K1211">
        <v>2.7</v>
      </c>
      <c r="L1211">
        <v>1122.8399999999999</v>
      </c>
      <c r="M1211">
        <f>(Table1[[#This Row],[unit_price]]*Table1[[#This Row],[quantity]])-(Table1[[#This Row],[unit_price]]*Table1[[#This Row],[discount]]*Table1[[#This Row],[quantity]])</f>
        <v>1122.8396</v>
      </c>
      <c r="N1211">
        <f>DAY(Table1[[#This Row],[order_date]])</f>
        <v>24</v>
      </c>
      <c r="O1211" t="str">
        <f>TEXT(Table1[[#This Row],[order_date]],"mmm")</f>
        <v>Apr</v>
      </c>
      <c r="P1211">
        <f>YEAR(Table1[[#This Row],[order_date]])</f>
        <v>2025</v>
      </c>
    </row>
    <row r="1212" spans="1:16" x14ac:dyDescent="0.3">
      <c r="A1212">
        <v>11211</v>
      </c>
      <c r="B1212" s="1">
        <v>45772</v>
      </c>
      <c r="C1212">
        <v>1691</v>
      </c>
      <c r="D1212" t="s">
        <v>12</v>
      </c>
      <c r="E1212" t="s">
        <v>20</v>
      </c>
      <c r="F1212">
        <v>7</v>
      </c>
      <c r="G1212">
        <v>81.67</v>
      </c>
      <c r="H1212">
        <v>0.16</v>
      </c>
      <c r="I1212" t="s">
        <v>16</v>
      </c>
      <c r="J1212">
        <v>1</v>
      </c>
      <c r="K1212">
        <v>3</v>
      </c>
      <c r="L1212">
        <v>480.22</v>
      </c>
      <c r="M1212">
        <f>(Table1[[#This Row],[unit_price]]*Table1[[#This Row],[quantity]])-(Table1[[#This Row],[unit_price]]*Table1[[#This Row],[discount]]*Table1[[#This Row],[quantity]])</f>
        <v>480.21960000000007</v>
      </c>
      <c r="N1212">
        <f>DAY(Table1[[#This Row],[order_date]])</f>
        <v>25</v>
      </c>
      <c r="O1212" t="str">
        <f>TEXT(Table1[[#This Row],[order_date]],"mmm")</f>
        <v>Apr</v>
      </c>
      <c r="P1212">
        <f>YEAR(Table1[[#This Row],[order_date]])</f>
        <v>2025</v>
      </c>
    </row>
    <row r="1213" spans="1:16" x14ac:dyDescent="0.3">
      <c r="A1213">
        <v>11212</v>
      </c>
      <c r="B1213" s="1">
        <v>45773</v>
      </c>
      <c r="C1213">
        <v>1718</v>
      </c>
      <c r="D1213" t="s">
        <v>15</v>
      </c>
      <c r="E1213" t="s">
        <v>21</v>
      </c>
      <c r="F1213">
        <v>1</v>
      </c>
      <c r="G1213">
        <v>399.28</v>
      </c>
      <c r="H1213">
        <v>0.34</v>
      </c>
      <c r="I1213" t="s">
        <v>18</v>
      </c>
      <c r="J1213">
        <v>11</v>
      </c>
      <c r="K1213">
        <v>4.4000000000000004</v>
      </c>
      <c r="L1213">
        <v>263.52</v>
      </c>
      <c r="M1213">
        <f>(Table1[[#This Row],[unit_price]]*Table1[[#This Row],[quantity]])-(Table1[[#This Row],[unit_price]]*Table1[[#This Row],[discount]]*Table1[[#This Row],[quantity]])</f>
        <v>263.52479999999997</v>
      </c>
      <c r="N1213">
        <f>DAY(Table1[[#This Row],[order_date]])</f>
        <v>26</v>
      </c>
      <c r="O1213" t="str">
        <f>TEXT(Table1[[#This Row],[order_date]],"mmm")</f>
        <v>Apr</v>
      </c>
      <c r="P1213">
        <f>YEAR(Table1[[#This Row],[order_date]])</f>
        <v>2025</v>
      </c>
    </row>
    <row r="1214" spans="1:16" x14ac:dyDescent="0.3">
      <c r="A1214">
        <v>11213</v>
      </c>
      <c r="B1214" s="1">
        <v>45774</v>
      </c>
      <c r="C1214">
        <v>1302</v>
      </c>
      <c r="D1214" t="s">
        <v>19</v>
      </c>
      <c r="E1214" t="s">
        <v>13</v>
      </c>
      <c r="F1214">
        <v>1</v>
      </c>
      <c r="G1214">
        <v>178.79</v>
      </c>
      <c r="H1214">
        <v>0.1</v>
      </c>
      <c r="I1214" t="s">
        <v>14</v>
      </c>
      <c r="J1214">
        <v>3</v>
      </c>
      <c r="K1214">
        <v>1.1000000000000001</v>
      </c>
      <c r="L1214">
        <v>160.91</v>
      </c>
      <c r="M1214">
        <f>(Table1[[#This Row],[unit_price]]*Table1[[#This Row],[quantity]])-(Table1[[#This Row],[unit_price]]*Table1[[#This Row],[discount]]*Table1[[#This Row],[quantity]])</f>
        <v>160.911</v>
      </c>
      <c r="N1214">
        <f>DAY(Table1[[#This Row],[order_date]])</f>
        <v>27</v>
      </c>
      <c r="O1214" t="str">
        <f>TEXT(Table1[[#This Row],[order_date]],"mmm")</f>
        <v>Apr</v>
      </c>
      <c r="P1214">
        <f>YEAR(Table1[[#This Row],[order_date]])</f>
        <v>2025</v>
      </c>
    </row>
    <row r="1215" spans="1:16" x14ac:dyDescent="0.3">
      <c r="A1215">
        <v>11214</v>
      </c>
      <c r="B1215" s="1">
        <v>45775</v>
      </c>
      <c r="C1215">
        <v>1638</v>
      </c>
      <c r="D1215" t="s">
        <v>19</v>
      </c>
      <c r="E1215" t="s">
        <v>21</v>
      </c>
      <c r="F1215">
        <v>5</v>
      </c>
      <c r="G1215">
        <v>31.85</v>
      </c>
      <c r="H1215">
        <v>0.08</v>
      </c>
      <c r="I1215" t="s">
        <v>16</v>
      </c>
      <c r="J1215">
        <v>1</v>
      </c>
      <c r="K1215">
        <v>2.7</v>
      </c>
      <c r="L1215">
        <v>146.51</v>
      </c>
      <c r="M1215">
        <f>(Table1[[#This Row],[unit_price]]*Table1[[#This Row],[quantity]])-(Table1[[#This Row],[unit_price]]*Table1[[#This Row],[discount]]*Table1[[#This Row],[quantity]])</f>
        <v>146.51</v>
      </c>
      <c r="N1215">
        <f>DAY(Table1[[#This Row],[order_date]])</f>
        <v>28</v>
      </c>
      <c r="O1215" t="str">
        <f>TEXT(Table1[[#This Row],[order_date]],"mmm")</f>
        <v>Apr</v>
      </c>
      <c r="P1215">
        <f>YEAR(Table1[[#This Row],[order_date]])</f>
        <v>2025</v>
      </c>
    </row>
    <row r="1216" spans="1:16" x14ac:dyDescent="0.3">
      <c r="A1216">
        <v>11215</v>
      </c>
      <c r="B1216" s="1">
        <v>45776</v>
      </c>
      <c r="C1216">
        <v>1055</v>
      </c>
      <c r="D1216" t="s">
        <v>22</v>
      </c>
      <c r="E1216" t="s">
        <v>20</v>
      </c>
      <c r="F1216">
        <v>1</v>
      </c>
      <c r="G1216">
        <v>257.68</v>
      </c>
      <c r="H1216">
        <v>0.22</v>
      </c>
      <c r="I1216" t="s">
        <v>14</v>
      </c>
      <c r="J1216">
        <v>2</v>
      </c>
      <c r="K1216">
        <v>2.6</v>
      </c>
      <c r="L1216">
        <v>200.99</v>
      </c>
      <c r="M1216">
        <f>(Table1[[#This Row],[unit_price]]*Table1[[#This Row],[quantity]])-(Table1[[#This Row],[unit_price]]*Table1[[#This Row],[discount]]*Table1[[#This Row],[quantity]])</f>
        <v>200.99040000000002</v>
      </c>
      <c r="N1216">
        <f>DAY(Table1[[#This Row],[order_date]])</f>
        <v>29</v>
      </c>
      <c r="O1216" t="str">
        <f>TEXT(Table1[[#This Row],[order_date]],"mmm")</f>
        <v>Apr</v>
      </c>
      <c r="P1216">
        <f>YEAR(Table1[[#This Row],[order_date]])</f>
        <v>2025</v>
      </c>
    </row>
    <row r="1217" spans="1:16" x14ac:dyDescent="0.3">
      <c r="A1217">
        <v>11216</v>
      </c>
      <c r="B1217" s="1">
        <v>45777</v>
      </c>
      <c r="C1217">
        <v>1725</v>
      </c>
      <c r="D1217" t="s">
        <v>22</v>
      </c>
      <c r="E1217" t="s">
        <v>21</v>
      </c>
      <c r="F1217">
        <v>6</v>
      </c>
      <c r="G1217">
        <v>268.62</v>
      </c>
      <c r="H1217">
        <v>0.13</v>
      </c>
      <c r="I1217" t="s">
        <v>16</v>
      </c>
      <c r="J1217">
        <v>6</v>
      </c>
      <c r="K1217">
        <v>4.8</v>
      </c>
      <c r="L1217">
        <v>1402.2</v>
      </c>
      <c r="M1217">
        <f>(Table1[[#This Row],[unit_price]]*Table1[[#This Row],[quantity]])-(Table1[[#This Row],[unit_price]]*Table1[[#This Row],[discount]]*Table1[[#This Row],[quantity]])</f>
        <v>1402.1964</v>
      </c>
      <c r="N1217">
        <f>DAY(Table1[[#This Row],[order_date]])</f>
        <v>30</v>
      </c>
      <c r="O1217" t="str">
        <f>TEXT(Table1[[#This Row],[order_date]],"mmm")</f>
        <v>Apr</v>
      </c>
      <c r="P1217">
        <f>YEAR(Table1[[#This Row],[order_date]])</f>
        <v>2025</v>
      </c>
    </row>
    <row r="1218" spans="1:16" x14ac:dyDescent="0.3">
      <c r="A1218">
        <v>11217</v>
      </c>
      <c r="B1218" s="1">
        <v>45778</v>
      </c>
      <c r="C1218">
        <v>1525</v>
      </c>
      <c r="D1218" t="s">
        <v>19</v>
      </c>
      <c r="E1218" t="s">
        <v>17</v>
      </c>
      <c r="F1218">
        <v>2</v>
      </c>
      <c r="G1218">
        <v>288.3</v>
      </c>
      <c r="H1218">
        <v>0.22</v>
      </c>
      <c r="I1218" t="s">
        <v>18</v>
      </c>
      <c r="J1218">
        <v>7</v>
      </c>
      <c r="K1218">
        <v>2</v>
      </c>
      <c r="L1218">
        <v>449.75</v>
      </c>
      <c r="M1218">
        <f>(Table1[[#This Row],[unit_price]]*Table1[[#This Row],[quantity]])-(Table1[[#This Row],[unit_price]]*Table1[[#This Row],[discount]]*Table1[[#This Row],[quantity]])</f>
        <v>449.74800000000005</v>
      </c>
      <c r="N1218">
        <f>DAY(Table1[[#This Row],[order_date]])</f>
        <v>1</v>
      </c>
      <c r="O1218" t="str">
        <f>TEXT(Table1[[#This Row],[order_date]],"mmm")</f>
        <v>May</v>
      </c>
      <c r="P1218">
        <f>YEAR(Table1[[#This Row],[order_date]])</f>
        <v>2025</v>
      </c>
    </row>
    <row r="1219" spans="1:16" x14ac:dyDescent="0.3">
      <c r="A1219">
        <v>11218</v>
      </c>
      <c r="B1219" s="1">
        <v>45779</v>
      </c>
      <c r="C1219">
        <v>1473</v>
      </c>
      <c r="D1219" t="s">
        <v>15</v>
      </c>
      <c r="E1219" t="s">
        <v>17</v>
      </c>
      <c r="F1219">
        <v>2</v>
      </c>
      <c r="G1219">
        <v>427.32</v>
      </c>
      <c r="H1219">
        <v>0.11</v>
      </c>
      <c r="I1219" t="s">
        <v>16</v>
      </c>
      <c r="J1219">
        <v>1</v>
      </c>
      <c r="K1219">
        <v>1.5</v>
      </c>
      <c r="L1219">
        <v>760.63</v>
      </c>
      <c r="M1219">
        <f>(Table1[[#This Row],[unit_price]]*Table1[[#This Row],[quantity]])-(Table1[[#This Row],[unit_price]]*Table1[[#This Row],[discount]]*Table1[[#This Row],[quantity]])</f>
        <v>760.62959999999998</v>
      </c>
      <c r="N1219">
        <f>DAY(Table1[[#This Row],[order_date]])</f>
        <v>2</v>
      </c>
      <c r="O1219" t="str">
        <f>TEXT(Table1[[#This Row],[order_date]],"mmm")</f>
        <v>May</v>
      </c>
      <c r="P1219">
        <f>YEAR(Table1[[#This Row],[order_date]])</f>
        <v>2025</v>
      </c>
    </row>
    <row r="1220" spans="1:16" x14ac:dyDescent="0.3">
      <c r="A1220">
        <v>11219</v>
      </c>
      <c r="B1220" s="1">
        <v>45780</v>
      </c>
      <c r="C1220">
        <v>1027</v>
      </c>
      <c r="D1220" t="s">
        <v>15</v>
      </c>
      <c r="E1220" t="s">
        <v>21</v>
      </c>
      <c r="F1220">
        <v>3</v>
      </c>
      <c r="G1220">
        <v>195.67</v>
      </c>
      <c r="H1220">
        <v>0.22</v>
      </c>
      <c r="I1220" t="s">
        <v>16</v>
      </c>
      <c r="J1220">
        <v>10</v>
      </c>
      <c r="K1220">
        <v>1.6</v>
      </c>
      <c r="L1220">
        <v>457.87</v>
      </c>
      <c r="M1220">
        <f>(Table1[[#This Row],[unit_price]]*Table1[[#This Row],[quantity]])-(Table1[[#This Row],[unit_price]]*Table1[[#This Row],[discount]]*Table1[[#This Row],[quantity]])</f>
        <v>457.86779999999999</v>
      </c>
      <c r="N1220">
        <f>DAY(Table1[[#This Row],[order_date]])</f>
        <v>3</v>
      </c>
      <c r="O1220" t="str">
        <f>TEXT(Table1[[#This Row],[order_date]],"mmm")</f>
        <v>May</v>
      </c>
      <c r="P1220">
        <f>YEAR(Table1[[#This Row],[order_date]])</f>
        <v>2025</v>
      </c>
    </row>
    <row r="1221" spans="1:16" x14ac:dyDescent="0.3">
      <c r="A1221">
        <v>11220</v>
      </c>
      <c r="B1221" s="1">
        <v>45781</v>
      </c>
      <c r="C1221">
        <v>1982</v>
      </c>
      <c r="D1221" t="s">
        <v>19</v>
      </c>
      <c r="E1221" t="s">
        <v>20</v>
      </c>
      <c r="F1221">
        <v>1</v>
      </c>
      <c r="G1221">
        <v>199.44</v>
      </c>
      <c r="H1221">
        <v>0.1</v>
      </c>
      <c r="I1221" t="s">
        <v>18</v>
      </c>
      <c r="J1221">
        <v>5</v>
      </c>
      <c r="K1221">
        <v>3.1</v>
      </c>
      <c r="L1221">
        <v>179.5</v>
      </c>
      <c r="M1221">
        <f>(Table1[[#This Row],[unit_price]]*Table1[[#This Row],[quantity]])-(Table1[[#This Row],[unit_price]]*Table1[[#This Row],[discount]]*Table1[[#This Row],[quantity]])</f>
        <v>179.49599999999998</v>
      </c>
      <c r="N1221">
        <f>DAY(Table1[[#This Row],[order_date]])</f>
        <v>4</v>
      </c>
      <c r="O1221" t="str">
        <f>TEXT(Table1[[#This Row],[order_date]],"mmm")</f>
        <v>May</v>
      </c>
      <c r="P1221">
        <f>YEAR(Table1[[#This Row],[order_date]])</f>
        <v>2025</v>
      </c>
    </row>
    <row r="1222" spans="1:16" x14ac:dyDescent="0.3">
      <c r="A1222">
        <v>11221</v>
      </c>
      <c r="B1222" s="1">
        <v>45782</v>
      </c>
      <c r="C1222">
        <v>1077</v>
      </c>
      <c r="D1222" t="s">
        <v>12</v>
      </c>
      <c r="E1222" t="s">
        <v>21</v>
      </c>
      <c r="F1222">
        <v>6</v>
      </c>
      <c r="G1222">
        <v>50.42</v>
      </c>
      <c r="H1222">
        <v>0.02</v>
      </c>
      <c r="I1222" t="s">
        <v>18</v>
      </c>
      <c r="J1222">
        <v>6</v>
      </c>
      <c r="K1222">
        <v>2.6</v>
      </c>
      <c r="L1222">
        <v>296.47000000000003</v>
      </c>
      <c r="M1222">
        <f>(Table1[[#This Row],[unit_price]]*Table1[[#This Row],[quantity]])-(Table1[[#This Row],[unit_price]]*Table1[[#This Row],[discount]]*Table1[[#This Row],[quantity]])</f>
        <v>296.46959999999996</v>
      </c>
      <c r="N1222">
        <f>DAY(Table1[[#This Row],[order_date]])</f>
        <v>5</v>
      </c>
      <c r="O1222" t="str">
        <f>TEXT(Table1[[#This Row],[order_date]],"mmm")</f>
        <v>May</v>
      </c>
      <c r="P1222">
        <f>YEAR(Table1[[#This Row],[order_date]])</f>
        <v>2025</v>
      </c>
    </row>
    <row r="1223" spans="1:16" x14ac:dyDescent="0.3">
      <c r="A1223">
        <v>11222</v>
      </c>
      <c r="B1223" s="1">
        <v>45783</v>
      </c>
      <c r="C1223">
        <v>1215</v>
      </c>
      <c r="D1223" t="s">
        <v>19</v>
      </c>
      <c r="E1223" t="s">
        <v>17</v>
      </c>
      <c r="F1223">
        <v>5</v>
      </c>
      <c r="G1223">
        <v>416.79</v>
      </c>
      <c r="H1223">
        <v>0.32</v>
      </c>
      <c r="I1223" t="s">
        <v>18</v>
      </c>
      <c r="J1223">
        <v>4</v>
      </c>
      <c r="K1223">
        <v>4</v>
      </c>
      <c r="L1223">
        <v>1417.09</v>
      </c>
      <c r="M1223">
        <f>(Table1[[#This Row],[unit_price]]*Table1[[#This Row],[quantity]])-(Table1[[#This Row],[unit_price]]*Table1[[#This Row],[discount]]*Table1[[#This Row],[quantity]])</f>
        <v>1417.0860000000002</v>
      </c>
      <c r="N1223">
        <f>DAY(Table1[[#This Row],[order_date]])</f>
        <v>6</v>
      </c>
      <c r="O1223" t="str">
        <f>TEXT(Table1[[#This Row],[order_date]],"mmm")</f>
        <v>May</v>
      </c>
      <c r="P1223">
        <f>YEAR(Table1[[#This Row],[order_date]])</f>
        <v>2025</v>
      </c>
    </row>
    <row r="1224" spans="1:16" x14ac:dyDescent="0.3">
      <c r="A1224">
        <v>11223</v>
      </c>
      <c r="B1224" s="1">
        <v>45784</v>
      </c>
      <c r="C1224">
        <v>1385</v>
      </c>
      <c r="D1224" t="s">
        <v>19</v>
      </c>
      <c r="E1224" t="s">
        <v>17</v>
      </c>
      <c r="F1224">
        <v>5</v>
      </c>
      <c r="G1224">
        <v>347.18</v>
      </c>
      <c r="H1224">
        <v>0.31</v>
      </c>
      <c r="I1224" t="s">
        <v>18</v>
      </c>
      <c r="J1224">
        <v>6</v>
      </c>
      <c r="K1224">
        <v>2.2999999999999998</v>
      </c>
      <c r="L1224">
        <v>1197.77</v>
      </c>
      <c r="M1224">
        <f>(Table1[[#This Row],[unit_price]]*Table1[[#This Row],[quantity]])-(Table1[[#This Row],[unit_price]]*Table1[[#This Row],[discount]]*Table1[[#This Row],[quantity]])</f>
        <v>1197.7710000000002</v>
      </c>
      <c r="N1224">
        <f>DAY(Table1[[#This Row],[order_date]])</f>
        <v>7</v>
      </c>
      <c r="O1224" t="str">
        <f>TEXT(Table1[[#This Row],[order_date]],"mmm")</f>
        <v>May</v>
      </c>
      <c r="P1224">
        <f>YEAR(Table1[[#This Row],[order_date]])</f>
        <v>2025</v>
      </c>
    </row>
    <row r="1225" spans="1:16" x14ac:dyDescent="0.3">
      <c r="A1225">
        <v>11224</v>
      </c>
      <c r="B1225" s="1">
        <v>45785</v>
      </c>
      <c r="C1225">
        <v>1364</v>
      </c>
      <c r="D1225" t="s">
        <v>15</v>
      </c>
      <c r="E1225" t="s">
        <v>20</v>
      </c>
      <c r="F1225">
        <v>7</v>
      </c>
      <c r="G1225">
        <v>219.41</v>
      </c>
      <c r="H1225">
        <v>0.34</v>
      </c>
      <c r="I1225" t="s">
        <v>18</v>
      </c>
      <c r="J1225">
        <v>5</v>
      </c>
      <c r="K1225">
        <v>1.5</v>
      </c>
      <c r="L1225">
        <v>1013.67</v>
      </c>
      <c r="M1225">
        <f>(Table1[[#This Row],[unit_price]]*Table1[[#This Row],[quantity]])-(Table1[[#This Row],[unit_price]]*Table1[[#This Row],[discount]]*Table1[[#This Row],[quantity]])</f>
        <v>1013.6741999999999</v>
      </c>
      <c r="N1225">
        <f>DAY(Table1[[#This Row],[order_date]])</f>
        <v>8</v>
      </c>
      <c r="O1225" t="str">
        <f>TEXT(Table1[[#This Row],[order_date]],"mmm")</f>
        <v>May</v>
      </c>
      <c r="P1225">
        <f>YEAR(Table1[[#This Row],[order_date]])</f>
        <v>2025</v>
      </c>
    </row>
    <row r="1226" spans="1:16" x14ac:dyDescent="0.3">
      <c r="A1226">
        <v>11225</v>
      </c>
      <c r="B1226" s="1">
        <v>45786</v>
      </c>
      <c r="C1226">
        <v>1665</v>
      </c>
      <c r="D1226" t="s">
        <v>22</v>
      </c>
      <c r="E1226" t="s">
        <v>21</v>
      </c>
      <c r="F1226">
        <v>4</v>
      </c>
      <c r="G1226">
        <v>427.54</v>
      </c>
      <c r="H1226">
        <v>0.25</v>
      </c>
      <c r="I1226" t="s">
        <v>14</v>
      </c>
      <c r="J1226">
        <v>11</v>
      </c>
      <c r="K1226">
        <v>2.5</v>
      </c>
      <c r="L1226">
        <v>1282.6199999999999</v>
      </c>
      <c r="M1226">
        <f>(Table1[[#This Row],[unit_price]]*Table1[[#This Row],[quantity]])-(Table1[[#This Row],[unit_price]]*Table1[[#This Row],[discount]]*Table1[[#This Row],[quantity]])</f>
        <v>1282.6200000000001</v>
      </c>
      <c r="N1226">
        <f>DAY(Table1[[#This Row],[order_date]])</f>
        <v>9</v>
      </c>
      <c r="O1226" t="str">
        <f>TEXT(Table1[[#This Row],[order_date]],"mmm")</f>
        <v>May</v>
      </c>
      <c r="P1226">
        <f>YEAR(Table1[[#This Row],[order_date]])</f>
        <v>2025</v>
      </c>
    </row>
    <row r="1227" spans="1:16" x14ac:dyDescent="0.3">
      <c r="A1227">
        <v>11226</v>
      </c>
      <c r="B1227" s="1">
        <v>45787</v>
      </c>
      <c r="C1227">
        <v>1525</v>
      </c>
      <c r="D1227" t="s">
        <v>19</v>
      </c>
      <c r="E1227" t="s">
        <v>17</v>
      </c>
      <c r="F1227">
        <v>3</v>
      </c>
      <c r="G1227">
        <v>329.35</v>
      </c>
      <c r="H1227">
        <v>0.24</v>
      </c>
      <c r="I1227" t="s">
        <v>18</v>
      </c>
      <c r="J1227">
        <v>7</v>
      </c>
      <c r="K1227">
        <v>4.5</v>
      </c>
      <c r="L1227">
        <v>750.92</v>
      </c>
      <c r="M1227">
        <f>(Table1[[#This Row],[unit_price]]*Table1[[#This Row],[quantity]])-(Table1[[#This Row],[unit_price]]*Table1[[#This Row],[discount]]*Table1[[#This Row],[quantity]])</f>
        <v>750.91800000000012</v>
      </c>
      <c r="N1227">
        <f>DAY(Table1[[#This Row],[order_date]])</f>
        <v>10</v>
      </c>
      <c r="O1227" t="str">
        <f>TEXT(Table1[[#This Row],[order_date]],"mmm")</f>
        <v>May</v>
      </c>
      <c r="P1227">
        <f>YEAR(Table1[[#This Row],[order_date]])</f>
        <v>2025</v>
      </c>
    </row>
    <row r="1228" spans="1:16" x14ac:dyDescent="0.3">
      <c r="A1228">
        <v>11227</v>
      </c>
      <c r="B1228" s="1">
        <v>45788</v>
      </c>
      <c r="C1228">
        <v>1698</v>
      </c>
      <c r="D1228" t="s">
        <v>22</v>
      </c>
      <c r="E1228" t="s">
        <v>17</v>
      </c>
      <c r="F1228">
        <v>6</v>
      </c>
      <c r="G1228">
        <v>289.51</v>
      </c>
      <c r="H1228">
        <v>0.2</v>
      </c>
      <c r="I1228" t="s">
        <v>16</v>
      </c>
      <c r="J1228">
        <v>4</v>
      </c>
      <c r="K1228">
        <v>2.6</v>
      </c>
      <c r="L1228">
        <v>1389.65</v>
      </c>
      <c r="M1228">
        <f>(Table1[[#This Row],[unit_price]]*Table1[[#This Row],[quantity]])-(Table1[[#This Row],[unit_price]]*Table1[[#This Row],[discount]]*Table1[[#This Row],[quantity]])</f>
        <v>1389.6479999999999</v>
      </c>
      <c r="N1228">
        <f>DAY(Table1[[#This Row],[order_date]])</f>
        <v>11</v>
      </c>
      <c r="O1228" t="str">
        <f>TEXT(Table1[[#This Row],[order_date]],"mmm")</f>
        <v>May</v>
      </c>
      <c r="P1228">
        <f>YEAR(Table1[[#This Row],[order_date]])</f>
        <v>2025</v>
      </c>
    </row>
    <row r="1229" spans="1:16" x14ac:dyDescent="0.3">
      <c r="A1229">
        <v>11228</v>
      </c>
      <c r="B1229" s="1">
        <v>45789</v>
      </c>
      <c r="C1229">
        <v>1311</v>
      </c>
      <c r="D1229" t="s">
        <v>15</v>
      </c>
      <c r="E1229" t="s">
        <v>21</v>
      </c>
      <c r="F1229">
        <v>6</v>
      </c>
      <c r="G1229">
        <v>314.12</v>
      </c>
      <c r="H1229">
        <v>0.04</v>
      </c>
      <c r="I1229" t="s">
        <v>16</v>
      </c>
      <c r="J1229">
        <v>1</v>
      </c>
      <c r="K1229">
        <v>4.3</v>
      </c>
      <c r="L1229">
        <v>1809.33</v>
      </c>
      <c r="M1229">
        <f>(Table1[[#This Row],[unit_price]]*Table1[[#This Row],[quantity]])-(Table1[[#This Row],[unit_price]]*Table1[[#This Row],[discount]]*Table1[[#This Row],[quantity]])</f>
        <v>1809.3312000000001</v>
      </c>
      <c r="N1229">
        <f>DAY(Table1[[#This Row],[order_date]])</f>
        <v>12</v>
      </c>
      <c r="O1229" t="str">
        <f>TEXT(Table1[[#This Row],[order_date]],"mmm")</f>
        <v>May</v>
      </c>
      <c r="P1229">
        <f>YEAR(Table1[[#This Row],[order_date]])</f>
        <v>2025</v>
      </c>
    </row>
    <row r="1230" spans="1:16" x14ac:dyDescent="0.3">
      <c r="A1230">
        <v>11229</v>
      </c>
      <c r="B1230" s="1">
        <v>45790</v>
      </c>
      <c r="C1230">
        <v>1882</v>
      </c>
      <c r="D1230" t="s">
        <v>19</v>
      </c>
      <c r="E1230" t="s">
        <v>21</v>
      </c>
      <c r="F1230">
        <v>7</v>
      </c>
      <c r="G1230">
        <v>387.26</v>
      </c>
      <c r="H1230">
        <v>7.0000000000000007E-2</v>
      </c>
      <c r="I1230" t="s">
        <v>16</v>
      </c>
      <c r="J1230">
        <v>2</v>
      </c>
      <c r="K1230">
        <v>2.5</v>
      </c>
      <c r="L1230">
        <v>2521.06</v>
      </c>
      <c r="M1230">
        <f>(Table1[[#This Row],[unit_price]]*Table1[[#This Row],[quantity]])-(Table1[[#This Row],[unit_price]]*Table1[[#This Row],[discount]]*Table1[[#This Row],[quantity]])</f>
        <v>2521.0625999999997</v>
      </c>
      <c r="N1230">
        <f>DAY(Table1[[#This Row],[order_date]])</f>
        <v>13</v>
      </c>
      <c r="O1230" t="str">
        <f>TEXT(Table1[[#This Row],[order_date]],"mmm")</f>
        <v>May</v>
      </c>
      <c r="P1230">
        <f>YEAR(Table1[[#This Row],[order_date]])</f>
        <v>2025</v>
      </c>
    </row>
    <row r="1231" spans="1:16" x14ac:dyDescent="0.3">
      <c r="A1231">
        <v>11230</v>
      </c>
      <c r="B1231" s="1">
        <v>45791</v>
      </c>
      <c r="C1231">
        <v>1006</v>
      </c>
      <c r="D1231" t="s">
        <v>19</v>
      </c>
      <c r="E1231" t="s">
        <v>13</v>
      </c>
      <c r="F1231">
        <v>7</v>
      </c>
      <c r="G1231">
        <v>401.1</v>
      </c>
      <c r="H1231">
        <v>0.1</v>
      </c>
      <c r="I1231" t="s">
        <v>18</v>
      </c>
      <c r="J1231">
        <v>6</v>
      </c>
      <c r="K1231">
        <v>2.1</v>
      </c>
      <c r="L1231">
        <v>2526.9299999999998</v>
      </c>
      <c r="M1231">
        <f>(Table1[[#This Row],[unit_price]]*Table1[[#This Row],[quantity]])-(Table1[[#This Row],[unit_price]]*Table1[[#This Row],[discount]]*Table1[[#This Row],[quantity]])</f>
        <v>2526.9300000000003</v>
      </c>
      <c r="N1231">
        <f>DAY(Table1[[#This Row],[order_date]])</f>
        <v>14</v>
      </c>
      <c r="O1231" t="str">
        <f>TEXT(Table1[[#This Row],[order_date]],"mmm")</f>
        <v>May</v>
      </c>
      <c r="P1231">
        <f>YEAR(Table1[[#This Row],[order_date]])</f>
        <v>2025</v>
      </c>
    </row>
    <row r="1232" spans="1:16" x14ac:dyDescent="0.3">
      <c r="A1232">
        <v>11231</v>
      </c>
      <c r="B1232" s="1">
        <v>45792</v>
      </c>
      <c r="C1232">
        <v>1002</v>
      </c>
      <c r="D1232" t="s">
        <v>15</v>
      </c>
      <c r="E1232" t="s">
        <v>20</v>
      </c>
      <c r="F1232">
        <v>5</v>
      </c>
      <c r="G1232">
        <v>184.04</v>
      </c>
      <c r="H1232">
        <v>0.31</v>
      </c>
      <c r="I1232" t="s">
        <v>16</v>
      </c>
      <c r="J1232">
        <v>10</v>
      </c>
      <c r="K1232">
        <v>4.0999999999999996</v>
      </c>
      <c r="L1232">
        <v>634.94000000000005</v>
      </c>
      <c r="M1232">
        <f>(Table1[[#This Row],[unit_price]]*Table1[[#This Row],[quantity]])-(Table1[[#This Row],[unit_price]]*Table1[[#This Row],[discount]]*Table1[[#This Row],[quantity]])</f>
        <v>634.93799999999987</v>
      </c>
      <c r="N1232">
        <f>DAY(Table1[[#This Row],[order_date]])</f>
        <v>15</v>
      </c>
      <c r="O1232" t="str">
        <f>TEXT(Table1[[#This Row],[order_date]],"mmm")</f>
        <v>May</v>
      </c>
      <c r="P1232">
        <f>YEAR(Table1[[#This Row],[order_date]])</f>
        <v>2025</v>
      </c>
    </row>
    <row r="1233" spans="1:16" x14ac:dyDescent="0.3">
      <c r="A1233">
        <v>11232</v>
      </c>
      <c r="B1233" s="1">
        <v>45793</v>
      </c>
      <c r="C1233">
        <v>1622</v>
      </c>
      <c r="D1233" t="s">
        <v>19</v>
      </c>
      <c r="E1233" t="s">
        <v>20</v>
      </c>
      <c r="F1233">
        <v>4</v>
      </c>
      <c r="G1233">
        <v>97.33</v>
      </c>
      <c r="H1233">
        <v>0.06</v>
      </c>
      <c r="I1233" t="s">
        <v>16</v>
      </c>
      <c r="J1233">
        <v>11</v>
      </c>
      <c r="K1233">
        <v>1.8</v>
      </c>
      <c r="L1233">
        <v>365.96</v>
      </c>
      <c r="M1233">
        <f>(Table1[[#This Row],[unit_price]]*Table1[[#This Row],[quantity]])-(Table1[[#This Row],[unit_price]]*Table1[[#This Row],[discount]]*Table1[[#This Row],[quantity]])</f>
        <v>365.96080000000001</v>
      </c>
      <c r="N1233">
        <f>DAY(Table1[[#This Row],[order_date]])</f>
        <v>16</v>
      </c>
      <c r="O1233" t="str">
        <f>TEXT(Table1[[#This Row],[order_date]],"mmm")</f>
        <v>May</v>
      </c>
      <c r="P1233">
        <f>YEAR(Table1[[#This Row],[order_date]])</f>
        <v>2025</v>
      </c>
    </row>
    <row r="1234" spans="1:16" x14ac:dyDescent="0.3">
      <c r="A1234">
        <v>11233</v>
      </c>
      <c r="B1234" s="1">
        <v>45794</v>
      </c>
      <c r="C1234">
        <v>1918</v>
      </c>
      <c r="D1234" t="s">
        <v>12</v>
      </c>
      <c r="E1234" t="s">
        <v>21</v>
      </c>
      <c r="F1234">
        <v>5</v>
      </c>
      <c r="G1234">
        <v>106.63</v>
      </c>
      <c r="H1234">
        <v>0.32</v>
      </c>
      <c r="I1234" t="s">
        <v>16</v>
      </c>
      <c r="J1234">
        <v>2</v>
      </c>
      <c r="K1234">
        <v>1.9</v>
      </c>
      <c r="L1234">
        <v>362.54</v>
      </c>
      <c r="M1234">
        <f>(Table1[[#This Row],[unit_price]]*Table1[[#This Row],[quantity]])-(Table1[[#This Row],[unit_price]]*Table1[[#This Row],[discount]]*Table1[[#This Row],[quantity]])</f>
        <v>362.54199999999997</v>
      </c>
      <c r="N1234">
        <f>DAY(Table1[[#This Row],[order_date]])</f>
        <v>17</v>
      </c>
      <c r="O1234" t="str">
        <f>TEXT(Table1[[#This Row],[order_date]],"mmm")</f>
        <v>May</v>
      </c>
      <c r="P1234">
        <f>YEAR(Table1[[#This Row],[order_date]])</f>
        <v>2025</v>
      </c>
    </row>
    <row r="1235" spans="1:16" x14ac:dyDescent="0.3">
      <c r="A1235">
        <v>11234</v>
      </c>
      <c r="B1235" s="1">
        <v>45795</v>
      </c>
      <c r="C1235">
        <v>1749</v>
      </c>
      <c r="D1235" t="s">
        <v>22</v>
      </c>
      <c r="E1235" t="s">
        <v>20</v>
      </c>
      <c r="F1235">
        <v>4</v>
      </c>
      <c r="G1235">
        <v>389.04</v>
      </c>
      <c r="H1235">
        <v>0.18</v>
      </c>
      <c r="I1235" t="s">
        <v>18</v>
      </c>
      <c r="J1235">
        <v>5</v>
      </c>
      <c r="K1235">
        <v>1.2</v>
      </c>
      <c r="L1235">
        <v>1276.05</v>
      </c>
      <c r="M1235">
        <f>(Table1[[#This Row],[unit_price]]*Table1[[#This Row],[quantity]])-(Table1[[#This Row],[unit_price]]*Table1[[#This Row],[discount]]*Table1[[#This Row],[quantity]])</f>
        <v>1276.0512000000001</v>
      </c>
      <c r="N1235">
        <f>DAY(Table1[[#This Row],[order_date]])</f>
        <v>18</v>
      </c>
      <c r="O1235" t="str">
        <f>TEXT(Table1[[#This Row],[order_date]],"mmm")</f>
        <v>May</v>
      </c>
      <c r="P1235">
        <f>YEAR(Table1[[#This Row],[order_date]])</f>
        <v>2025</v>
      </c>
    </row>
    <row r="1236" spans="1:16" x14ac:dyDescent="0.3">
      <c r="A1236">
        <v>11235</v>
      </c>
      <c r="B1236" s="1">
        <v>45796</v>
      </c>
      <c r="C1236">
        <v>1362</v>
      </c>
      <c r="D1236" t="s">
        <v>12</v>
      </c>
      <c r="E1236" t="s">
        <v>17</v>
      </c>
      <c r="F1236">
        <v>2</v>
      </c>
      <c r="G1236">
        <v>525.63</v>
      </c>
      <c r="H1236">
        <v>0.25</v>
      </c>
      <c r="I1236" t="s">
        <v>16</v>
      </c>
      <c r="J1236">
        <v>4</v>
      </c>
      <c r="K1236">
        <v>1.8</v>
      </c>
      <c r="L1236">
        <v>788.44</v>
      </c>
      <c r="M1236">
        <f>(Table1[[#This Row],[unit_price]]*Table1[[#This Row],[quantity]])-(Table1[[#This Row],[unit_price]]*Table1[[#This Row],[discount]]*Table1[[#This Row],[quantity]])</f>
        <v>788.44499999999994</v>
      </c>
      <c r="N1236">
        <f>DAY(Table1[[#This Row],[order_date]])</f>
        <v>19</v>
      </c>
      <c r="O1236" t="str">
        <f>TEXT(Table1[[#This Row],[order_date]],"mmm")</f>
        <v>May</v>
      </c>
      <c r="P1236">
        <f>YEAR(Table1[[#This Row],[order_date]])</f>
        <v>2025</v>
      </c>
    </row>
    <row r="1237" spans="1:16" x14ac:dyDescent="0.3">
      <c r="A1237">
        <v>11236</v>
      </c>
      <c r="B1237" s="1">
        <v>45797</v>
      </c>
      <c r="C1237">
        <v>1750</v>
      </c>
      <c r="D1237" t="s">
        <v>19</v>
      </c>
      <c r="E1237" t="s">
        <v>21</v>
      </c>
      <c r="F1237">
        <v>6</v>
      </c>
      <c r="G1237">
        <v>254.56</v>
      </c>
      <c r="H1237">
        <v>0.04</v>
      </c>
      <c r="I1237" t="s">
        <v>16</v>
      </c>
      <c r="J1237">
        <v>7</v>
      </c>
      <c r="K1237">
        <v>2.5</v>
      </c>
      <c r="L1237">
        <v>1466.27</v>
      </c>
      <c r="M1237">
        <f>(Table1[[#This Row],[unit_price]]*Table1[[#This Row],[quantity]])-(Table1[[#This Row],[unit_price]]*Table1[[#This Row],[discount]]*Table1[[#This Row],[quantity]])</f>
        <v>1466.2656000000002</v>
      </c>
      <c r="N1237">
        <f>DAY(Table1[[#This Row],[order_date]])</f>
        <v>20</v>
      </c>
      <c r="O1237" t="str">
        <f>TEXT(Table1[[#This Row],[order_date]],"mmm")</f>
        <v>May</v>
      </c>
      <c r="P1237">
        <f>YEAR(Table1[[#This Row],[order_date]])</f>
        <v>2025</v>
      </c>
    </row>
    <row r="1238" spans="1:16" x14ac:dyDescent="0.3">
      <c r="A1238">
        <v>11237</v>
      </c>
      <c r="B1238" s="1">
        <v>45798</v>
      </c>
      <c r="C1238">
        <v>1507</v>
      </c>
      <c r="D1238" t="s">
        <v>12</v>
      </c>
      <c r="E1238" t="s">
        <v>21</v>
      </c>
      <c r="F1238">
        <v>7</v>
      </c>
      <c r="G1238">
        <v>114.17</v>
      </c>
      <c r="H1238">
        <v>0.09</v>
      </c>
      <c r="I1238" t="s">
        <v>18</v>
      </c>
      <c r="J1238">
        <v>4</v>
      </c>
      <c r="K1238">
        <v>2.6</v>
      </c>
      <c r="L1238">
        <v>727.26</v>
      </c>
      <c r="M1238">
        <f>(Table1[[#This Row],[unit_price]]*Table1[[#This Row],[quantity]])-(Table1[[#This Row],[unit_price]]*Table1[[#This Row],[discount]]*Table1[[#This Row],[quantity]])</f>
        <v>727.26290000000006</v>
      </c>
      <c r="N1238">
        <f>DAY(Table1[[#This Row],[order_date]])</f>
        <v>21</v>
      </c>
      <c r="O1238" t="str">
        <f>TEXT(Table1[[#This Row],[order_date]],"mmm")</f>
        <v>May</v>
      </c>
      <c r="P1238">
        <f>YEAR(Table1[[#This Row],[order_date]])</f>
        <v>2025</v>
      </c>
    </row>
    <row r="1239" spans="1:16" x14ac:dyDescent="0.3">
      <c r="A1239">
        <v>11238</v>
      </c>
      <c r="B1239" s="1">
        <v>45799</v>
      </c>
      <c r="C1239">
        <v>1273</v>
      </c>
      <c r="D1239" t="s">
        <v>15</v>
      </c>
      <c r="E1239" t="s">
        <v>21</v>
      </c>
      <c r="F1239">
        <v>2</v>
      </c>
      <c r="G1239">
        <v>457.61</v>
      </c>
      <c r="H1239">
        <v>0.34</v>
      </c>
      <c r="I1239" t="s">
        <v>18</v>
      </c>
      <c r="J1239">
        <v>7</v>
      </c>
      <c r="K1239">
        <v>2.7</v>
      </c>
      <c r="L1239">
        <v>604.04999999999995</v>
      </c>
      <c r="M1239">
        <f>(Table1[[#This Row],[unit_price]]*Table1[[#This Row],[quantity]])-(Table1[[#This Row],[unit_price]]*Table1[[#This Row],[discount]]*Table1[[#This Row],[quantity]])</f>
        <v>604.04520000000002</v>
      </c>
      <c r="N1239">
        <f>DAY(Table1[[#This Row],[order_date]])</f>
        <v>22</v>
      </c>
      <c r="O1239" t="str">
        <f>TEXT(Table1[[#This Row],[order_date]],"mmm")</f>
        <v>May</v>
      </c>
      <c r="P1239">
        <f>YEAR(Table1[[#This Row],[order_date]])</f>
        <v>2025</v>
      </c>
    </row>
    <row r="1240" spans="1:16" x14ac:dyDescent="0.3">
      <c r="A1240">
        <v>11239</v>
      </c>
      <c r="B1240" s="1">
        <v>45800</v>
      </c>
      <c r="C1240">
        <v>1505</v>
      </c>
      <c r="D1240" t="s">
        <v>19</v>
      </c>
      <c r="E1240" t="s">
        <v>13</v>
      </c>
      <c r="F1240">
        <v>5</v>
      </c>
      <c r="G1240">
        <v>502.01</v>
      </c>
      <c r="H1240">
        <v>0.09</v>
      </c>
      <c r="I1240" t="s">
        <v>16</v>
      </c>
      <c r="J1240">
        <v>11</v>
      </c>
      <c r="K1240">
        <v>2.9</v>
      </c>
      <c r="L1240">
        <v>2284.15</v>
      </c>
      <c r="M1240">
        <f>(Table1[[#This Row],[unit_price]]*Table1[[#This Row],[quantity]])-(Table1[[#This Row],[unit_price]]*Table1[[#This Row],[discount]]*Table1[[#This Row],[quantity]])</f>
        <v>2284.1455000000001</v>
      </c>
      <c r="N1240">
        <f>DAY(Table1[[#This Row],[order_date]])</f>
        <v>23</v>
      </c>
      <c r="O1240" t="str">
        <f>TEXT(Table1[[#This Row],[order_date]],"mmm")</f>
        <v>May</v>
      </c>
      <c r="P1240">
        <f>YEAR(Table1[[#This Row],[order_date]])</f>
        <v>2025</v>
      </c>
    </row>
    <row r="1241" spans="1:16" x14ac:dyDescent="0.3">
      <c r="A1241">
        <v>11240</v>
      </c>
      <c r="B1241" s="1">
        <v>45801</v>
      </c>
      <c r="C1241">
        <v>1805</v>
      </c>
      <c r="D1241" t="s">
        <v>19</v>
      </c>
      <c r="E1241" t="s">
        <v>20</v>
      </c>
      <c r="F1241">
        <v>3</v>
      </c>
      <c r="G1241">
        <v>530.14</v>
      </c>
      <c r="H1241">
        <v>0.1</v>
      </c>
      <c r="I1241" t="s">
        <v>18</v>
      </c>
      <c r="J1241">
        <v>8</v>
      </c>
      <c r="K1241">
        <v>3.3</v>
      </c>
      <c r="L1241">
        <v>1431.38</v>
      </c>
      <c r="M1241">
        <f>(Table1[[#This Row],[unit_price]]*Table1[[#This Row],[quantity]])-(Table1[[#This Row],[unit_price]]*Table1[[#This Row],[discount]]*Table1[[#This Row],[quantity]])</f>
        <v>1431.3780000000002</v>
      </c>
      <c r="N1241">
        <f>DAY(Table1[[#This Row],[order_date]])</f>
        <v>24</v>
      </c>
      <c r="O1241" t="str">
        <f>TEXT(Table1[[#This Row],[order_date]],"mmm")</f>
        <v>May</v>
      </c>
      <c r="P1241">
        <f>YEAR(Table1[[#This Row],[order_date]])</f>
        <v>2025</v>
      </c>
    </row>
    <row r="1242" spans="1:16" x14ac:dyDescent="0.3">
      <c r="A1242">
        <v>11241</v>
      </c>
      <c r="B1242" s="1">
        <v>45802</v>
      </c>
      <c r="C1242">
        <v>1738</v>
      </c>
      <c r="D1242" t="s">
        <v>19</v>
      </c>
      <c r="E1242" t="s">
        <v>13</v>
      </c>
      <c r="F1242">
        <v>1</v>
      </c>
      <c r="G1242">
        <v>370</v>
      </c>
      <c r="H1242">
        <v>7.0000000000000007E-2</v>
      </c>
      <c r="I1242" t="s">
        <v>16</v>
      </c>
      <c r="J1242">
        <v>7</v>
      </c>
      <c r="K1242">
        <v>1.8</v>
      </c>
      <c r="L1242">
        <v>344.1</v>
      </c>
      <c r="M1242">
        <f>(Table1[[#This Row],[unit_price]]*Table1[[#This Row],[quantity]])-(Table1[[#This Row],[unit_price]]*Table1[[#This Row],[discount]]*Table1[[#This Row],[quantity]])</f>
        <v>344.1</v>
      </c>
      <c r="N1242">
        <f>DAY(Table1[[#This Row],[order_date]])</f>
        <v>25</v>
      </c>
      <c r="O1242" t="str">
        <f>TEXT(Table1[[#This Row],[order_date]],"mmm")</f>
        <v>May</v>
      </c>
      <c r="P1242">
        <f>YEAR(Table1[[#This Row],[order_date]])</f>
        <v>2025</v>
      </c>
    </row>
    <row r="1243" spans="1:16" x14ac:dyDescent="0.3">
      <c r="A1243">
        <v>11242</v>
      </c>
      <c r="B1243" s="1">
        <v>45803</v>
      </c>
      <c r="C1243">
        <v>1882</v>
      </c>
      <c r="D1243" t="s">
        <v>22</v>
      </c>
      <c r="E1243" t="s">
        <v>17</v>
      </c>
      <c r="F1243">
        <v>3</v>
      </c>
      <c r="G1243">
        <v>518.53</v>
      </c>
      <c r="H1243">
        <v>0.05</v>
      </c>
      <c r="I1243" t="s">
        <v>14</v>
      </c>
      <c r="J1243">
        <v>2</v>
      </c>
      <c r="K1243">
        <v>3.5</v>
      </c>
      <c r="L1243">
        <v>1477.81</v>
      </c>
      <c r="M1243">
        <f>(Table1[[#This Row],[unit_price]]*Table1[[#This Row],[quantity]])-(Table1[[#This Row],[unit_price]]*Table1[[#This Row],[discount]]*Table1[[#This Row],[quantity]])</f>
        <v>1477.8104999999998</v>
      </c>
      <c r="N1243">
        <f>DAY(Table1[[#This Row],[order_date]])</f>
        <v>26</v>
      </c>
      <c r="O1243" t="str">
        <f>TEXT(Table1[[#This Row],[order_date]],"mmm")</f>
        <v>May</v>
      </c>
      <c r="P1243">
        <f>YEAR(Table1[[#This Row],[order_date]])</f>
        <v>2025</v>
      </c>
    </row>
    <row r="1244" spans="1:16" x14ac:dyDescent="0.3">
      <c r="A1244">
        <v>11243</v>
      </c>
      <c r="B1244" s="1">
        <v>45804</v>
      </c>
      <c r="C1244">
        <v>1014</v>
      </c>
      <c r="D1244" t="s">
        <v>15</v>
      </c>
      <c r="E1244" t="s">
        <v>20</v>
      </c>
      <c r="F1244">
        <v>3</v>
      </c>
      <c r="G1244">
        <v>24.02</v>
      </c>
      <c r="H1244">
        <v>0.08</v>
      </c>
      <c r="I1244" t="s">
        <v>16</v>
      </c>
      <c r="J1244">
        <v>11</v>
      </c>
      <c r="K1244">
        <v>2.2999999999999998</v>
      </c>
      <c r="L1244">
        <v>66.3</v>
      </c>
      <c r="M1244">
        <f>(Table1[[#This Row],[unit_price]]*Table1[[#This Row],[quantity]])-(Table1[[#This Row],[unit_price]]*Table1[[#This Row],[discount]]*Table1[[#This Row],[quantity]])</f>
        <v>66.295200000000008</v>
      </c>
      <c r="N1244">
        <f>DAY(Table1[[#This Row],[order_date]])</f>
        <v>27</v>
      </c>
      <c r="O1244" t="str">
        <f>TEXT(Table1[[#This Row],[order_date]],"mmm")</f>
        <v>May</v>
      </c>
      <c r="P1244">
        <f>YEAR(Table1[[#This Row],[order_date]])</f>
        <v>2025</v>
      </c>
    </row>
    <row r="1245" spans="1:16" x14ac:dyDescent="0.3">
      <c r="A1245">
        <v>11244</v>
      </c>
      <c r="B1245" s="1">
        <v>45805</v>
      </c>
      <c r="C1245">
        <v>1191</v>
      </c>
      <c r="D1245" t="s">
        <v>19</v>
      </c>
      <c r="E1245" t="s">
        <v>13</v>
      </c>
      <c r="F1245">
        <v>1</v>
      </c>
      <c r="G1245">
        <v>77.73</v>
      </c>
      <c r="H1245">
        <v>0.22</v>
      </c>
      <c r="I1245" t="s">
        <v>14</v>
      </c>
      <c r="J1245">
        <v>1</v>
      </c>
      <c r="K1245">
        <v>3.9</v>
      </c>
      <c r="L1245">
        <v>60.63</v>
      </c>
      <c r="M1245">
        <f>(Table1[[#This Row],[unit_price]]*Table1[[#This Row],[quantity]])-(Table1[[#This Row],[unit_price]]*Table1[[#This Row],[discount]]*Table1[[#This Row],[quantity]])</f>
        <v>60.629400000000004</v>
      </c>
      <c r="N1245">
        <f>DAY(Table1[[#This Row],[order_date]])</f>
        <v>28</v>
      </c>
      <c r="O1245" t="str">
        <f>TEXT(Table1[[#This Row],[order_date]],"mmm")</f>
        <v>May</v>
      </c>
      <c r="P1245">
        <f>YEAR(Table1[[#This Row],[order_date]])</f>
        <v>2025</v>
      </c>
    </row>
    <row r="1246" spans="1:16" x14ac:dyDescent="0.3">
      <c r="A1246">
        <v>11245</v>
      </c>
      <c r="B1246" s="1">
        <v>45806</v>
      </c>
      <c r="C1246">
        <v>1984</v>
      </c>
      <c r="D1246" t="s">
        <v>15</v>
      </c>
      <c r="E1246" t="s">
        <v>21</v>
      </c>
      <c r="F1246">
        <v>6</v>
      </c>
      <c r="G1246">
        <v>69.16</v>
      </c>
      <c r="H1246">
        <v>0.16</v>
      </c>
      <c r="I1246" t="s">
        <v>14</v>
      </c>
      <c r="J1246">
        <v>5</v>
      </c>
      <c r="K1246">
        <v>3.2</v>
      </c>
      <c r="L1246">
        <v>348.57</v>
      </c>
      <c r="M1246">
        <f>(Table1[[#This Row],[unit_price]]*Table1[[#This Row],[quantity]])-(Table1[[#This Row],[unit_price]]*Table1[[#This Row],[discount]]*Table1[[#This Row],[quantity]])</f>
        <v>348.56639999999999</v>
      </c>
      <c r="N1246">
        <f>DAY(Table1[[#This Row],[order_date]])</f>
        <v>29</v>
      </c>
      <c r="O1246" t="str">
        <f>TEXT(Table1[[#This Row],[order_date]],"mmm")</f>
        <v>May</v>
      </c>
      <c r="P1246">
        <f>YEAR(Table1[[#This Row],[order_date]])</f>
        <v>2025</v>
      </c>
    </row>
    <row r="1247" spans="1:16" x14ac:dyDescent="0.3">
      <c r="A1247">
        <v>11246</v>
      </c>
      <c r="B1247" s="1">
        <v>45807</v>
      </c>
      <c r="C1247">
        <v>1630</v>
      </c>
      <c r="D1247" t="s">
        <v>19</v>
      </c>
      <c r="E1247" t="s">
        <v>13</v>
      </c>
      <c r="F1247">
        <v>2</v>
      </c>
      <c r="G1247">
        <v>431.87</v>
      </c>
      <c r="H1247">
        <v>0.19</v>
      </c>
      <c r="I1247" t="s">
        <v>18</v>
      </c>
      <c r="J1247">
        <v>7</v>
      </c>
      <c r="K1247">
        <v>3.2</v>
      </c>
      <c r="L1247">
        <v>699.63</v>
      </c>
      <c r="M1247">
        <f>(Table1[[#This Row],[unit_price]]*Table1[[#This Row],[quantity]])-(Table1[[#This Row],[unit_price]]*Table1[[#This Row],[discount]]*Table1[[#This Row],[quantity]])</f>
        <v>699.62940000000003</v>
      </c>
      <c r="N1247">
        <f>DAY(Table1[[#This Row],[order_date]])</f>
        <v>30</v>
      </c>
      <c r="O1247" t="str">
        <f>TEXT(Table1[[#This Row],[order_date]],"mmm")</f>
        <v>May</v>
      </c>
      <c r="P1247">
        <f>YEAR(Table1[[#This Row],[order_date]])</f>
        <v>2025</v>
      </c>
    </row>
    <row r="1248" spans="1:16" x14ac:dyDescent="0.3">
      <c r="A1248">
        <v>11247</v>
      </c>
      <c r="B1248" s="1">
        <v>45808</v>
      </c>
      <c r="C1248">
        <v>1484</v>
      </c>
      <c r="D1248" t="s">
        <v>15</v>
      </c>
      <c r="E1248" t="s">
        <v>21</v>
      </c>
      <c r="F1248">
        <v>2</v>
      </c>
      <c r="G1248">
        <v>55.71</v>
      </c>
      <c r="H1248">
        <v>0.04</v>
      </c>
      <c r="I1248" t="s">
        <v>16</v>
      </c>
      <c r="J1248">
        <v>1</v>
      </c>
      <c r="K1248">
        <v>3.7</v>
      </c>
      <c r="L1248">
        <v>106.96</v>
      </c>
      <c r="M1248">
        <f>(Table1[[#This Row],[unit_price]]*Table1[[#This Row],[quantity]])-(Table1[[#This Row],[unit_price]]*Table1[[#This Row],[discount]]*Table1[[#This Row],[quantity]])</f>
        <v>106.9632</v>
      </c>
      <c r="N1248">
        <f>DAY(Table1[[#This Row],[order_date]])</f>
        <v>31</v>
      </c>
      <c r="O1248" t="str">
        <f>TEXT(Table1[[#This Row],[order_date]],"mmm")</f>
        <v>May</v>
      </c>
      <c r="P1248">
        <f>YEAR(Table1[[#This Row],[order_date]])</f>
        <v>2025</v>
      </c>
    </row>
    <row r="1249" spans="1:16" x14ac:dyDescent="0.3">
      <c r="A1249">
        <v>11248</v>
      </c>
      <c r="B1249" s="1">
        <v>45809</v>
      </c>
      <c r="C1249">
        <v>1027</v>
      </c>
      <c r="D1249" t="s">
        <v>15</v>
      </c>
      <c r="E1249" t="s">
        <v>13</v>
      </c>
      <c r="F1249">
        <v>6</v>
      </c>
      <c r="G1249">
        <v>305.37</v>
      </c>
      <c r="H1249">
        <v>0.28000000000000003</v>
      </c>
      <c r="I1249" t="s">
        <v>18</v>
      </c>
      <c r="J1249">
        <v>11</v>
      </c>
      <c r="K1249">
        <v>2.2999999999999998</v>
      </c>
      <c r="L1249">
        <v>1319.2</v>
      </c>
      <c r="M1249">
        <f>(Table1[[#This Row],[unit_price]]*Table1[[#This Row],[quantity]])-(Table1[[#This Row],[unit_price]]*Table1[[#This Row],[discount]]*Table1[[#This Row],[quantity]])</f>
        <v>1319.1984</v>
      </c>
      <c r="N1249">
        <f>DAY(Table1[[#This Row],[order_date]])</f>
        <v>1</v>
      </c>
      <c r="O1249" t="str">
        <f>TEXT(Table1[[#This Row],[order_date]],"mmm")</f>
        <v>Jun</v>
      </c>
      <c r="P1249">
        <f>YEAR(Table1[[#This Row],[order_date]])</f>
        <v>2025</v>
      </c>
    </row>
    <row r="1250" spans="1:16" x14ac:dyDescent="0.3">
      <c r="A1250">
        <v>11249</v>
      </c>
      <c r="B1250" s="1">
        <v>45810</v>
      </c>
      <c r="C1250">
        <v>1713</v>
      </c>
      <c r="D1250" t="s">
        <v>22</v>
      </c>
      <c r="E1250" t="s">
        <v>13</v>
      </c>
      <c r="F1250">
        <v>1</v>
      </c>
      <c r="G1250">
        <v>291.52999999999997</v>
      </c>
      <c r="H1250">
        <v>0.27</v>
      </c>
      <c r="I1250" t="s">
        <v>16</v>
      </c>
      <c r="J1250">
        <v>8</v>
      </c>
      <c r="K1250">
        <v>2.7</v>
      </c>
      <c r="L1250">
        <v>212.82</v>
      </c>
      <c r="M1250">
        <f>(Table1[[#This Row],[unit_price]]*Table1[[#This Row],[quantity]])-(Table1[[#This Row],[unit_price]]*Table1[[#This Row],[discount]]*Table1[[#This Row],[quantity]])</f>
        <v>212.81689999999998</v>
      </c>
      <c r="N1250">
        <f>DAY(Table1[[#This Row],[order_date]])</f>
        <v>2</v>
      </c>
      <c r="O1250" t="str">
        <f>TEXT(Table1[[#This Row],[order_date]],"mmm")</f>
        <v>Jun</v>
      </c>
      <c r="P1250">
        <f>YEAR(Table1[[#This Row],[order_date]])</f>
        <v>2025</v>
      </c>
    </row>
    <row r="1251" spans="1:16" x14ac:dyDescent="0.3">
      <c r="A1251">
        <v>11250</v>
      </c>
      <c r="B1251" s="1">
        <v>45811</v>
      </c>
      <c r="C1251">
        <v>1038</v>
      </c>
      <c r="D1251" t="s">
        <v>22</v>
      </c>
      <c r="E1251" t="s">
        <v>13</v>
      </c>
      <c r="F1251">
        <v>4</v>
      </c>
      <c r="G1251">
        <v>196.76</v>
      </c>
      <c r="H1251">
        <v>0.01</v>
      </c>
      <c r="I1251" t="s">
        <v>14</v>
      </c>
      <c r="J1251">
        <v>3</v>
      </c>
      <c r="K1251">
        <v>3.3</v>
      </c>
      <c r="L1251">
        <v>779.17</v>
      </c>
      <c r="M1251">
        <f>(Table1[[#This Row],[unit_price]]*Table1[[#This Row],[quantity]])-(Table1[[#This Row],[unit_price]]*Table1[[#This Row],[discount]]*Table1[[#This Row],[quantity]])</f>
        <v>779.16959999999995</v>
      </c>
      <c r="N1251">
        <f>DAY(Table1[[#This Row],[order_date]])</f>
        <v>3</v>
      </c>
      <c r="O1251" t="str">
        <f>TEXT(Table1[[#This Row],[order_date]],"mmm")</f>
        <v>Jun</v>
      </c>
      <c r="P1251">
        <f>YEAR(Table1[[#This Row],[order_date]])</f>
        <v>2025</v>
      </c>
    </row>
    <row r="1252" spans="1:16" x14ac:dyDescent="0.3">
      <c r="A1252">
        <v>11251</v>
      </c>
      <c r="B1252" s="1">
        <v>45812</v>
      </c>
      <c r="C1252">
        <v>1952</v>
      </c>
      <c r="D1252" t="s">
        <v>15</v>
      </c>
      <c r="E1252" t="s">
        <v>21</v>
      </c>
      <c r="F1252">
        <v>3</v>
      </c>
      <c r="G1252">
        <v>524.19000000000005</v>
      </c>
      <c r="H1252">
        <v>0.13</v>
      </c>
      <c r="I1252" t="s">
        <v>18</v>
      </c>
      <c r="J1252">
        <v>7</v>
      </c>
      <c r="K1252">
        <v>2.7</v>
      </c>
      <c r="L1252">
        <v>1368.14</v>
      </c>
      <c r="M1252">
        <f>(Table1[[#This Row],[unit_price]]*Table1[[#This Row],[quantity]])-(Table1[[#This Row],[unit_price]]*Table1[[#This Row],[discount]]*Table1[[#This Row],[quantity]])</f>
        <v>1368.1359000000002</v>
      </c>
      <c r="N1252">
        <f>DAY(Table1[[#This Row],[order_date]])</f>
        <v>4</v>
      </c>
      <c r="O1252" t="str">
        <f>TEXT(Table1[[#This Row],[order_date]],"mmm")</f>
        <v>Jun</v>
      </c>
      <c r="P1252">
        <f>YEAR(Table1[[#This Row],[order_date]])</f>
        <v>2025</v>
      </c>
    </row>
    <row r="1253" spans="1:16" x14ac:dyDescent="0.3">
      <c r="A1253">
        <v>11252</v>
      </c>
      <c r="B1253" s="1">
        <v>45813</v>
      </c>
      <c r="C1253">
        <v>1272</v>
      </c>
      <c r="D1253" t="s">
        <v>15</v>
      </c>
      <c r="E1253" t="s">
        <v>13</v>
      </c>
      <c r="F1253">
        <v>5</v>
      </c>
      <c r="G1253">
        <v>114.7</v>
      </c>
      <c r="H1253">
        <v>0.02</v>
      </c>
      <c r="I1253" t="s">
        <v>14</v>
      </c>
      <c r="J1253">
        <v>3</v>
      </c>
      <c r="K1253">
        <v>2.8</v>
      </c>
      <c r="L1253">
        <v>562.03</v>
      </c>
      <c r="M1253">
        <f>(Table1[[#This Row],[unit_price]]*Table1[[#This Row],[quantity]])-(Table1[[#This Row],[unit_price]]*Table1[[#This Row],[discount]]*Table1[[#This Row],[quantity]])</f>
        <v>562.03</v>
      </c>
      <c r="N1253">
        <f>DAY(Table1[[#This Row],[order_date]])</f>
        <v>5</v>
      </c>
      <c r="O1253" t="str">
        <f>TEXT(Table1[[#This Row],[order_date]],"mmm")</f>
        <v>Jun</v>
      </c>
      <c r="P1253">
        <f>YEAR(Table1[[#This Row],[order_date]])</f>
        <v>2025</v>
      </c>
    </row>
    <row r="1254" spans="1:16" x14ac:dyDescent="0.3">
      <c r="A1254">
        <v>11253</v>
      </c>
      <c r="B1254" s="1">
        <v>45814</v>
      </c>
      <c r="C1254">
        <v>1230</v>
      </c>
      <c r="D1254" t="s">
        <v>15</v>
      </c>
      <c r="E1254" t="s">
        <v>20</v>
      </c>
      <c r="F1254">
        <v>2</v>
      </c>
      <c r="G1254">
        <v>221.19</v>
      </c>
      <c r="H1254">
        <v>0.28000000000000003</v>
      </c>
      <c r="I1254" t="s">
        <v>18</v>
      </c>
      <c r="J1254">
        <v>4</v>
      </c>
      <c r="K1254">
        <v>2.1</v>
      </c>
      <c r="L1254">
        <v>318.51</v>
      </c>
      <c r="M1254">
        <f>(Table1[[#This Row],[unit_price]]*Table1[[#This Row],[quantity]])-(Table1[[#This Row],[unit_price]]*Table1[[#This Row],[discount]]*Table1[[#This Row],[quantity]])</f>
        <v>318.5136</v>
      </c>
      <c r="N1254">
        <f>DAY(Table1[[#This Row],[order_date]])</f>
        <v>6</v>
      </c>
      <c r="O1254" t="str">
        <f>TEXT(Table1[[#This Row],[order_date]],"mmm")</f>
        <v>Jun</v>
      </c>
      <c r="P1254">
        <f>YEAR(Table1[[#This Row],[order_date]])</f>
        <v>2025</v>
      </c>
    </row>
    <row r="1255" spans="1:16" x14ac:dyDescent="0.3">
      <c r="A1255">
        <v>11254</v>
      </c>
      <c r="B1255" s="1">
        <v>45815</v>
      </c>
      <c r="C1255">
        <v>1085</v>
      </c>
      <c r="D1255" t="s">
        <v>22</v>
      </c>
      <c r="E1255" t="s">
        <v>20</v>
      </c>
      <c r="F1255">
        <v>6</v>
      </c>
      <c r="G1255">
        <v>467.89</v>
      </c>
      <c r="H1255">
        <v>0.26</v>
      </c>
      <c r="I1255" t="s">
        <v>18</v>
      </c>
      <c r="J1255">
        <v>8</v>
      </c>
      <c r="K1255">
        <v>2.1</v>
      </c>
      <c r="L1255">
        <v>2077.4299999999998</v>
      </c>
      <c r="M1255">
        <f>(Table1[[#This Row],[unit_price]]*Table1[[#This Row],[quantity]])-(Table1[[#This Row],[unit_price]]*Table1[[#This Row],[discount]]*Table1[[#This Row],[quantity]])</f>
        <v>2077.4315999999999</v>
      </c>
      <c r="N1255">
        <f>DAY(Table1[[#This Row],[order_date]])</f>
        <v>7</v>
      </c>
      <c r="O1255" t="str">
        <f>TEXT(Table1[[#This Row],[order_date]],"mmm")</f>
        <v>Jun</v>
      </c>
      <c r="P1255">
        <f>YEAR(Table1[[#This Row],[order_date]])</f>
        <v>2025</v>
      </c>
    </row>
    <row r="1256" spans="1:16" x14ac:dyDescent="0.3">
      <c r="A1256">
        <v>11255</v>
      </c>
      <c r="B1256" s="1">
        <v>45816</v>
      </c>
      <c r="C1256">
        <v>1473</v>
      </c>
      <c r="D1256" t="s">
        <v>19</v>
      </c>
      <c r="E1256" t="s">
        <v>20</v>
      </c>
      <c r="F1256">
        <v>5</v>
      </c>
      <c r="G1256">
        <v>32.799999999999997</v>
      </c>
      <c r="H1256">
        <v>0.32</v>
      </c>
      <c r="I1256" t="s">
        <v>18</v>
      </c>
      <c r="J1256">
        <v>2</v>
      </c>
      <c r="K1256">
        <v>3.8</v>
      </c>
      <c r="L1256">
        <v>111.52</v>
      </c>
      <c r="M1256">
        <f>(Table1[[#This Row],[unit_price]]*Table1[[#This Row],[quantity]])-(Table1[[#This Row],[unit_price]]*Table1[[#This Row],[discount]]*Table1[[#This Row],[quantity]])</f>
        <v>111.52000000000001</v>
      </c>
      <c r="N1256">
        <f>DAY(Table1[[#This Row],[order_date]])</f>
        <v>8</v>
      </c>
      <c r="O1256" t="str">
        <f>TEXT(Table1[[#This Row],[order_date]],"mmm")</f>
        <v>Jun</v>
      </c>
      <c r="P1256">
        <f>YEAR(Table1[[#This Row],[order_date]])</f>
        <v>2025</v>
      </c>
    </row>
    <row r="1257" spans="1:16" x14ac:dyDescent="0.3">
      <c r="A1257">
        <v>11256</v>
      </c>
      <c r="B1257" s="1">
        <v>45817</v>
      </c>
      <c r="C1257">
        <v>1125</v>
      </c>
      <c r="D1257" t="s">
        <v>19</v>
      </c>
      <c r="E1257" t="s">
        <v>21</v>
      </c>
      <c r="F1257">
        <v>7</v>
      </c>
      <c r="G1257">
        <v>408.68</v>
      </c>
      <c r="H1257">
        <v>0.08</v>
      </c>
      <c r="I1257" t="s">
        <v>16</v>
      </c>
      <c r="J1257">
        <v>6</v>
      </c>
      <c r="K1257">
        <v>1</v>
      </c>
      <c r="L1257">
        <v>2631.9</v>
      </c>
      <c r="M1257">
        <f>(Table1[[#This Row],[unit_price]]*Table1[[#This Row],[quantity]])-(Table1[[#This Row],[unit_price]]*Table1[[#This Row],[discount]]*Table1[[#This Row],[quantity]])</f>
        <v>2631.8992000000003</v>
      </c>
      <c r="N1257">
        <f>DAY(Table1[[#This Row],[order_date]])</f>
        <v>9</v>
      </c>
      <c r="O1257" t="str">
        <f>TEXT(Table1[[#This Row],[order_date]],"mmm")</f>
        <v>Jun</v>
      </c>
      <c r="P1257">
        <f>YEAR(Table1[[#This Row],[order_date]])</f>
        <v>2025</v>
      </c>
    </row>
    <row r="1258" spans="1:16" x14ac:dyDescent="0.3">
      <c r="A1258">
        <v>11257</v>
      </c>
      <c r="B1258" s="1">
        <v>45818</v>
      </c>
      <c r="C1258">
        <v>1811</v>
      </c>
      <c r="D1258" t="s">
        <v>19</v>
      </c>
      <c r="E1258" t="s">
        <v>21</v>
      </c>
      <c r="F1258">
        <v>1</v>
      </c>
      <c r="G1258">
        <v>492.59</v>
      </c>
      <c r="H1258">
        <v>0.16</v>
      </c>
      <c r="I1258" t="s">
        <v>18</v>
      </c>
      <c r="J1258">
        <v>10</v>
      </c>
      <c r="K1258">
        <v>1.4</v>
      </c>
      <c r="L1258">
        <v>413.78</v>
      </c>
      <c r="M1258">
        <f>(Table1[[#This Row],[unit_price]]*Table1[[#This Row],[quantity]])-(Table1[[#This Row],[unit_price]]*Table1[[#This Row],[discount]]*Table1[[#This Row],[quantity]])</f>
        <v>413.7756</v>
      </c>
      <c r="N1258">
        <f>DAY(Table1[[#This Row],[order_date]])</f>
        <v>10</v>
      </c>
      <c r="O1258" t="str">
        <f>TEXT(Table1[[#This Row],[order_date]],"mmm")</f>
        <v>Jun</v>
      </c>
      <c r="P1258">
        <f>YEAR(Table1[[#This Row],[order_date]])</f>
        <v>2025</v>
      </c>
    </row>
    <row r="1259" spans="1:16" x14ac:dyDescent="0.3">
      <c r="A1259">
        <v>11258</v>
      </c>
      <c r="B1259" s="1">
        <v>45819</v>
      </c>
      <c r="C1259">
        <v>1536</v>
      </c>
      <c r="D1259" t="s">
        <v>15</v>
      </c>
      <c r="E1259" t="s">
        <v>20</v>
      </c>
      <c r="F1259">
        <v>5</v>
      </c>
      <c r="G1259">
        <v>560.38</v>
      </c>
      <c r="H1259">
        <v>0.06</v>
      </c>
      <c r="I1259" t="s">
        <v>18</v>
      </c>
      <c r="J1259">
        <v>9</v>
      </c>
      <c r="K1259">
        <v>4.8</v>
      </c>
      <c r="L1259">
        <v>2633.79</v>
      </c>
      <c r="M1259">
        <f>(Table1[[#This Row],[unit_price]]*Table1[[#This Row],[quantity]])-(Table1[[#This Row],[unit_price]]*Table1[[#This Row],[discount]]*Table1[[#This Row],[quantity]])</f>
        <v>2633.7860000000001</v>
      </c>
      <c r="N1259">
        <f>DAY(Table1[[#This Row],[order_date]])</f>
        <v>11</v>
      </c>
      <c r="O1259" t="str">
        <f>TEXT(Table1[[#This Row],[order_date]],"mmm")</f>
        <v>Jun</v>
      </c>
      <c r="P1259">
        <f>YEAR(Table1[[#This Row],[order_date]])</f>
        <v>2025</v>
      </c>
    </row>
    <row r="1260" spans="1:16" x14ac:dyDescent="0.3">
      <c r="A1260">
        <v>11259</v>
      </c>
      <c r="B1260" s="1">
        <v>45820</v>
      </c>
      <c r="C1260">
        <v>1144</v>
      </c>
      <c r="D1260" t="s">
        <v>15</v>
      </c>
      <c r="E1260" t="s">
        <v>20</v>
      </c>
      <c r="F1260">
        <v>5</v>
      </c>
      <c r="G1260">
        <v>527.63</v>
      </c>
      <c r="H1260">
        <v>0.13</v>
      </c>
      <c r="I1260" t="s">
        <v>14</v>
      </c>
      <c r="J1260">
        <v>10</v>
      </c>
      <c r="K1260">
        <v>1.7</v>
      </c>
      <c r="L1260">
        <v>2295.19</v>
      </c>
      <c r="M1260">
        <f>(Table1[[#This Row],[unit_price]]*Table1[[#This Row],[quantity]])-(Table1[[#This Row],[unit_price]]*Table1[[#This Row],[discount]]*Table1[[#This Row],[quantity]])</f>
        <v>2295.1905000000002</v>
      </c>
      <c r="N1260">
        <f>DAY(Table1[[#This Row],[order_date]])</f>
        <v>12</v>
      </c>
      <c r="O1260" t="str">
        <f>TEXT(Table1[[#This Row],[order_date]],"mmm")</f>
        <v>Jun</v>
      </c>
      <c r="P1260">
        <f>YEAR(Table1[[#This Row],[order_date]])</f>
        <v>2025</v>
      </c>
    </row>
    <row r="1261" spans="1:16" x14ac:dyDescent="0.3">
      <c r="A1261">
        <v>11260</v>
      </c>
      <c r="B1261" s="1">
        <v>45821</v>
      </c>
      <c r="C1261">
        <v>1524</v>
      </c>
      <c r="D1261" t="s">
        <v>22</v>
      </c>
      <c r="E1261" t="s">
        <v>20</v>
      </c>
      <c r="F1261">
        <v>3</v>
      </c>
      <c r="G1261">
        <v>201.84</v>
      </c>
      <c r="H1261">
        <v>0.18</v>
      </c>
      <c r="I1261" t="s">
        <v>18</v>
      </c>
      <c r="J1261">
        <v>9</v>
      </c>
      <c r="K1261">
        <v>2.7</v>
      </c>
      <c r="L1261">
        <v>496.53</v>
      </c>
      <c r="M1261">
        <f>(Table1[[#This Row],[unit_price]]*Table1[[#This Row],[quantity]])-(Table1[[#This Row],[unit_price]]*Table1[[#This Row],[discount]]*Table1[[#This Row],[quantity]])</f>
        <v>496.52639999999997</v>
      </c>
      <c r="N1261">
        <f>DAY(Table1[[#This Row],[order_date]])</f>
        <v>13</v>
      </c>
      <c r="O1261" t="str">
        <f>TEXT(Table1[[#This Row],[order_date]],"mmm")</f>
        <v>Jun</v>
      </c>
      <c r="P1261">
        <f>YEAR(Table1[[#This Row],[order_date]])</f>
        <v>2025</v>
      </c>
    </row>
    <row r="1262" spans="1:16" x14ac:dyDescent="0.3">
      <c r="A1262">
        <v>11261</v>
      </c>
      <c r="B1262" s="1">
        <v>45822</v>
      </c>
      <c r="C1262">
        <v>1211</v>
      </c>
      <c r="D1262" t="s">
        <v>19</v>
      </c>
      <c r="E1262" t="s">
        <v>17</v>
      </c>
      <c r="F1262">
        <v>1</v>
      </c>
      <c r="G1262">
        <v>358.02</v>
      </c>
      <c r="H1262">
        <v>0.02</v>
      </c>
      <c r="I1262" t="s">
        <v>14</v>
      </c>
      <c r="J1262">
        <v>5</v>
      </c>
      <c r="K1262">
        <v>4.4000000000000004</v>
      </c>
      <c r="L1262">
        <v>350.86</v>
      </c>
      <c r="M1262">
        <f>(Table1[[#This Row],[unit_price]]*Table1[[#This Row],[quantity]])-(Table1[[#This Row],[unit_price]]*Table1[[#This Row],[discount]]*Table1[[#This Row],[quantity]])</f>
        <v>350.8596</v>
      </c>
      <c r="N1262">
        <f>DAY(Table1[[#This Row],[order_date]])</f>
        <v>14</v>
      </c>
      <c r="O1262" t="str">
        <f>TEXT(Table1[[#This Row],[order_date]],"mmm")</f>
        <v>Jun</v>
      </c>
      <c r="P1262">
        <f>YEAR(Table1[[#This Row],[order_date]])</f>
        <v>2025</v>
      </c>
    </row>
    <row r="1263" spans="1:16" x14ac:dyDescent="0.3">
      <c r="A1263">
        <v>11262</v>
      </c>
      <c r="B1263" s="1">
        <v>45823</v>
      </c>
      <c r="C1263">
        <v>1024</v>
      </c>
      <c r="D1263" t="s">
        <v>15</v>
      </c>
      <c r="E1263" t="s">
        <v>20</v>
      </c>
      <c r="F1263">
        <v>5</v>
      </c>
      <c r="G1263">
        <v>60.22</v>
      </c>
      <c r="H1263">
        <v>0.25</v>
      </c>
      <c r="I1263" t="s">
        <v>14</v>
      </c>
      <c r="J1263">
        <v>3</v>
      </c>
      <c r="K1263">
        <v>1</v>
      </c>
      <c r="L1263">
        <v>225.82</v>
      </c>
      <c r="M1263">
        <f>(Table1[[#This Row],[unit_price]]*Table1[[#This Row],[quantity]])-(Table1[[#This Row],[unit_price]]*Table1[[#This Row],[discount]]*Table1[[#This Row],[quantity]])</f>
        <v>225.82500000000002</v>
      </c>
      <c r="N1263">
        <f>DAY(Table1[[#This Row],[order_date]])</f>
        <v>15</v>
      </c>
      <c r="O1263" t="str">
        <f>TEXT(Table1[[#This Row],[order_date]],"mmm")</f>
        <v>Jun</v>
      </c>
      <c r="P1263">
        <f>YEAR(Table1[[#This Row],[order_date]])</f>
        <v>2025</v>
      </c>
    </row>
    <row r="1264" spans="1:16" x14ac:dyDescent="0.3">
      <c r="A1264">
        <v>11263</v>
      </c>
      <c r="B1264" s="1">
        <v>45824</v>
      </c>
      <c r="C1264">
        <v>1579</v>
      </c>
      <c r="D1264" t="s">
        <v>22</v>
      </c>
      <c r="E1264" t="s">
        <v>13</v>
      </c>
      <c r="F1264">
        <v>2</v>
      </c>
      <c r="G1264">
        <v>165.85</v>
      </c>
      <c r="H1264">
        <v>0.19</v>
      </c>
      <c r="I1264" t="s">
        <v>18</v>
      </c>
      <c r="J1264">
        <v>6</v>
      </c>
      <c r="K1264">
        <v>4.7</v>
      </c>
      <c r="L1264">
        <v>268.68</v>
      </c>
      <c r="M1264">
        <f>(Table1[[#This Row],[unit_price]]*Table1[[#This Row],[quantity]])-(Table1[[#This Row],[unit_price]]*Table1[[#This Row],[discount]]*Table1[[#This Row],[quantity]])</f>
        <v>268.67700000000002</v>
      </c>
      <c r="N1264">
        <f>DAY(Table1[[#This Row],[order_date]])</f>
        <v>16</v>
      </c>
      <c r="O1264" t="str">
        <f>TEXT(Table1[[#This Row],[order_date]],"mmm")</f>
        <v>Jun</v>
      </c>
      <c r="P1264">
        <f>YEAR(Table1[[#This Row],[order_date]])</f>
        <v>2025</v>
      </c>
    </row>
    <row r="1265" spans="1:16" x14ac:dyDescent="0.3">
      <c r="A1265">
        <v>11264</v>
      </c>
      <c r="B1265" s="1">
        <v>45825</v>
      </c>
      <c r="C1265">
        <v>1393</v>
      </c>
      <c r="D1265" t="s">
        <v>22</v>
      </c>
      <c r="E1265" t="s">
        <v>17</v>
      </c>
      <c r="F1265">
        <v>1</v>
      </c>
      <c r="G1265">
        <v>70.12</v>
      </c>
      <c r="H1265">
        <v>0.28999999999999998</v>
      </c>
      <c r="I1265" t="s">
        <v>16</v>
      </c>
      <c r="J1265">
        <v>9</v>
      </c>
      <c r="K1265">
        <v>1.2</v>
      </c>
      <c r="L1265">
        <v>49.79</v>
      </c>
      <c r="M1265">
        <f>(Table1[[#This Row],[unit_price]]*Table1[[#This Row],[quantity]])-(Table1[[#This Row],[unit_price]]*Table1[[#This Row],[discount]]*Table1[[#This Row],[quantity]])</f>
        <v>49.785200000000003</v>
      </c>
      <c r="N1265">
        <f>DAY(Table1[[#This Row],[order_date]])</f>
        <v>17</v>
      </c>
      <c r="O1265" t="str">
        <f>TEXT(Table1[[#This Row],[order_date]],"mmm")</f>
        <v>Jun</v>
      </c>
      <c r="P1265">
        <f>YEAR(Table1[[#This Row],[order_date]])</f>
        <v>2025</v>
      </c>
    </row>
    <row r="1266" spans="1:16" x14ac:dyDescent="0.3">
      <c r="A1266">
        <v>11265</v>
      </c>
      <c r="B1266" s="1">
        <v>45826</v>
      </c>
      <c r="C1266">
        <v>1066</v>
      </c>
      <c r="D1266" t="s">
        <v>15</v>
      </c>
      <c r="E1266" t="s">
        <v>17</v>
      </c>
      <c r="F1266">
        <v>2</v>
      </c>
      <c r="G1266">
        <v>199.38</v>
      </c>
      <c r="H1266">
        <v>0.1</v>
      </c>
      <c r="I1266" t="s">
        <v>18</v>
      </c>
      <c r="J1266">
        <v>6</v>
      </c>
      <c r="K1266">
        <v>1.7</v>
      </c>
      <c r="L1266">
        <v>358.88</v>
      </c>
      <c r="M1266">
        <f>(Table1[[#This Row],[unit_price]]*Table1[[#This Row],[quantity]])-(Table1[[#This Row],[unit_price]]*Table1[[#This Row],[discount]]*Table1[[#This Row],[quantity]])</f>
        <v>358.88400000000001</v>
      </c>
      <c r="N1266">
        <f>DAY(Table1[[#This Row],[order_date]])</f>
        <v>18</v>
      </c>
      <c r="O1266" t="str">
        <f>TEXT(Table1[[#This Row],[order_date]],"mmm")</f>
        <v>Jun</v>
      </c>
      <c r="P1266">
        <f>YEAR(Table1[[#This Row],[order_date]])</f>
        <v>2025</v>
      </c>
    </row>
    <row r="1267" spans="1:16" x14ac:dyDescent="0.3">
      <c r="A1267">
        <v>11266</v>
      </c>
      <c r="B1267" s="1">
        <v>45827</v>
      </c>
      <c r="C1267">
        <v>1232</v>
      </c>
      <c r="D1267" t="s">
        <v>15</v>
      </c>
      <c r="E1267" t="s">
        <v>21</v>
      </c>
      <c r="F1267">
        <v>6</v>
      </c>
      <c r="G1267">
        <v>526.98</v>
      </c>
      <c r="H1267">
        <v>0.32</v>
      </c>
      <c r="I1267" t="s">
        <v>16</v>
      </c>
      <c r="J1267">
        <v>4</v>
      </c>
      <c r="K1267">
        <v>1.1000000000000001</v>
      </c>
      <c r="L1267">
        <v>2150.08</v>
      </c>
      <c r="M1267">
        <f>(Table1[[#This Row],[unit_price]]*Table1[[#This Row],[quantity]])-(Table1[[#This Row],[unit_price]]*Table1[[#This Row],[discount]]*Table1[[#This Row],[quantity]])</f>
        <v>2150.0784000000003</v>
      </c>
      <c r="N1267">
        <f>DAY(Table1[[#This Row],[order_date]])</f>
        <v>19</v>
      </c>
      <c r="O1267" t="str">
        <f>TEXT(Table1[[#This Row],[order_date]],"mmm")</f>
        <v>Jun</v>
      </c>
      <c r="P1267">
        <f>YEAR(Table1[[#This Row],[order_date]])</f>
        <v>2025</v>
      </c>
    </row>
    <row r="1268" spans="1:16" x14ac:dyDescent="0.3">
      <c r="A1268">
        <v>11267</v>
      </c>
      <c r="B1268" s="1">
        <v>45828</v>
      </c>
      <c r="C1268">
        <v>1108</v>
      </c>
      <c r="D1268" t="s">
        <v>19</v>
      </c>
      <c r="E1268" t="s">
        <v>13</v>
      </c>
      <c r="F1268">
        <v>6</v>
      </c>
      <c r="G1268">
        <v>218.09</v>
      </c>
      <c r="H1268">
        <v>0.35</v>
      </c>
      <c r="I1268" t="s">
        <v>16</v>
      </c>
      <c r="J1268">
        <v>11</v>
      </c>
      <c r="K1268">
        <v>3.1</v>
      </c>
      <c r="L1268">
        <v>850.55</v>
      </c>
      <c r="M1268">
        <f>(Table1[[#This Row],[unit_price]]*Table1[[#This Row],[quantity]])-(Table1[[#This Row],[unit_price]]*Table1[[#This Row],[discount]]*Table1[[#This Row],[quantity]])</f>
        <v>850.55100000000004</v>
      </c>
      <c r="N1268">
        <f>DAY(Table1[[#This Row],[order_date]])</f>
        <v>20</v>
      </c>
      <c r="O1268" t="str">
        <f>TEXT(Table1[[#This Row],[order_date]],"mmm")</f>
        <v>Jun</v>
      </c>
      <c r="P1268">
        <f>YEAR(Table1[[#This Row],[order_date]])</f>
        <v>2025</v>
      </c>
    </row>
    <row r="1269" spans="1:16" x14ac:dyDescent="0.3">
      <c r="A1269">
        <v>11268</v>
      </c>
      <c r="B1269" s="1">
        <v>45829</v>
      </c>
      <c r="C1269">
        <v>1145</v>
      </c>
      <c r="D1269" t="s">
        <v>12</v>
      </c>
      <c r="E1269" t="s">
        <v>21</v>
      </c>
      <c r="F1269">
        <v>7</v>
      </c>
      <c r="G1269">
        <v>343.71</v>
      </c>
      <c r="H1269">
        <v>0.32</v>
      </c>
      <c r="I1269" t="s">
        <v>16</v>
      </c>
      <c r="J1269">
        <v>5</v>
      </c>
      <c r="K1269">
        <v>4.8</v>
      </c>
      <c r="L1269">
        <v>1636.06</v>
      </c>
      <c r="M1269">
        <f>(Table1[[#This Row],[unit_price]]*Table1[[#This Row],[quantity]])-(Table1[[#This Row],[unit_price]]*Table1[[#This Row],[discount]]*Table1[[#This Row],[quantity]])</f>
        <v>1636.0595999999998</v>
      </c>
      <c r="N1269">
        <f>DAY(Table1[[#This Row],[order_date]])</f>
        <v>21</v>
      </c>
      <c r="O1269" t="str">
        <f>TEXT(Table1[[#This Row],[order_date]],"mmm")</f>
        <v>Jun</v>
      </c>
      <c r="P1269">
        <f>YEAR(Table1[[#This Row],[order_date]])</f>
        <v>2025</v>
      </c>
    </row>
    <row r="1270" spans="1:16" x14ac:dyDescent="0.3">
      <c r="A1270">
        <v>11269</v>
      </c>
      <c r="B1270" s="1">
        <v>45830</v>
      </c>
      <c r="C1270">
        <v>1110</v>
      </c>
      <c r="D1270" t="s">
        <v>19</v>
      </c>
      <c r="E1270" t="s">
        <v>21</v>
      </c>
      <c r="F1270">
        <v>4</v>
      </c>
      <c r="G1270">
        <v>268.52999999999997</v>
      </c>
      <c r="H1270">
        <v>0.27</v>
      </c>
      <c r="I1270" t="s">
        <v>14</v>
      </c>
      <c r="J1270">
        <v>7</v>
      </c>
      <c r="K1270">
        <v>4.4000000000000004</v>
      </c>
      <c r="L1270">
        <v>784.11</v>
      </c>
      <c r="M1270">
        <f>(Table1[[#This Row],[unit_price]]*Table1[[#This Row],[quantity]])-(Table1[[#This Row],[unit_price]]*Table1[[#This Row],[discount]]*Table1[[#This Row],[quantity]])</f>
        <v>784.10759999999982</v>
      </c>
      <c r="N1270">
        <f>DAY(Table1[[#This Row],[order_date]])</f>
        <v>22</v>
      </c>
      <c r="O1270" t="str">
        <f>TEXT(Table1[[#This Row],[order_date]],"mmm")</f>
        <v>Jun</v>
      </c>
      <c r="P1270">
        <f>YEAR(Table1[[#This Row],[order_date]])</f>
        <v>2025</v>
      </c>
    </row>
    <row r="1271" spans="1:16" x14ac:dyDescent="0.3">
      <c r="A1271">
        <v>11270</v>
      </c>
      <c r="B1271" s="1">
        <v>45831</v>
      </c>
      <c r="C1271">
        <v>1227</v>
      </c>
      <c r="D1271" t="s">
        <v>12</v>
      </c>
      <c r="E1271" t="s">
        <v>13</v>
      </c>
      <c r="F1271">
        <v>6</v>
      </c>
      <c r="G1271">
        <v>283.47000000000003</v>
      </c>
      <c r="H1271">
        <v>0.28000000000000003</v>
      </c>
      <c r="I1271" t="s">
        <v>16</v>
      </c>
      <c r="J1271">
        <v>10</v>
      </c>
      <c r="K1271">
        <v>3.6</v>
      </c>
      <c r="L1271">
        <v>1224.5899999999999</v>
      </c>
      <c r="M1271">
        <f>(Table1[[#This Row],[unit_price]]*Table1[[#This Row],[quantity]])-(Table1[[#This Row],[unit_price]]*Table1[[#This Row],[discount]]*Table1[[#This Row],[quantity]])</f>
        <v>1224.5904</v>
      </c>
      <c r="N1271">
        <f>DAY(Table1[[#This Row],[order_date]])</f>
        <v>23</v>
      </c>
      <c r="O1271" t="str">
        <f>TEXT(Table1[[#This Row],[order_date]],"mmm")</f>
        <v>Jun</v>
      </c>
      <c r="P1271">
        <f>YEAR(Table1[[#This Row],[order_date]])</f>
        <v>2025</v>
      </c>
    </row>
    <row r="1272" spans="1:16" x14ac:dyDescent="0.3">
      <c r="A1272">
        <v>11271</v>
      </c>
      <c r="B1272" s="1">
        <v>45832</v>
      </c>
      <c r="C1272">
        <v>1110</v>
      </c>
      <c r="D1272" t="s">
        <v>22</v>
      </c>
      <c r="E1272" t="s">
        <v>21</v>
      </c>
      <c r="F1272">
        <v>5</v>
      </c>
      <c r="G1272">
        <v>582.20000000000005</v>
      </c>
      <c r="H1272">
        <v>0.2</v>
      </c>
      <c r="I1272" t="s">
        <v>18</v>
      </c>
      <c r="J1272">
        <v>3</v>
      </c>
      <c r="K1272">
        <v>1.7</v>
      </c>
      <c r="L1272">
        <v>2328.8000000000002</v>
      </c>
      <c r="M1272">
        <f>(Table1[[#This Row],[unit_price]]*Table1[[#This Row],[quantity]])-(Table1[[#This Row],[unit_price]]*Table1[[#This Row],[discount]]*Table1[[#This Row],[quantity]])</f>
        <v>2328.8000000000002</v>
      </c>
      <c r="N1272">
        <f>DAY(Table1[[#This Row],[order_date]])</f>
        <v>24</v>
      </c>
      <c r="O1272" t="str">
        <f>TEXT(Table1[[#This Row],[order_date]],"mmm")</f>
        <v>Jun</v>
      </c>
      <c r="P1272">
        <f>YEAR(Table1[[#This Row],[order_date]])</f>
        <v>2025</v>
      </c>
    </row>
    <row r="1273" spans="1:16" x14ac:dyDescent="0.3">
      <c r="A1273">
        <v>11272</v>
      </c>
      <c r="B1273" s="1">
        <v>45833</v>
      </c>
      <c r="C1273">
        <v>1469</v>
      </c>
      <c r="D1273" t="s">
        <v>15</v>
      </c>
      <c r="E1273" t="s">
        <v>13</v>
      </c>
      <c r="F1273">
        <v>1</v>
      </c>
      <c r="G1273">
        <v>188.25</v>
      </c>
      <c r="H1273">
        <v>7.0000000000000007E-2</v>
      </c>
      <c r="I1273" t="s">
        <v>14</v>
      </c>
      <c r="J1273">
        <v>9</v>
      </c>
      <c r="K1273">
        <v>4.5</v>
      </c>
      <c r="L1273">
        <v>175.07</v>
      </c>
      <c r="M1273">
        <f>(Table1[[#This Row],[unit_price]]*Table1[[#This Row],[quantity]])-(Table1[[#This Row],[unit_price]]*Table1[[#This Row],[discount]]*Table1[[#This Row],[quantity]])</f>
        <v>175.07249999999999</v>
      </c>
      <c r="N1273">
        <f>DAY(Table1[[#This Row],[order_date]])</f>
        <v>25</v>
      </c>
      <c r="O1273" t="str">
        <f>TEXT(Table1[[#This Row],[order_date]],"mmm")</f>
        <v>Jun</v>
      </c>
      <c r="P1273">
        <f>YEAR(Table1[[#This Row],[order_date]])</f>
        <v>2025</v>
      </c>
    </row>
    <row r="1274" spans="1:16" x14ac:dyDescent="0.3">
      <c r="A1274">
        <v>11273</v>
      </c>
      <c r="B1274" s="1">
        <v>45834</v>
      </c>
      <c r="C1274">
        <v>1033</v>
      </c>
      <c r="D1274" t="s">
        <v>19</v>
      </c>
      <c r="E1274" t="s">
        <v>13</v>
      </c>
      <c r="F1274">
        <v>6</v>
      </c>
      <c r="G1274">
        <v>381.98</v>
      </c>
      <c r="H1274">
        <v>0.24</v>
      </c>
      <c r="I1274" t="s">
        <v>18</v>
      </c>
      <c r="J1274">
        <v>1</v>
      </c>
      <c r="K1274">
        <v>4</v>
      </c>
      <c r="L1274">
        <v>1741.83</v>
      </c>
      <c r="M1274">
        <f>(Table1[[#This Row],[unit_price]]*Table1[[#This Row],[quantity]])-(Table1[[#This Row],[unit_price]]*Table1[[#This Row],[discount]]*Table1[[#This Row],[quantity]])</f>
        <v>1741.8288000000002</v>
      </c>
      <c r="N1274">
        <f>DAY(Table1[[#This Row],[order_date]])</f>
        <v>26</v>
      </c>
      <c r="O1274" t="str">
        <f>TEXT(Table1[[#This Row],[order_date]],"mmm")</f>
        <v>Jun</v>
      </c>
      <c r="P1274">
        <f>YEAR(Table1[[#This Row],[order_date]])</f>
        <v>2025</v>
      </c>
    </row>
    <row r="1275" spans="1:16" x14ac:dyDescent="0.3">
      <c r="A1275">
        <v>11274</v>
      </c>
      <c r="B1275" s="1">
        <v>45835</v>
      </c>
      <c r="C1275">
        <v>1622</v>
      </c>
      <c r="D1275" t="s">
        <v>15</v>
      </c>
      <c r="E1275" t="s">
        <v>21</v>
      </c>
      <c r="F1275">
        <v>2</v>
      </c>
      <c r="G1275">
        <v>260.74</v>
      </c>
      <c r="H1275">
        <v>0.25</v>
      </c>
      <c r="I1275" t="s">
        <v>18</v>
      </c>
      <c r="J1275">
        <v>8</v>
      </c>
      <c r="K1275">
        <v>2.1</v>
      </c>
      <c r="L1275">
        <v>391.11</v>
      </c>
      <c r="M1275">
        <f>(Table1[[#This Row],[unit_price]]*Table1[[#This Row],[quantity]])-(Table1[[#This Row],[unit_price]]*Table1[[#This Row],[discount]]*Table1[[#This Row],[quantity]])</f>
        <v>391.11</v>
      </c>
      <c r="N1275">
        <f>DAY(Table1[[#This Row],[order_date]])</f>
        <v>27</v>
      </c>
      <c r="O1275" t="str">
        <f>TEXT(Table1[[#This Row],[order_date]],"mmm")</f>
        <v>Jun</v>
      </c>
      <c r="P1275">
        <f>YEAR(Table1[[#This Row],[order_date]])</f>
        <v>2025</v>
      </c>
    </row>
    <row r="1276" spans="1:16" x14ac:dyDescent="0.3">
      <c r="A1276">
        <v>11275</v>
      </c>
      <c r="B1276" s="1">
        <v>45836</v>
      </c>
      <c r="C1276">
        <v>1775</v>
      </c>
      <c r="D1276" t="s">
        <v>15</v>
      </c>
      <c r="E1276" t="s">
        <v>20</v>
      </c>
      <c r="F1276">
        <v>5</v>
      </c>
      <c r="G1276">
        <v>50.77</v>
      </c>
      <c r="H1276">
        <v>0.34</v>
      </c>
      <c r="I1276" t="s">
        <v>18</v>
      </c>
      <c r="J1276">
        <v>5</v>
      </c>
      <c r="K1276">
        <v>4.2</v>
      </c>
      <c r="L1276">
        <v>167.54</v>
      </c>
      <c r="M1276">
        <f>(Table1[[#This Row],[unit_price]]*Table1[[#This Row],[quantity]])-(Table1[[#This Row],[unit_price]]*Table1[[#This Row],[discount]]*Table1[[#This Row],[quantity]])</f>
        <v>167.54100000000003</v>
      </c>
      <c r="N1276">
        <f>DAY(Table1[[#This Row],[order_date]])</f>
        <v>28</v>
      </c>
      <c r="O1276" t="str">
        <f>TEXT(Table1[[#This Row],[order_date]],"mmm")</f>
        <v>Jun</v>
      </c>
      <c r="P1276">
        <f>YEAR(Table1[[#This Row],[order_date]])</f>
        <v>2025</v>
      </c>
    </row>
    <row r="1277" spans="1:16" x14ac:dyDescent="0.3">
      <c r="A1277">
        <v>11276</v>
      </c>
      <c r="B1277" s="1">
        <v>45837</v>
      </c>
      <c r="C1277">
        <v>1935</v>
      </c>
      <c r="D1277" t="s">
        <v>19</v>
      </c>
      <c r="E1277" t="s">
        <v>21</v>
      </c>
      <c r="F1277">
        <v>6</v>
      </c>
      <c r="G1277">
        <v>301.26</v>
      </c>
      <c r="H1277">
        <v>0.19</v>
      </c>
      <c r="I1277" t="s">
        <v>16</v>
      </c>
      <c r="J1277">
        <v>10</v>
      </c>
      <c r="K1277">
        <v>4.5</v>
      </c>
      <c r="L1277">
        <v>1464.12</v>
      </c>
      <c r="M1277">
        <f>(Table1[[#This Row],[unit_price]]*Table1[[#This Row],[quantity]])-(Table1[[#This Row],[unit_price]]*Table1[[#This Row],[discount]]*Table1[[#This Row],[quantity]])</f>
        <v>1464.1235999999999</v>
      </c>
      <c r="N1277">
        <f>DAY(Table1[[#This Row],[order_date]])</f>
        <v>29</v>
      </c>
      <c r="O1277" t="str">
        <f>TEXT(Table1[[#This Row],[order_date]],"mmm")</f>
        <v>Jun</v>
      </c>
      <c r="P1277">
        <f>YEAR(Table1[[#This Row],[order_date]])</f>
        <v>2025</v>
      </c>
    </row>
    <row r="1278" spans="1:16" x14ac:dyDescent="0.3">
      <c r="A1278">
        <v>11277</v>
      </c>
      <c r="B1278" s="1">
        <v>45838</v>
      </c>
      <c r="C1278">
        <v>1368</v>
      </c>
      <c r="D1278" t="s">
        <v>22</v>
      </c>
      <c r="E1278" t="s">
        <v>17</v>
      </c>
      <c r="F1278">
        <v>3</v>
      </c>
      <c r="G1278">
        <v>490.81</v>
      </c>
      <c r="H1278">
        <v>0.09</v>
      </c>
      <c r="I1278" t="s">
        <v>16</v>
      </c>
      <c r="J1278">
        <v>9</v>
      </c>
      <c r="K1278">
        <v>3.8</v>
      </c>
      <c r="L1278">
        <v>1339.91</v>
      </c>
      <c r="M1278">
        <f>(Table1[[#This Row],[unit_price]]*Table1[[#This Row],[quantity]])-(Table1[[#This Row],[unit_price]]*Table1[[#This Row],[discount]]*Table1[[#This Row],[quantity]])</f>
        <v>1339.9113</v>
      </c>
      <c r="N1278">
        <f>DAY(Table1[[#This Row],[order_date]])</f>
        <v>30</v>
      </c>
      <c r="O1278" t="str">
        <f>TEXT(Table1[[#This Row],[order_date]],"mmm")</f>
        <v>Jun</v>
      </c>
      <c r="P1278">
        <f>YEAR(Table1[[#This Row],[order_date]])</f>
        <v>2025</v>
      </c>
    </row>
    <row r="1279" spans="1:16" x14ac:dyDescent="0.3">
      <c r="A1279">
        <v>11278</v>
      </c>
      <c r="B1279" s="1">
        <v>45839</v>
      </c>
      <c r="C1279">
        <v>1747</v>
      </c>
      <c r="D1279" t="s">
        <v>12</v>
      </c>
      <c r="E1279" t="s">
        <v>21</v>
      </c>
      <c r="F1279">
        <v>2</v>
      </c>
      <c r="G1279">
        <v>72.77</v>
      </c>
      <c r="H1279">
        <v>0.24</v>
      </c>
      <c r="I1279" t="s">
        <v>14</v>
      </c>
      <c r="J1279">
        <v>2</v>
      </c>
      <c r="K1279">
        <v>1.4</v>
      </c>
      <c r="L1279">
        <v>110.61</v>
      </c>
      <c r="M1279">
        <f>(Table1[[#This Row],[unit_price]]*Table1[[#This Row],[quantity]])-(Table1[[#This Row],[unit_price]]*Table1[[#This Row],[discount]]*Table1[[#This Row],[quantity]])</f>
        <v>110.6104</v>
      </c>
      <c r="N1279">
        <f>DAY(Table1[[#This Row],[order_date]])</f>
        <v>1</v>
      </c>
      <c r="O1279" t="str">
        <f>TEXT(Table1[[#This Row],[order_date]],"mmm")</f>
        <v>Jul</v>
      </c>
      <c r="P1279">
        <f>YEAR(Table1[[#This Row],[order_date]])</f>
        <v>2025</v>
      </c>
    </row>
    <row r="1280" spans="1:16" x14ac:dyDescent="0.3">
      <c r="A1280">
        <v>11279</v>
      </c>
      <c r="B1280" s="1">
        <v>45840</v>
      </c>
      <c r="C1280">
        <v>1594</v>
      </c>
      <c r="D1280" t="s">
        <v>15</v>
      </c>
      <c r="E1280" t="s">
        <v>13</v>
      </c>
      <c r="F1280">
        <v>7</v>
      </c>
      <c r="G1280">
        <v>55.71</v>
      </c>
      <c r="H1280">
        <v>0.34</v>
      </c>
      <c r="I1280" t="s">
        <v>16</v>
      </c>
      <c r="J1280">
        <v>1</v>
      </c>
      <c r="K1280">
        <v>4.9000000000000004</v>
      </c>
      <c r="L1280">
        <v>257.38</v>
      </c>
      <c r="M1280">
        <f>(Table1[[#This Row],[unit_price]]*Table1[[#This Row],[quantity]])-(Table1[[#This Row],[unit_price]]*Table1[[#This Row],[discount]]*Table1[[#This Row],[quantity]])</f>
        <v>257.3802</v>
      </c>
      <c r="N1280">
        <f>DAY(Table1[[#This Row],[order_date]])</f>
        <v>2</v>
      </c>
      <c r="O1280" t="str">
        <f>TEXT(Table1[[#This Row],[order_date]],"mmm")</f>
        <v>Jul</v>
      </c>
      <c r="P1280">
        <f>YEAR(Table1[[#This Row],[order_date]])</f>
        <v>2025</v>
      </c>
    </row>
    <row r="1281" spans="1:16" x14ac:dyDescent="0.3">
      <c r="A1281">
        <v>11280</v>
      </c>
      <c r="B1281" s="1">
        <v>45841</v>
      </c>
      <c r="C1281">
        <v>1553</v>
      </c>
      <c r="D1281" t="s">
        <v>22</v>
      </c>
      <c r="E1281" t="s">
        <v>17</v>
      </c>
      <c r="F1281">
        <v>7</v>
      </c>
      <c r="G1281">
        <v>104.87</v>
      </c>
      <c r="H1281">
        <v>0.06</v>
      </c>
      <c r="I1281" t="s">
        <v>18</v>
      </c>
      <c r="J1281">
        <v>10</v>
      </c>
      <c r="K1281">
        <v>1.3</v>
      </c>
      <c r="L1281">
        <v>690.04</v>
      </c>
      <c r="M1281">
        <f>(Table1[[#This Row],[unit_price]]*Table1[[#This Row],[quantity]])-(Table1[[#This Row],[unit_price]]*Table1[[#This Row],[discount]]*Table1[[#This Row],[quantity]])</f>
        <v>690.04460000000006</v>
      </c>
      <c r="N1281">
        <f>DAY(Table1[[#This Row],[order_date]])</f>
        <v>3</v>
      </c>
      <c r="O1281" t="str">
        <f>TEXT(Table1[[#This Row],[order_date]],"mmm")</f>
        <v>Jul</v>
      </c>
      <c r="P1281">
        <f>YEAR(Table1[[#This Row],[order_date]])</f>
        <v>2025</v>
      </c>
    </row>
    <row r="1282" spans="1:16" x14ac:dyDescent="0.3">
      <c r="A1282">
        <v>11281</v>
      </c>
      <c r="B1282" s="1">
        <v>45842</v>
      </c>
      <c r="C1282">
        <v>1424</v>
      </c>
      <c r="D1282" t="s">
        <v>19</v>
      </c>
      <c r="E1282" t="s">
        <v>13</v>
      </c>
      <c r="F1282">
        <v>7</v>
      </c>
      <c r="G1282">
        <v>462.17</v>
      </c>
      <c r="H1282">
        <v>0.11</v>
      </c>
      <c r="I1282" t="s">
        <v>18</v>
      </c>
      <c r="J1282">
        <v>7</v>
      </c>
      <c r="K1282">
        <v>3.6</v>
      </c>
      <c r="L1282">
        <v>2879.32</v>
      </c>
      <c r="M1282">
        <f>(Table1[[#This Row],[unit_price]]*Table1[[#This Row],[quantity]])-(Table1[[#This Row],[unit_price]]*Table1[[#This Row],[discount]]*Table1[[#This Row],[quantity]])</f>
        <v>2879.3191000000002</v>
      </c>
      <c r="N1282">
        <f>DAY(Table1[[#This Row],[order_date]])</f>
        <v>4</v>
      </c>
      <c r="O1282" t="str">
        <f>TEXT(Table1[[#This Row],[order_date]],"mmm")</f>
        <v>Jul</v>
      </c>
      <c r="P1282">
        <f>YEAR(Table1[[#This Row],[order_date]])</f>
        <v>2025</v>
      </c>
    </row>
    <row r="1283" spans="1:16" x14ac:dyDescent="0.3">
      <c r="A1283">
        <v>11282</v>
      </c>
      <c r="B1283" s="1">
        <v>45843</v>
      </c>
      <c r="C1283">
        <v>1612</v>
      </c>
      <c r="D1283" t="s">
        <v>15</v>
      </c>
      <c r="E1283" t="s">
        <v>20</v>
      </c>
      <c r="F1283">
        <v>2</v>
      </c>
      <c r="G1283">
        <v>438.54</v>
      </c>
      <c r="H1283">
        <v>0.19</v>
      </c>
      <c r="I1283" t="s">
        <v>16</v>
      </c>
      <c r="J1283">
        <v>10</v>
      </c>
      <c r="K1283">
        <v>1.4</v>
      </c>
      <c r="L1283">
        <v>710.43</v>
      </c>
      <c r="M1283">
        <f>(Table1[[#This Row],[unit_price]]*Table1[[#This Row],[quantity]])-(Table1[[#This Row],[unit_price]]*Table1[[#This Row],[discount]]*Table1[[#This Row],[quantity]])</f>
        <v>710.4348</v>
      </c>
      <c r="N1283">
        <f>DAY(Table1[[#This Row],[order_date]])</f>
        <v>5</v>
      </c>
      <c r="O1283" t="str">
        <f>TEXT(Table1[[#This Row],[order_date]],"mmm")</f>
        <v>Jul</v>
      </c>
      <c r="P1283">
        <f>YEAR(Table1[[#This Row],[order_date]])</f>
        <v>2025</v>
      </c>
    </row>
    <row r="1284" spans="1:16" x14ac:dyDescent="0.3">
      <c r="A1284">
        <v>11283</v>
      </c>
      <c r="B1284" s="1">
        <v>45844</v>
      </c>
      <c r="C1284">
        <v>1517</v>
      </c>
      <c r="D1284" t="s">
        <v>19</v>
      </c>
      <c r="E1284" t="s">
        <v>20</v>
      </c>
      <c r="F1284">
        <v>7</v>
      </c>
      <c r="G1284">
        <v>345.54</v>
      </c>
      <c r="H1284">
        <v>0.06</v>
      </c>
      <c r="I1284" t="s">
        <v>14</v>
      </c>
      <c r="J1284">
        <v>11</v>
      </c>
      <c r="K1284">
        <v>4.5999999999999996</v>
      </c>
      <c r="L1284">
        <v>2273.65</v>
      </c>
      <c r="M1284">
        <f>(Table1[[#This Row],[unit_price]]*Table1[[#This Row],[quantity]])-(Table1[[#This Row],[unit_price]]*Table1[[#This Row],[discount]]*Table1[[#This Row],[quantity]])</f>
        <v>2273.6532000000002</v>
      </c>
      <c r="N1284">
        <f>DAY(Table1[[#This Row],[order_date]])</f>
        <v>6</v>
      </c>
      <c r="O1284" t="str">
        <f>TEXT(Table1[[#This Row],[order_date]],"mmm")</f>
        <v>Jul</v>
      </c>
      <c r="P1284">
        <f>YEAR(Table1[[#This Row],[order_date]])</f>
        <v>2025</v>
      </c>
    </row>
    <row r="1285" spans="1:16" x14ac:dyDescent="0.3">
      <c r="A1285">
        <v>11284</v>
      </c>
      <c r="B1285" s="1">
        <v>45845</v>
      </c>
      <c r="C1285">
        <v>1691</v>
      </c>
      <c r="D1285" t="s">
        <v>15</v>
      </c>
      <c r="E1285" t="s">
        <v>17</v>
      </c>
      <c r="F1285">
        <v>4</v>
      </c>
      <c r="G1285">
        <v>288.91000000000003</v>
      </c>
      <c r="H1285">
        <v>0.01</v>
      </c>
      <c r="I1285" t="s">
        <v>18</v>
      </c>
      <c r="J1285">
        <v>9</v>
      </c>
      <c r="K1285">
        <v>2.4</v>
      </c>
      <c r="L1285">
        <v>1144.08</v>
      </c>
      <c r="M1285">
        <f>(Table1[[#This Row],[unit_price]]*Table1[[#This Row],[quantity]])-(Table1[[#This Row],[unit_price]]*Table1[[#This Row],[discount]]*Table1[[#This Row],[quantity]])</f>
        <v>1144.0836000000002</v>
      </c>
      <c r="N1285">
        <f>DAY(Table1[[#This Row],[order_date]])</f>
        <v>7</v>
      </c>
      <c r="O1285" t="str">
        <f>TEXT(Table1[[#This Row],[order_date]],"mmm")</f>
        <v>Jul</v>
      </c>
      <c r="P1285">
        <f>YEAR(Table1[[#This Row],[order_date]])</f>
        <v>2025</v>
      </c>
    </row>
    <row r="1286" spans="1:16" x14ac:dyDescent="0.3">
      <c r="A1286">
        <v>11285</v>
      </c>
      <c r="B1286" s="1">
        <v>45846</v>
      </c>
      <c r="C1286">
        <v>1281</v>
      </c>
      <c r="D1286" t="s">
        <v>12</v>
      </c>
      <c r="E1286" t="s">
        <v>20</v>
      </c>
      <c r="F1286">
        <v>3</v>
      </c>
      <c r="G1286">
        <v>534.66999999999996</v>
      </c>
      <c r="H1286">
        <v>0.12</v>
      </c>
      <c r="I1286" t="s">
        <v>16</v>
      </c>
      <c r="J1286">
        <v>5</v>
      </c>
      <c r="K1286">
        <v>3</v>
      </c>
      <c r="L1286">
        <v>1411.53</v>
      </c>
      <c r="M1286">
        <f>(Table1[[#This Row],[unit_price]]*Table1[[#This Row],[quantity]])-(Table1[[#This Row],[unit_price]]*Table1[[#This Row],[discount]]*Table1[[#This Row],[quantity]])</f>
        <v>1411.5287999999998</v>
      </c>
      <c r="N1286">
        <f>DAY(Table1[[#This Row],[order_date]])</f>
        <v>8</v>
      </c>
      <c r="O1286" t="str">
        <f>TEXT(Table1[[#This Row],[order_date]],"mmm")</f>
        <v>Jul</v>
      </c>
      <c r="P1286">
        <f>YEAR(Table1[[#This Row],[order_date]])</f>
        <v>2025</v>
      </c>
    </row>
    <row r="1287" spans="1:16" x14ac:dyDescent="0.3">
      <c r="A1287">
        <v>11286</v>
      </c>
      <c r="B1287" s="1">
        <v>45847</v>
      </c>
      <c r="C1287">
        <v>1319</v>
      </c>
      <c r="D1287" t="s">
        <v>22</v>
      </c>
      <c r="E1287" t="s">
        <v>20</v>
      </c>
      <c r="F1287">
        <v>4</v>
      </c>
      <c r="G1287">
        <v>463.52</v>
      </c>
      <c r="H1287">
        <v>0.3</v>
      </c>
      <c r="I1287" t="s">
        <v>14</v>
      </c>
      <c r="J1287">
        <v>11</v>
      </c>
      <c r="K1287">
        <v>1.7</v>
      </c>
      <c r="L1287">
        <v>1297.8599999999999</v>
      </c>
      <c r="M1287">
        <f>(Table1[[#This Row],[unit_price]]*Table1[[#This Row],[quantity]])-(Table1[[#This Row],[unit_price]]*Table1[[#This Row],[discount]]*Table1[[#This Row],[quantity]])</f>
        <v>1297.856</v>
      </c>
      <c r="N1287">
        <f>DAY(Table1[[#This Row],[order_date]])</f>
        <v>9</v>
      </c>
      <c r="O1287" t="str">
        <f>TEXT(Table1[[#This Row],[order_date]],"mmm")</f>
        <v>Jul</v>
      </c>
      <c r="P1287">
        <f>YEAR(Table1[[#This Row],[order_date]])</f>
        <v>2025</v>
      </c>
    </row>
    <row r="1288" spans="1:16" x14ac:dyDescent="0.3">
      <c r="A1288">
        <v>11287</v>
      </c>
      <c r="B1288" s="1">
        <v>45848</v>
      </c>
      <c r="C1288">
        <v>1737</v>
      </c>
      <c r="D1288" t="s">
        <v>19</v>
      </c>
      <c r="E1288" t="s">
        <v>21</v>
      </c>
      <c r="F1288">
        <v>6</v>
      </c>
      <c r="G1288">
        <v>489.99</v>
      </c>
      <c r="H1288">
        <v>0.02</v>
      </c>
      <c r="I1288" t="s">
        <v>18</v>
      </c>
      <c r="J1288">
        <v>4</v>
      </c>
      <c r="K1288">
        <v>3.2</v>
      </c>
      <c r="L1288">
        <v>2881.14</v>
      </c>
      <c r="M1288">
        <f>(Table1[[#This Row],[unit_price]]*Table1[[#This Row],[quantity]])-(Table1[[#This Row],[unit_price]]*Table1[[#This Row],[discount]]*Table1[[#This Row],[quantity]])</f>
        <v>2881.1412</v>
      </c>
      <c r="N1288">
        <f>DAY(Table1[[#This Row],[order_date]])</f>
        <v>10</v>
      </c>
      <c r="O1288" t="str">
        <f>TEXT(Table1[[#This Row],[order_date]],"mmm")</f>
        <v>Jul</v>
      </c>
      <c r="P1288">
        <f>YEAR(Table1[[#This Row],[order_date]])</f>
        <v>2025</v>
      </c>
    </row>
    <row r="1289" spans="1:16" x14ac:dyDescent="0.3">
      <c r="A1289">
        <v>11288</v>
      </c>
      <c r="B1289" s="1">
        <v>45849</v>
      </c>
      <c r="C1289">
        <v>1442</v>
      </c>
      <c r="D1289" t="s">
        <v>15</v>
      </c>
      <c r="E1289" t="s">
        <v>21</v>
      </c>
      <c r="F1289">
        <v>3</v>
      </c>
      <c r="G1289">
        <v>490.76</v>
      </c>
      <c r="H1289">
        <v>0.15</v>
      </c>
      <c r="I1289" t="s">
        <v>18</v>
      </c>
      <c r="J1289">
        <v>4</v>
      </c>
      <c r="K1289">
        <v>4.8</v>
      </c>
      <c r="L1289">
        <v>1251.44</v>
      </c>
      <c r="M1289">
        <f>(Table1[[#This Row],[unit_price]]*Table1[[#This Row],[quantity]])-(Table1[[#This Row],[unit_price]]*Table1[[#This Row],[discount]]*Table1[[#This Row],[quantity]])</f>
        <v>1251.4380000000001</v>
      </c>
      <c r="N1289">
        <f>DAY(Table1[[#This Row],[order_date]])</f>
        <v>11</v>
      </c>
      <c r="O1289" t="str">
        <f>TEXT(Table1[[#This Row],[order_date]],"mmm")</f>
        <v>Jul</v>
      </c>
      <c r="P1289">
        <f>YEAR(Table1[[#This Row],[order_date]])</f>
        <v>2025</v>
      </c>
    </row>
    <row r="1290" spans="1:16" x14ac:dyDescent="0.3">
      <c r="A1290">
        <v>11289</v>
      </c>
      <c r="B1290" s="1">
        <v>45850</v>
      </c>
      <c r="C1290">
        <v>1951</v>
      </c>
      <c r="D1290" t="s">
        <v>15</v>
      </c>
      <c r="E1290" t="s">
        <v>20</v>
      </c>
      <c r="F1290">
        <v>2</v>
      </c>
      <c r="G1290">
        <v>390.99</v>
      </c>
      <c r="H1290">
        <v>0.27</v>
      </c>
      <c r="I1290" t="s">
        <v>18</v>
      </c>
      <c r="J1290">
        <v>8</v>
      </c>
      <c r="K1290">
        <v>4.5999999999999996</v>
      </c>
      <c r="L1290">
        <v>570.85</v>
      </c>
      <c r="M1290">
        <f>(Table1[[#This Row],[unit_price]]*Table1[[#This Row],[quantity]])-(Table1[[#This Row],[unit_price]]*Table1[[#This Row],[discount]]*Table1[[#This Row],[quantity]])</f>
        <v>570.84540000000004</v>
      </c>
      <c r="N1290">
        <f>DAY(Table1[[#This Row],[order_date]])</f>
        <v>12</v>
      </c>
      <c r="O1290" t="str">
        <f>TEXT(Table1[[#This Row],[order_date]],"mmm")</f>
        <v>Jul</v>
      </c>
      <c r="P1290">
        <f>YEAR(Table1[[#This Row],[order_date]])</f>
        <v>2025</v>
      </c>
    </row>
    <row r="1291" spans="1:16" x14ac:dyDescent="0.3">
      <c r="A1291">
        <v>11290</v>
      </c>
      <c r="B1291" s="1">
        <v>45851</v>
      </c>
      <c r="C1291">
        <v>1314</v>
      </c>
      <c r="D1291" t="s">
        <v>15</v>
      </c>
      <c r="E1291" t="s">
        <v>20</v>
      </c>
      <c r="F1291">
        <v>4</v>
      </c>
      <c r="G1291">
        <v>282.94</v>
      </c>
      <c r="H1291">
        <v>0.33</v>
      </c>
      <c r="I1291" t="s">
        <v>16</v>
      </c>
      <c r="J1291">
        <v>1</v>
      </c>
      <c r="K1291">
        <v>1.3</v>
      </c>
      <c r="L1291">
        <v>758.28</v>
      </c>
      <c r="M1291">
        <f>(Table1[[#This Row],[unit_price]]*Table1[[#This Row],[quantity]])-(Table1[[#This Row],[unit_price]]*Table1[[#This Row],[discount]]*Table1[[#This Row],[quantity]])</f>
        <v>758.27919999999995</v>
      </c>
      <c r="N1291">
        <f>DAY(Table1[[#This Row],[order_date]])</f>
        <v>13</v>
      </c>
      <c r="O1291" t="str">
        <f>TEXT(Table1[[#This Row],[order_date]],"mmm")</f>
        <v>Jul</v>
      </c>
      <c r="P1291">
        <f>YEAR(Table1[[#This Row],[order_date]])</f>
        <v>2025</v>
      </c>
    </row>
    <row r="1292" spans="1:16" x14ac:dyDescent="0.3">
      <c r="A1292">
        <v>11291</v>
      </c>
      <c r="B1292" s="1">
        <v>45852</v>
      </c>
      <c r="C1292">
        <v>1876</v>
      </c>
      <c r="D1292" t="s">
        <v>22</v>
      </c>
      <c r="E1292" t="s">
        <v>21</v>
      </c>
      <c r="F1292">
        <v>5</v>
      </c>
      <c r="G1292">
        <v>520.84</v>
      </c>
      <c r="H1292">
        <v>0.34</v>
      </c>
      <c r="I1292" t="s">
        <v>18</v>
      </c>
      <c r="J1292">
        <v>1</v>
      </c>
      <c r="K1292">
        <v>2.5</v>
      </c>
      <c r="L1292">
        <v>1718.77</v>
      </c>
      <c r="M1292">
        <f>(Table1[[#This Row],[unit_price]]*Table1[[#This Row],[quantity]])-(Table1[[#This Row],[unit_price]]*Table1[[#This Row],[discount]]*Table1[[#This Row],[quantity]])</f>
        <v>1718.7720000000002</v>
      </c>
      <c r="N1292">
        <f>DAY(Table1[[#This Row],[order_date]])</f>
        <v>14</v>
      </c>
      <c r="O1292" t="str">
        <f>TEXT(Table1[[#This Row],[order_date]],"mmm")</f>
        <v>Jul</v>
      </c>
      <c r="P1292">
        <f>YEAR(Table1[[#This Row],[order_date]])</f>
        <v>2025</v>
      </c>
    </row>
    <row r="1293" spans="1:16" x14ac:dyDescent="0.3">
      <c r="A1293">
        <v>11292</v>
      </c>
      <c r="B1293" s="1">
        <v>45853</v>
      </c>
      <c r="C1293">
        <v>1965</v>
      </c>
      <c r="D1293" t="s">
        <v>22</v>
      </c>
      <c r="E1293" t="s">
        <v>20</v>
      </c>
      <c r="F1293">
        <v>3</v>
      </c>
      <c r="G1293">
        <v>556.71</v>
      </c>
      <c r="H1293">
        <v>0.15</v>
      </c>
      <c r="I1293" t="s">
        <v>16</v>
      </c>
      <c r="J1293">
        <v>8</v>
      </c>
      <c r="K1293">
        <v>2.1</v>
      </c>
      <c r="L1293">
        <v>1419.61</v>
      </c>
      <c r="M1293">
        <f>(Table1[[#This Row],[unit_price]]*Table1[[#This Row],[quantity]])-(Table1[[#This Row],[unit_price]]*Table1[[#This Row],[discount]]*Table1[[#This Row],[quantity]])</f>
        <v>1419.6105000000002</v>
      </c>
      <c r="N1293">
        <f>DAY(Table1[[#This Row],[order_date]])</f>
        <v>15</v>
      </c>
      <c r="O1293" t="str">
        <f>TEXT(Table1[[#This Row],[order_date]],"mmm")</f>
        <v>Jul</v>
      </c>
      <c r="P1293">
        <f>YEAR(Table1[[#This Row],[order_date]])</f>
        <v>2025</v>
      </c>
    </row>
    <row r="1294" spans="1:16" x14ac:dyDescent="0.3">
      <c r="A1294">
        <v>11293</v>
      </c>
      <c r="B1294" s="1">
        <v>45854</v>
      </c>
      <c r="C1294">
        <v>1740</v>
      </c>
      <c r="D1294" t="s">
        <v>15</v>
      </c>
      <c r="E1294" t="s">
        <v>20</v>
      </c>
      <c r="F1294">
        <v>2</v>
      </c>
      <c r="G1294">
        <v>28.93</v>
      </c>
      <c r="H1294">
        <v>0.33</v>
      </c>
      <c r="I1294" t="s">
        <v>18</v>
      </c>
      <c r="J1294">
        <v>2</v>
      </c>
      <c r="K1294">
        <v>2.9</v>
      </c>
      <c r="L1294">
        <v>38.770000000000003</v>
      </c>
      <c r="M1294">
        <f>(Table1[[#This Row],[unit_price]]*Table1[[#This Row],[quantity]])-(Table1[[#This Row],[unit_price]]*Table1[[#This Row],[discount]]*Table1[[#This Row],[quantity]])</f>
        <v>38.766199999999998</v>
      </c>
      <c r="N1294">
        <f>DAY(Table1[[#This Row],[order_date]])</f>
        <v>16</v>
      </c>
      <c r="O1294" t="str">
        <f>TEXT(Table1[[#This Row],[order_date]],"mmm")</f>
        <v>Jul</v>
      </c>
      <c r="P1294">
        <f>YEAR(Table1[[#This Row],[order_date]])</f>
        <v>2025</v>
      </c>
    </row>
    <row r="1295" spans="1:16" x14ac:dyDescent="0.3">
      <c r="A1295">
        <v>11294</v>
      </c>
      <c r="B1295" s="1">
        <v>45855</v>
      </c>
      <c r="C1295">
        <v>1376</v>
      </c>
      <c r="D1295" t="s">
        <v>15</v>
      </c>
      <c r="E1295" t="s">
        <v>13</v>
      </c>
      <c r="F1295">
        <v>1</v>
      </c>
      <c r="G1295">
        <v>45.16</v>
      </c>
      <c r="H1295">
        <v>0.01</v>
      </c>
      <c r="I1295" t="s">
        <v>18</v>
      </c>
      <c r="J1295">
        <v>10</v>
      </c>
      <c r="K1295">
        <v>4.3</v>
      </c>
      <c r="L1295">
        <v>44.71</v>
      </c>
      <c r="M1295">
        <f>(Table1[[#This Row],[unit_price]]*Table1[[#This Row],[quantity]])-(Table1[[#This Row],[unit_price]]*Table1[[#This Row],[discount]]*Table1[[#This Row],[quantity]])</f>
        <v>44.708399999999997</v>
      </c>
      <c r="N1295">
        <f>DAY(Table1[[#This Row],[order_date]])</f>
        <v>17</v>
      </c>
      <c r="O1295" t="str">
        <f>TEXT(Table1[[#This Row],[order_date]],"mmm")</f>
        <v>Jul</v>
      </c>
      <c r="P1295">
        <f>YEAR(Table1[[#This Row],[order_date]])</f>
        <v>2025</v>
      </c>
    </row>
    <row r="1296" spans="1:16" x14ac:dyDescent="0.3">
      <c r="A1296">
        <v>11295</v>
      </c>
      <c r="B1296" s="1">
        <v>45856</v>
      </c>
      <c r="C1296">
        <v>1288</v>
      </c>
      <c r="D1296" t="s">
        <v>19</v>
      </c>
      <c r="E1296" t="s">
        <v>20</v>
      </c>
      <c r="F1296">
        <v>3</v>
      </c>
      <c r="G1296">
        <v>575.86</v>
      </c>
      <c r="H1296">
        <v>0.26</v>
      </c>
      <c r="I1296" t="s">
        <v>14</v>
      </c>
      <c r="J1296">
        <v>6</v>
      </c>
      <c r="K1296">
        <v>4</v>
      </c>
      <c r="L1296">
        <v>1278.4100000000001</v>
      </c>
      <c r="M1296">
        <f>(Table1[[#This Row],[unit_price]]*Table1[[#This Row],[quantity]])-(Table1[[#This Row],[unit_price]]*Table1[[#This Row],[discount]]*Table1[[#This Row],[quantity]])</f>
        <v>1278.4092000000001</v>
      </c>
      <c r="N1296">
        <f>DAY(Table1[[#This Row],[order_date]])</f>
        <v>18</v>
      </c>
      <c r="O1296" t="str">
        <f>TEXT(Table1[[#This Row],[order_date]],"mmm")</f>
        <v>Jul</v>
      </c>
      <c r="P1296">
        <f>YEAR(Table1[[#This Row],[order_date]])</f>
        <v>2025</v>
      </c>
    </row>
    <row r="1297" spans="1:16" x14ac:dyDescent="0.3">
      <c r="A1297">
        <v>11296</v>
      </c>
      <c r="B1297" s="1">
        <v>45857</v>
      </c>
      <c r="C1297">
        <v>1436</v>
      </c>
      <c r="D1297" t="s">
        <v>19</v>
      </c>
      <c r="E1297" t="s">
        <v>17</v>
      </c>
      <c r="F1297">
        <v>3</v>
      </c>
      <c r="G1297">
        <v>177.14</v>
      </c>
      <c r="H1297">
        <v>0.22</v>
      </c>
      <c r="I1297" t="s">
        <v>18</v>
      </c>
      <c r="J1297">
        <v>2</v>
      </c>
      <c r="K1297">
        <v>2.4</v>
      </c>
      <c r="L1297">
        <v>414.51</v>
      </c>
      <c r="M1297">
        <f>(Table1[[#This Row],[unit_price]]*Table1[[#This Row],[quantity]])-(Table1[[#This Row],[unit_price]]*Table1[[#This Row],[discount]]*Table1[[#This Row],[quantity]])</f>
        <v>414.50759999999997</v>
      </c>
      <c r="N1297">
        <f>DAY(Table1[[#This Row],[order_date]])</f>
        <v>19</v>
      </c>
      <c r="O1297" t="str">
        <f>TEXT(Table1[[#This Row],[order_date]],"mmm")</f>
        <v>Jul</v>
      </c>
      <c r="P1297">
        <f>YEAR(Table1[[#This Row],[order_date]])</f>
        <v>2025</v>
      </c>
    </row>
    <row r="1298" spans="1:16" x14ac:dyDescent="0.3">
      <c r="A1298">
        <v>11297</v>
      </c>
      <c r="B1298" s="1">
        <v>45858</v>
      </c>
      <c r="C1298">
        <v>1661</v>
      </c>
      <c r="D1298" t="s">
        <v>15</v>
      </c>
      <c r="E1298" t="s">
        <v>13</v>
      </c>
      <c r="F1298">
        <v>6</v>
      </c>
      <c r="G1298">
        <v>525.91999999999996</v>
      </c>
      <c r="H1298">
        <v>0.09</v>
      </c>
      <c r="I1298" t="s">
        <v>16</v>
      </c>
      <c r="J1298">
        <v>5</v>
      </c>
      <c r="K1298">
        <v>2.5</v>
      </c>
      <c r="L1298">
        <v>2871.52</v>
      </c>
      <c r="M1298">
        <f>(Table1[[#This Row],[unit_price]]*Table1[[#This Row],[quantity]])-(Table1[[#This Row],[unit_price]]*Table1[[#This Row],[discount]]*Table1[[#This Row],[quantity]])</f>
        <v>2871.5231999999996</v>
      </c>
      <c r="N1298">
        <f>DAY(Table1[[#This Row],[order_date]])</f>
        <v>20</v>
      </c>
      <c r="O1298" t="str">
        <f>TEXT(Table1[[#This Row],[order_date]],"mmm")</f>
        <v>Jul</v>
      </c>
      <c r="P1298">
        <f>YEAR(Table1[[#This Row],[order_date]])</f>
        <v>2025</v>
      </c>
    </row>
    <row r="1299" spans="1:16" x14ac:dyDescent="0.3">
      <c r="A1299">
        <v>11298</v>
      </c>
      <c r="B1299" s="1">
        <v>45859</v>
      </c>
      <c r="C1299">
        <v>1276</v>
      </c>
      <c r="D1299" t="s">
        <v>15</v>
      </c>
      <c r="E1299" t="s">
        <v>17</v>
      </c>
      <c r="F1299">
        <v>5</v>
      </c>
      <c r="G1299">
        <v>242.45</v>
      </c>
      <c r="H1299">
        <v>0.18</v>
      </c>
      <c r="I1299" t="s">
        <v>14</v>
      </c>
      <c r="J1299">
        <v>3</v>
      </c>
      <c r="K1299">
        <v>3.6</v>
      </c>
      <c r="L1299">
        <v>994.04</v>
      </c>
      <c r="M1299">
        <f>(Table1[[#This Row],[unit_price]]*Table1[[#This Row],[quantity]])-(Table1[[#This Row],[unit_price]]*Table1[[#This Row],[discount]]*Table1[[#This Row],[quantity]])</f>
        <v>994.04500000000007</v>
      </c>
      <c r="N1299">
        <f>DAY(Table1[[#This Row],[order_date]])</f>
        <v>21</v>
      </c>
      <c r="O1299" t="str">
        <f>TEXT(Table1[[#This Row],[order_date]],"mmm")</f>
        <v>Jul</v>
      </c>
      <c r="P1299">
        <f>YEAR(Table1[[#This Row],[order_date]])</f>
        <v>2025</v>
      </c>
    </row>
    <row r="1300" spans="1:16" x14ac:dyDescent="0.3">
      <c r="A1300">
        <v>11299</v>
      </c>
      <c r="B1300" s="1">
        <v>45860</v>
      </c>
      <c r="C1300">
        <v>1709</v>
      </c>
      <c r="D1300" t="s">
        <v>22</v>
      </c>
      <c r="E1300" t="s">
        <v>20</v>
      </c>
      <c r="F1300">
        <v>6</v>
      </c>
      <c r="G1300">
        <v>84.67</v>
      </c>
      <c r="H1300">
        <v>0.05</v>
      </c>
      <c r="I1300" t="s">
        <v>18</v>
      </c>
      <c r="J1300">
        <v>7</v>
      </c>
      <c r="K1300">
        <v>1.8</v>
      </c>
      <c r="L1300">
        <v>482.62</v>
      </c>
      <c r="M1300">
        <f>(Table1[[#This Row],[unit_price]]*Table1[[#This Row],[quantity]])-(Table1[[#This Row],[unit_price]]*Table1[[#This Row],[discount]]*Table1[[#This Row],[quantity]])</f>
        <v>482.61899999999997</v>
      </c>
      <c r="N1300">
        <f>DAY(Table1[[#This Row],[order_date]])</f>
        <v>22</v>
      </c>
      <c r="O1300" t="str">
        <f>TEXT(Table1[[#This Row],[order_date]],"mmm")</f>
        <v>Jul</v>
      </c>
      <c r="P1300">
        <f>YEAR(Table1[[#This Row],[order_date]])</f>
        <v>2025</v>
      </c>
    </row>
    <row r="1301" spans="1:16" x14ac:dyDescent="0.3">
      <c r="A1301">
        <v>11300</v>
      </c>
      <c r="B1301" s="1">
        <v>45861</v>
      </c>
      <c r="C1301">
        <v>1581</v>
      </c>
      <c r="D1301" t="s">
        <v>22</v>
      </c>
      <c r="E1301" t="s">
        <v>21</v>
      </c>
      <c r="F1301">
        <v>7</v>
      </c>
      <c r="G1301">
        <v>62.06</v>
      </c>
      <c r="H1301">
        <v>0.31</v>
      </c>
      <c r="I1301" t="s">
        <v>18</v>
      </c>
      <c r="J1301">
        <v>9</v>
      </c>
      <c r="K1301">
        <v>1.4</v>
      </c>
      <c r="L1301">
        <v>299.75</v>
      </c>
      <c r="M1301">
        <f>(Table1[[#This Row],[unit_price]]*Table1[[#This Row],[quantity]])-(Table1[[#This Row],[unit_price]]*Table1[[#This Row],[discount]]*Table1[[#This Row],[quantity]])</f>
        <v>299.74979999999999</v>
      </c>
      <c r="N1301">
        <f>DAY(Table1[[#This Row],[order_date]])</f>
        <v>23</v>
      </c>
      <c r="O1301" t="str">
        <f>TEXT(Table1[[#This Row],[order_date]],"mmm")</f>
        <v>Jul</v>
      </c>
      <c r="P1301">
        <f>YEAR(Table1[[#This Row],[order_date]])</f>
        <v>2025</v>
      </c>
    </row>
    <row r="1302" spans="1:16" x14ac:dyDescent="0.3">
      <c r="A1302">
        <v>11301</v>
      </c>
      <c r="B1302" s="1">
        <v>45862</v>
      </c>
      <c r="C1302">
        <v>1502</v>
      </c>
      <c r="D1302" t="s">
        <v>19</v>
      </c>
      <c r="E1302" t="s">
        <v>13</v>
      </c>
      <c r="F1302">
        <v>3</v>
      </c>
      <c r="G1302">
        <v>106.56</v>
      </c>
      <c r="H1302">
        <v>0.13</v>
      </c>
      <c r="I1302" t="s">
        <v>16</v>
      </c>
      <c r="J1302">
        <v>2</v>
      </c>
      <c r="K1302">
        <v>2</v>
      </c>
      <c r="L1302">
        <v>278.12</v>
      </c>
      <c r="M1302">
        <f>(Table1[[#This Row],[unit_price]]*Table1[[#This Row],[quantity]])-(Table1[[#This Row],[unit_price]]*Table1[[#This Row],[discount]]*Table1[[#This Row],[quantity]])</f>
        <v>278.1216</v>
      </c>
      <c r="N1302">
        <f>DAY(Table1[[#This Row],[order_date]])</f>
        <v>24</v>
      </c>
      <c r="O1302" t="str">
        <f>TEXT(Table1[[#This Row],[order_date]],"mmm")</f>
        <v>Jul</v>
      </c>
      <c r="P1302">
        <f>YEAR(Table1[[#This Row],[order_date]])</f>
        <v>2025</v>
      </c>
    </row>
    <row r="1303" spans="1:16" x14ac:dyDescent="0.3">
      <c r="A1303">
        <v>11302</v>
      </c>
      <c r="B1303" s="1">
        <v>45863</v>
      </c>
      <c r="C1303">
        <v>1623</v>
      </c>
      <c r="D1303" t="s">
        <v>15</v>
      </c>
      <c r="E1303" t="s">
        <v>21</v>
      </c>
      <c r="F1303">
        <v>3</v>
      </c>
      <c r="G1303">
        <v>161.19</v>
      </c>
      <c r="H1303">
        <v>0.22</v>
      </c>
      <c r="I1303" t="s">
        <v>14</v>
      </c>
      <c r="J1303">
        <v>7</v>
      </c>
      <c r="K1303">
        <v>1.5</v>
      </c>
      <c r="L1303">
        <v>377.18</v>
      </c>
      <c r="M1303">
        <f>(Table1[[#This Row],[unit_price]]*Table1[[#This Row],[quantity]])-(Table1[[#This Row],[unit_price]]*Table1[[#This Row],[discount]]*Table1[[#This Row],[quantity]])</f>
        <v>377.18459999999999</v>
      </c>
      <c r="N1303">
        <f>DAY(Table1[[#This Row],[order_date]])</f>
        <v>25</v>
      </c>
      <c r="O1303" t="str">
        <f>TEXT(Table1[[#This Row],[order_date]],"mmm")</f>
        <v>Jul</v>
      </c>
      <c r="P1303">
        <f>YEAR(Table1[[#This Row],[order_date]])</f>
        <v>2025</v>
      </c>
    </row>
    <row r="1304" spans="1:16" x14ac:dyDescent="0.3">
      <c r="A1304">
        <v>11303</v>
      </c>
      <c r="B1304" s="1">
        <v>45864</v>
      </c>
      <c r="C1304">
        <v>1515</v>
      </c>
      <c r="D1304" t="s">
        <v>19</v>
      </c>
      <c r="E1304" t="s">
        <v>13</v>
      </c>
      <c r="F1304">
        <v>7</v>
      </c>
      <c r="G1304">
        <v>300.77999999999997</v>
      </c>
      <c r="H1304">
        <v>0.06</v>
      </c>
      <c r="I1304" t="s">
        <v>14</v>
      </c>
      <c r="J1304">
        <v>8</v>
      </c>
      <c r="K1304">
        <v>2.4</v>
      </c>
      <c r="L1304">
        <v>1979.13</v>
      </c>
      <c r="M1304">
        <f>(Table1[[#This Row],[unit_price]]*Table1[[#This Row],[quantity]])-(Table1[[#This Row],[unit_price]]*Table1[[#This Row],[discount]]*Table1[[#This Row],[quantity]])</f>
        <v>1979.1324</v>
      </c>
      <c r="N1304">
        <f>DAY(Table1[[#This Row],[order_date]])</f>
        <v>26</v>
      </c>
      <c r="O1304" t="str">
        <f>TEXT(Table1[[#This Row],[order_date]],"mmm")</f>
        <v>Jul</v>
      </c>
      <c r="P1304">
        <f>YEAR(Table1[[#This Row],[order_date]])</f>
        <v>2025</v>
      </c>
    </row>
    <row r="1305" spans="1:16" x14ac:dyDescent="0.3">
      <c r="A1305">
        <v>11304</v>
      </c>
      <c r="B1305" s="1">
        <v>45865</v>
      </c>
      <c r="C1305">
        <v>1349</v>
      </c>
      <c r="D1305" t="s">
        <v>19</v>
      </c>
      <c r="E1305" t="s">
        <v>21</v>
      </c>
      <c r="F1305">
        <v>5</v>
      </c>
      <c r="G1305">
        <v>425.38</v>
      </c>
      <c r="H1305">
        <v>7.0000000000000007E-2</v>
      </c>
      <c r="I1305" t="s">
        <v>18</v>
      </c>
      <c r="J1305">
        <v>10</v>
      </c>
      <c r="K1305">
        <v>4.8</v>
      </c>
      <c r="L1305">
        <v>1978.02</v>
      </c>
      <c r="M1305">
        <f>(Table1[[#This Row],[unit_price]]*Table1[[#This Row],[quantity]])-(Table1[[#This Row],[unit_price]]*Table1[[#This Row],[discount]]*Table1[[#This Row],[quantity]])</f>
        <v>1978.0170000000001</v>
      </c>
      <c r="N1305">
        <f>DAY(Table1[[#This Row],[order_date]])</f>
        <v>27</v>
      </c>
      <c r="O1305" t="str">
        <f>TEXT(Table1[[#This Row],[order_date]],"mmm")</f>
        <v>Jul</v>
      </c>
      <c r="P1305">
        <f>YEAR(Table1[[#This Row],[order_date]])</f>
        <v>2025</v>
      </c>
    </row>
    <row r="1306" spans="1:16" x14ac:dyDescent="0.3">
      <c r="A1306">
        <v>11305</v>
      </c>
      <c r="B1306" s="1">
        <v>45866</v>
      </c>
      <c r="C1306">
        <v>1842</v>
      </c>
      <c r="D1306" t="s">
        <v>22</v>
      </c>
      <c r="E1306" t="s">
        <v>13</v>
      </c>
      <c r="F1306">
        <v>5</v>
      </c>
      <c r="G1306">
        <v>592.04</v>
      </c>
      <c r="H1306">
        <v>0.35</v>
      </c>
      <c r="I1306" t="s">
        <v>14</v>
      </c>
      <c r="J1306">
        <v>8</v>
      </c>
      <c r="K1306">
        <v>1.5</v>
      </c>
      <c r="L1306">
        <v>1924.13</v>
      </c>
      <c r="M1306">
        <f>(Table1[[#This Row],[unit_price]]*Table1[[#This Row],[quantity]])-(Table1[[#This Row],[unit_price]]*Table1[[#This Row],[discount]]*Table1[[#This Row],[quantity]])</f>
        <v>1924.1299999999999</v>
      </c>
      <c r="N1306">
        <f>DAY(Table1[[#This Row],[order_date]])</f>
        <v>28</v>
      </c>
      <c r="O1306" t="str">
        <f>TEXT(Table1[[#This Row],[order_date]],"mmm")</f>
        <v>Jul</v>
      </c>
      <c r="P1306">
        <f>YEAR(Table1[[#This Row],[order_date]])</f>
        <v>2025</v>
      </c>
    </row>
    <row r="1307" spans="1:16" x14ac:dyDescent="0.3">
      <c r="A1307">
        <v>11306</v>
      </c>
      <c r="B1307" s="1">
        <v>45867</v>
      </c>
      <c r="C1307">
        <v>1445</v>
      </c>
      <c r="D1307" t="s">
        <v>19</v>
      </c>
      <c r="E1307" t="s">
        <v>13</v>
      </c>
      <c r="F1307">
        <v>4</v>
      </c>
      <c r="G1307">
        <v>273.27999999999997</v>
      </c>
      <c r="H1307">
        <v>0.26</v>
      </c>
      <c r="I1307" t="s">
        <v>16</v>
      </c>
      <c r="J1307">
        <v>7</v>
      </c>
      <c r="K1307">
        <v>4.3</v>
      </c>
      <c r="L1307">
        <v>808.91</v>
      </c>
      <c r="M1307">
        <f>(Table1[[#This Row],[unit_price]]*Table1[[#This Row],[quantity]])-(Table1[[#This Row],[unit_price]]*Table1[[#This Row],[discount]]*Table1[[#This Row],[quantity]])</f>
        <v>808.90879999999993</v>
      </c>
      <c r="N1307">
        <f>DAY(Table1[[#This Row],[order_date]])</f>
        <v>29</v>
      </c>
      <c r="O1307" t="str">
        <f>TEXT(Table1[[#This Row],[order_date]],"mmm")</f>
        <v>Jul</v>
      </c>
      <c r="P1307">
        <f>YEAR(Table1[[#This Row],[order_date]])</f>
        <v>2025</v>
      </c>
    </row>
    <row r="1308" spans="1:16" x14ac:dyDescent="0.3">
      <c r="A1308">
        <v>11307</v>
      </c>
      <c r="B1308" s="1">
        <v>45868</v>
      </c>
      <c r="C1308">
        <v>1829</v>
      </c>
      <c r="D1308" t="s">
        <v>15</v>
      </c>
      <c r="E1308" t="s">
        <v>17</v>
      </c>
      <c r="F1308">
        <v>2</v>
      </c>
      <c r="G1308">
        <v>318.14</v>
      </c>
      <c r="H1308">
        <v>0.34</v>
      </c>
      <c r="I1308" t="s">
        <v>14</v>
      </c>
      <c r="J1308">
        <v>4</v>
      </c>
      <c r="K1308">
        <v>3.1</v>
      </c>
      <c r="L1308">
        <v>419.94</v>
      </c>
      <c r="M1308">
        <f>(Table1[[#This Row],[unit_price]]*Table1[[#This Row],[quantity]])-(Table1[[#This Row],[unit_price]]*Table1[[#This Row],[discount]]*Table1[[#This Row],[quantity]])</f>
        <v>419.94479999999999</v>
      </c>
      <c r="N1308">
        <f>DAY(Table1[[#This Row],[order_date]])</f>
        <v>30</v>
      </c>
      <c r="O1308" t="str">
        <f>TEXT(Table1[[#This Row],[order_date]],"mmm")</f>
        <v>Jul</v>
      </c>
      <c r="P1308">
        <f>YEAR(Table1[[#This Row],[order_date]])</f>
        <v>2025</v>
      </c>
    </row>
    <row r="1309" spans="1:16" x14ac:dyDescent="0.3">
      <c r="A1309">
        <v>11308</v>
      </c>
      <c r="B1309" s="1">
        <v>45869</v>
      </c>
      <c r="C1309">
        <v>1349</v>
      </c>
      <c r="D1309" t="s">
        <v>19</v>
      </c>
      <c r="E1309" t="s">
        <v>21</v>
      </c>
      <c r="F1309">
        <v>2</v>
      </c>
      <c r="G1309">
        <v>320.26</v>
      </c>
      <c r="H1309">
        <v>0.1</v>
      </c>
      <c r="I1309" t="s">
        <v>18</v>
      </c>
      <c r="J1309">
        <v>4</v>
      </c>
      <c r="K1309">
        <v>3.5</v>
      </c>
      <c r="L1309">
        <v>576.47</v>
      </c>
      <c r="M1309">
        <f>(Table1[[#This Row],[unit_price]]*Table1[[#This Row],[quantity]])-(Table1[[#This Row],[unit_price]]*Table1[[#This Row],[discount]]*Table1[[#This Row],[quantity]])</f>
        <v>576.46799999999996</v>
      </c>
      <c r="N1309">
        <f>DAY(Table1[[#This Row],[order_date]])</f>
        <v>31</v>
      </c>
      <c r="O1309" t="str">
        <f>TEXT(Table1[[#This Row],[order_date]],"mmm")</f>
        <v>Jul</v>
      </c>
      <c r="P1309">
        <f>YEAR(Table1[[#This Row],[order_date]])</f>
        <v>2025</v>
      </c>
    </row>
    <row r="1310" spans="1:16" x14ac:dyDescent="0.3">
      <c r="A1310">
        <v>11309</v>
      </c>
      <c r="B1310" s="1">
        <v>45870</v>
      </c>
      <c r="C1310">
        <v>1606</v>
      </c>
      <c r="D1310" t="s">
        <v>12</v>
      </c>
      <c r="E1310" t="s">
        <v>17</v>
      </c>
      <c r="F1310">
        <v>4</v>
      </c>
      <c r="G1310">
        <v>330.57</v>
      </c>
      <c r="H1310">
        <v>0.06</v>
      </c>
      <c r="I1310" t="s">
        <v>16</v>
      </c>
      <c r="J1310">
        <v>10</v>
      </c>
      <c r="K1310">
        <v>1.7</v>
      </c>
      <c r="L1310">
        <v>1242.94</v>
      </c>
      <c r="M1310">
        <f>(Table1[[#This Row],[unit_price]]*Table1[[#This Row],[quantity]])-(Table1[[#This Row],[unit_price]]*Table1[[#This Row],[discount]]*Table1[[#This Row],[quantity]])</f>
        <v>1242.9431999999999</v>
      </c>
      <c r="N1310">
        <f>DAY(Table1[[#This Row],[order_date]])</f>
        <v>1</v>
      </c>
      <c r="O1310" t="str">
        <f>TEXT(Table1[[#This Row],[order_date]],"mmm")</f>
        <v>Aug</v>
      </c>
      <c r="P1310">
        <f>YEAR(Table1[[#This Row],[order_date]])</f>
        <v>2025</v>
      </c>
    </row>
    <row r="1311" spans="1:16" x14ac:dyDescent="0.3">
      <c r="A1311">
        <v>11310</v>
      </c>
      <c r="B1311" s="1">
        <v>45871</v>
      </c>
      <c r="C1311">
        <v>1663</v>
      </c>
      <c r="D1311" t="s">
        <v>15</v>
      </c>
      <c r="E1311" t="s">
        <v>17</v>
      </c>
      <c r="F1311">
        <v>2</v>
      </c>
      <c r="G1311">
        <v>317.88</v>
      </c>
      <c r="H1311">
        <v>0.18</v>
      </c>
      <c r="I1311" t="s">
        <v>18</v>
      </c>
      <c r="J1311">
        <v>9</v>
      </c>
      <c r="K1311">
        <v>1.6</v>
      </c>
      <c r="L1311">
        <v>521.32000000000005</v>
      </c>
      <c r="M1311">
        <f>(Table1[[#This Row],[unit_price]]*Table1[[#This Row],[quantity]])-(Table1[[#This Row],[unit_price]]*Table1[[#This Row],[discount]]*Table1[[#This Row],[quantity]])</f>
        <v>521.32320000000004</v>
      </c>
      <c r="N1311">
        <f>DAY(Table1[[#This Row],[order_date]])</f>
        <v>2</v>
      </c>
      <c r="O1311" t="str">
        <f>TEXT(Table1[[#This Row],[order_date]],"mmm")</f>
        <v>Aug</v>
      </c>
      <c r="P1311">
        <f>YEAR(Table1[[#This Row],[order_date]])</f>
        <v>2025</v>
      </c>
    </row>
    <row r="1312" spans="1:16" x14ac:dyDescent="0.3">
      <c r="A1312">
        <v>11311</v>
      </c>
      <c r="B1312" s="1">
        <v>45872</v>
      </c>
      <c r="C1312">
        <v>1822</v>
      </c>
      <c r="D1312" t="s">
        <v>19</v>
      </c>
      <c r="E1312" t="s">
        <v>21</v>
      </c>
      <c r="F1312">
        <v>3</v>
      </c>
      <c r="G1312">
        <v>20.13</v>
      </c>
      <c r="H1312">
        <v>0.17</v>
      </c>
      <c r="I1312" t="s">
        <v>18</v>
      </c>
      <c r="J1312">
        <v>10</v>
      </c>
      <c r="K1312">
        <v>1.7</v>
      </c>
      <c r="L1312">
        <v>50.12</v>
      </c>
      <c r="M1312">
        <f>(Table1[[#This Row],[unit_price]]*Table1[[#This Row],[quantity]])-(Table1[[#This Row],[unit_price]]*Table1[[#This Row],[discount]]*Table1[[#This Row],[quantity]])</f>
        <v>50.123699999999999</v>
      </c>
      <c r="N1312">
        <f>DAY(Table1[[#This Row],[order_date]])</f>
        <v>3</v>
      </c>
      <c r="O1312" t="str">
        <f>TEXT(Table1[[#This Row],[order_date]],"mmm")</f>
        <v>Aug</v>
      </c>
      <c r="P1312">
        <f>YEAR(Table1[[#This Row],[order_date]])</f>
        <v>2025</v>
      </c>
    </row>
    <row r="1313" spans="1:16" x14ac:dyDescent="0.3">
      <c r="A1313">
        <v>11312</v>
      </c>
      <c r="B1313" s="1">
        <v>45873</v>
      </c>
      <c r="C1313">
        <v>1136</v>
      </c>
      <c r="D1313" t="s">
        <v>15</v>
      </c>
      <c r="E1313" t="s">
        <v>13</v>
      </c>
      <c r="F1313">
        <v>4</v>
      </c>
      <c r="G1313">
        <v>16.010000000000002</v>
      </c>
      <c r="H1313">
        <v>0.06</v>
      </c>
      <c r="I1313" t="s">
        <v>16</v>
      </c>
      <c r="J1313">
        <v>9</v>
      </c>
      <c r="K1313">
        <v>3.7</v>
      </c>
      <c r="L1313">
        <v>60.2</v>
      </c>
      <c r="M1313">
        <f>(Table1[[#This Row],[unit_price]]*Table1[[#This Row],[quantity]])-(Table1[[#This Row],[unit_price]]*Table1[[#This Row],[discount]]*Table1[[#This Row],[quantity]])</f>
        <v>60.197600000000008</v>
      </c>
      <c r="N1313">
        <f>DAY(Table1[[#This Row],[order_date]])</f>
        <v>4</v>
      </c>
      <c r="O1313" t="str">
        <f>TEXT(Table1[[#This Row],[order_date]],"mmm")</f>
        <v>Aug</v>
      </c>
      <c r="P1313">
        <f>YEAR(Table1[[#This Row],[order_date]])</f>
        <v>2025</v>
      </c>
    </row>
    <row r="1314" spans="1:16" x14ac:dyDescent="0.3">
      <c r="A1314">
        <v>11313</v>
      </c>
      <c r="B1314" s="1">
        <v>45874</v>
      </c>
      <c r="C1314">
        <v>1758</v>
      </c>
      <c r="D1314" t="s">
        <v>22</v>
      </c>
      <c r="E1314" t="s">
        <v>17</v>
      </c>
      <c r="F1314">
        <v>4</v>
      </c>
      <c r="G1314">
        <v>72.13</v>
      </c>
      <c r="H1314">
        <v>0.26</v>
      </c>
      <c r="I1314" t="s">
        <v>16</v>
      </c>
      <c r="J1314">
        <v>5</v>
      </c>
      <c r="K1314">
        <v>4</v>
      </c>
      <c r="L1314">
        <v>213.5</v>
      </c>
      <c r="M1314">
        <f>(Table1[[#This Row],[unit_price]]*Table1[[#This Row],[quantity]])-(Table1[[#This Row],[unit_price]]*Table1[[#This Row],[discount]]*Table1[[#This Row],[quantity]])</f>
        <v>213.50479999999999</v>
      </c>
      <c r="N1314">
        <f>DAY(Table1[[#This Row],[order_date]])</f>
        <v>5</v>
      </c>
      <c r="O1314" t="str">
        <f>TEXT(Table1[[#This Row],[order_date]],"mmm")</f>
        <v>Aug</v>
      </c>
      <c r="P1314">
        <f>YEAR(Table1[[#This Row],[order_date]])</f>
        <v>2025</v>
      </c>
    </row>
    <row r="1315" spans="1:16" x14ac:dyDescent="0.3">
      <c r="A1315">
        <v>11314</v>
      </c>
      <c r="B1315" s="1">
        <v>45875</v>
      </c>
      <c r="C1315">
        <v>1898</v>
      </c>
      <c r="D1315" t="s">
        <v>12</v>
      </c>
      <c r="E1315" t="s">
        <v>21</v>
      </c>
      <c r="F1315">
        <v>2</v>
      </c>
      <c r="G1315">
        <v>74.41</v>
      </c>
      <c r="H1315">
        <v>0.13</v>
      </c>
      <c r="I1315" t="s">
        <v>16</v>
      </c>
      <c r="J1315">
        <v>7</v>
      </c>
      <c r="K1315">
        <v>4.7</v>
      </c>
      <c r="L1315">
        <v>129.47</v>
      </c>
      <c r="M1315">
        <f>(Table1[[#This Row],[unit_price]]*Table1[[#This Row],[quantity]])-(Table1[[#This Row],[unit_price]]*Table1[[#This Row],[discount]]*Table1[[#This Row],[quantity]])</f>
        <v>129.4734</v>
      </c>
      <c r="N1315">
        <f>DAY(Table1[[#This Row],[order_date]])</f>
        <v>6</v>
      </c>
      <c r="O1315" t="str">
        <f>TEXT(Table1[[#This Row],[order_date]],"mmm")</f>
        <v>Aug</v>
      </c>
      <c r="P1315">
        <f>YEAR(Table1[[#This Row],[order_date]])</f>
        <v>2025</v>
      </c>
    </row>
    <row r="1316" spans="1:16" x14ac:dyDescent="0.3">
      <c r="A1316">
        <v>11315</v>
      </c>
      <c r="B1316" s="1">
        <v>45876</v>
      </c>
      <c r="C1316">
        <v>1242</v>
      </c>
      <c r="D1316" t="s">
        <v>19</v>
      </c>
      <c r="E1316" t="s">
        <v>13</v>
      </c>
      <c r="F1316">
        <v>1</v>
      </c>
      <c r="G1316">
        <v>427.36</v>
      </c>
      <c r="H1316">
        <v>7.0000000000000007E-2</v>
      </c>
      <c r="I1316" t="s">
        <v>16</v>
      </c>
      <c r="J1316">
        <v>7</v>
      </c>
      <c r="K1316">
        <v>2.6</v>
      </c>
      <c r="L1316">
        <v>397.44</v>
      </c>
      <c r="M1316">
        <f>(Table1[[#This Row],[unit_price]]*Table1[[#This Row],[quantity]])-(Table1[[#This Row],[unit_price]]*Table1[[#This Row],[discount]]*Table1[[#This Row],[quantity]])</f>
        <v>397.44479999999999</v>
      </c>
      <c r="N1316">
        <f>DAY(Table1[[#This Row],[order_date]])</f>
        <v>7</v>
      </c>
      <c r="O1316" t="str">
        <f>TEXT(Table1[[#This Row],[order_date]],"mmm")</f>
        <v>Aug</v>
      </c>
      <c r="P1316">
        <f>YEAR(Table1[[#This Row],[order_date]])</f>
        <v>2025</v>
      </c>
    </row>
    <row r="1317" spans="1:16" x14ac:dyDescent="0.3">
      <c r="A1317">
        <v>11316</v>
      </c>
      <c r="B1317" s="1">
        <v>45877</v>
      </c>
      <c r="C1317">
        <v>1542</v>
      </c>
      <c r="D1317" t="s">
        <v>12</v>
      </c>
      <c r="E1317" t="s">
        <v>17</v>
      </c>
      <c r="F1317">
        <v>2</v>
      </c>
      <c r="G1317">
        <v>134.88</v>
      </c>
      <c r="H1317">
        <v>0.12</v>
      </c>
      <c r="I1317" t="s">
        <v>16</v>
      </c>
      <c r="J1317">
        <v>9</v>
      </c>
      <c r="K1317">
        <v>2.8</v>
      </c>
      <c r="L1317">
        <v>237.39</v>
      </c>
      <c r="M1317">
        <f>(Table1[[#This Row],[unit_price]]*Table1[[#This Row],[quantity]])-(Table1[[#This Row],[unit_price]]*Table1[[#This Row],[discount]]*Table1[[#This Row],[quantity]])</f>
        <v>237.3888</v>
      </c>
      <c r="N1317">
        <f>DAY(Table1[[#This Row],[order_date]])</f>
        <v>8</v>
      </c>
      <c r="O1317" t="str">
        <f>TEXT(Table1[[#This Row],[order_date]],"mmm")</f>
        <v>Aug</v>
      </c>
      <c r="P1317">
        <f>YEAR(Table1[[#This Row],[order_date]])</f>
        <v>2025</v>
      </c>
    </row>
    <row r="1318" spans="1:16" x14ac:dyDescent="0.3">
      <c r="A1318">
        <v>11317</v>
      </c>
      <c r="B1318" s="1">
        <v>45878</v>
      </c>
      <c r="C1318">
        <v>1039</v>
      </c>
      <c r="D1318" t="s">
        <v>12</v>
      </c>
      <c r="E1318" t="s">
        <v>17</v>
      </c>
      <c r="F1318">
        <v>6</v>
      </c>
      <c r="G1318">
        <v>538.41</v>
      </c>
      <c r="H1318">
        <v>0.2</v>
      </c>
      <c r="I1318" t="s">
        <v>16</v>
      </c>
      <c r="J1318">
        <v>7</v>
      </c>
      <c r="K1318">
        <v>2.9</v>
      </c>
      <c r="L1318">
        <v>2584.37</v>
      </c>
      <c r="M1318">
        <f>(Table1[[#This Row],[unit_price]]*Table1[[#This Row],[quantity]])-(Table1[[#This Row],[unit_price]]*Table1[[#This Row],[discount]]*Table1[[#This Row],[quantity]])</f>
        <v>2584.3679999999999</v>
      </c>
      <c r="N1318">
        <f>DAY(Table1[[#This Row],[order_date]])</f>
        <v>9</v>
      </c>
      <c r="O1318" t="str">
        <f>TEXT(Table1[[#This Row],[order_date]],"mmm")</f>
        <v>Aug</v>
      </c>
      <c r="P1318">
        <f>YEAR(Table1[[#This Row],[order_date]])</f>
        <v>2025</v>
      </c>
    </row>
    <row r="1319" spans="1:16" x14ac:dyDescent="0.3">
      <c r="A1319">
        <v>11318</v>
      </c>
      <c r="B1319" s="1">
        <v>45879</v>
      </c>
      <c r="C1319">
        <v>1228</v>
      </c>
      <c r="D1319" t="s">
        <v>12</v>
      </c>
      <c r="E1319" t="s">
        <v>17</v>
      </c>
      <c r="F1319">
        <v>1</v>
      </c>
      <c r="G1319">
        <v>558.23</v>
      </c>
      <c r="H1319">
        <v>0.25</v>
      </c>
      <c r="I1319" t="s">
        <v>16</v>
      </c>
      <c r="J1319">
        <v>8</v>
      </c>
      <c r="K1319">
        <v>2.1</v>
      </c>
      <c r="L1319">
        <v>418.67</v>
      </c>
      <c r="M1319">
        <f>(Table1[[#This Row],[unit_price]]*Table1[[#This Row],[quantity]])-(Table1[[#This Row],[unit_price]]*Table1[[#This Row],[discount]]*Table1[[#This Row],[quantity]])</f>
        <v>418.67250000000001</v>
      </c>
      <c r="N1319">
        <f>DAY(Table1[[#This Row],[order_date]])</f>
        <v>10</v>
      </c>
      <c r="O1319" t="str">
        <f>TEXT(Table1[[#This Row],[order_date]],"mmm")</f>
        <v>Aug</v>
      </c>
      <c r="P1319">
        <f>YEAR(Table1[[#This Row],[order_date]])</f>
        <v>2025</v>
      </c>
    </row>
    <row r="1320" spans="1:16" x14ac:dyDescent="0.3">
      <c r="A1320">
        <v>11319</v>
      </c>
      <c r="B1320" s="1">
        <v>45880</v>
      </c>
      <c r="C1320">
        <v>1547</v>
      </c>
      <c r="D1320" t="s">
        <v>15</v>
      </c>
      <c r="E1320" t="s">
        <v>13</v>
      </c>
      <c r="F1320">
        <v>4</v>
      </c>
      <c r="G1320">
        <v>585.9</v>
      </c>
      <c r="H1320">
        <v>0.17</v>
      </c>
      <c r="I1320" t="s">
        <v>14</v>
      </c>
      <c r="J1320">
        <v>7</v>
      </c>
      <c r="K1320">
        <v>2.2999999999999998</v>
      </c>
      <c r="L1320">
        <v>1945.19</v>
      </c>
      <c r="M1320">
        <f>(Table1[[#This Row],[unit_price]]*Table1[[#This Row],[quantity]])-(Table1[[#This Row],[unit_price]]*Table1[[#This Row],[discount]]*Table1[[#This Row],[quantity]])</f>
        <v>1945.1879999999999</v>
      </c>
      <c r="N1320">
        <f>DAY(Table1[[#This Row],[order_date]])</f>
        <v>11</v>
      </c>
      <c r="O1320" t="str">
        <f>TEXT(Table1[[#This Row],[order_date]],"mmm")</f>
        <v>Aug</v>
      </c>
      <c r="P1320">
        <f>YEAR(Table1[[#This Row],[order_date]])</f>
        <v>2025</v>
      </c>
    </row>
    <row r="1321" spans="1:16" x14ac:dyDescent="0.3">
      <c r="A1321">
        <v>11320</v>
      </c>
      <c r="B1321" s="1">
        <v>45881</v>
      </c>
      <c r="C1321">
        <v>1919</v>
      </c>
      <c r="D1321" t="s">
        <v>15</v>
      </c>
      <c r="E1321" t="s">
        <v>17</v>
      </c>
      <c r="F1321">
        <v>1</v>
      </c>
      <c r="G1321">
        <v>564.36</v>
      </c>
      <c r="H1321">
        <v>0.18</v>
      </c>
      <c r="I1321" t="s">
        <v>18</v>
      </c>
      <c r="J1321">
        <v>11</v>
      </c>
      <c r="K1321">
        <v>4.4000000000000004</v>
      </c>
      <c r="L1321">
        <v>462.78</v>
      </c>
      <c r="M1321">
        <f>(Table1[[#This Row],[unit_price]]*Table1[[#This Row],[quantity]])-(Table1[[#This Row],[unit_price]]*Table1[[#This Row],[discount]]*Table1[[#This Row],[quantity]])</f>
        <v>462.77520000000004</v>
      </c>
      <c r="N1321">
        <f>DAY(Table1[[#This Row],[order_date]])</f>
        <v>12</v>
      </c>
      <c r="O1321" t="str">
        <f>TEXT(Table1[[#This Row],[order_date]],"mmm")</f>
        <v>Aug</v>
      </c>
      <c r="P1321">
        <f>YEAR(Table1[[#This Row],[order_date]])</f>
        <v>2025</v>
      </c>
    </row>
    <row r="1322" spans="1:16" x14ac:dyDescent="0.3">
      <c r="A1322">
        <v>11321</v>
      </c>
      <c r="B1322" s="1">
        <v>45882</v>
      </c>
      <c r="C1322">
        <v>1222</v>
      </c>
      <c r="D1322" t="s">
        <v>15</v>
      </c>
      <c r="E1322" t="s">
        <v>13</v>
      </c>
      <c r="F1322">
        <v>3</v>
      </c>
      <c r="G1322">
        <v>174.05</v>
      </c>
      <c r="H1322">
        <v>0.05</v>
      </c>
      <c r="I1322" t="s">
        <v>16</v>
      </c>
      <c r="J1322">
        <v>4</v>
      </c>
      <c r="K1322">
        <v>2.4</v>
      </c>
      <c r="L1322">
        <v>496.04</v>
      </c>
      <c r="M1322">
        <f>(Table1[[#This Row],[unit_price]]*Table1[[#This Row],[quantity]])-(Table1[[#This Row],[unit_price]]*Table1[[#This Row],[discount]]*Table1[[#This Row],[quantity]])</f>
        <v>496.04250000000008</v>
      </c>
      <c r="N1322">
        <f>DAY(Table1[[#This Row],[order_date]])</f>
        <v>13</v>
      </c>
      <c r="O1322" t="str">
        <f>TEXT(Table1[[#This Row],[order_date]],"mmm")</f>
        <v>Aug</v>
      </c>
      <c r="P1322">
        <f>YEAR(Table1[[#This Row],[order_date]])</f>
        <v>2025</v>
      </c>
    </row>
    <row r="1323" spans="1:16" x14ac:dyDescent="0.3">
      <c r="A1323">
        <v>11322</v>
      </c>
      <c r="B1323" s="1">
        <v>45883</v>
      </c>
      <c r="C1323">
        <v>1005</v>
      </c>
      <c r="D1323" t="s">
        <v>22</v>
      </c>
      <c r="E1323" t="s">
        <v>20</v>
      </c>
      <c r="F1323">
        <v>5</v>
      </c>
      <c r="G1323">
        <v>313.22000000000003</v>
      </c>
      <c r="H1323">
        <v>0.32</v>
      </c>
      <c r="I1323" t="s">
        <v>14</v>
      </c>
      <c r="J1323">
        <v>2</v>
      </c>
      <c r="K1323">
        <v>4.5</v>
      </c>
      <c r="L1323">
        <v>1064.95</v>
      </c>
      <c r="M1323">
        <f>(Table1[[#This Row],[unit_price]]*Table1[[#This Row],[quantity]])-(Table1[[#This Row],[unit_price]]*Table1[[#This Row],[discount]]*Table1[[#This Row],[quantity]])</f>
        <v>1064.9480000000001</v>
      </c>
      <c r="N1323">
        <f>DAY(Table1[[#This Row],[order_date]])</f>
        <v>14</v>
      </c>
      <c r="O1323" t="str">
        <f>TEXT(Table1[[#This Row],[order_date]],"mmm")</f>
        <v>Aug</v>
      </c>
      <c r="P1323">
        <f>YEAR(Table1[[#This Row],[order_date]])</f>
        <v>2025</v>
      </c>
    </row>
    <row r="1324" spans="1:16" x14ac:dyDescent="0.3">
      <c r="A1324">
        <v>11323</v>
      </c>
      <c r="B1324" s="1">
        <v>45884</v>
      </c>
      <c r="C1324">
        <v>1321</v>
      </c>
      <c r="D1324" t="s">
        <v>15</v>
      </c>
      <c r="E1324" t="s">
        <v>17</v>
      </c>
      <c r="F1324">
        <v>1</v>
      </c>
      <c r="G1324">
        <v>117.64</v>
      </c>
      <c r="H1324">
        <v>0.33</v>
      </c>
      <c r="I1324" t="s">
        <v>18</v>
      </c>
      <c r="J1324">
        <v>3</v>
      </c>
      <c r="K1324">
        <v>2.2000000000000002</v>
      </c>
      <c r="L1324">
        <v>78.819999999999993</v>
      </c>
      <c r="M1324">
        <f>(Table1[[#This Row],[unit_price]]*Table1[[#This Row],[quantity]])-(Table1[[#This Row],[unit_price]]*Table1[[#This Row],[discount]]*Table1[[#This Row],[quantity]])</f>
        <v>78.818799999999996</v>
      </c>
      <c r="N1324">
        <f>DAY(Table1[[#This Row],[order_date]])</f>
        <v>15</v>
      </c>
      <c r="O1324" t="str">
        <f>TEXT(Table1[[#This Row],[order_date]],"mmm")</f>
        <v>Aug</v>
      </c>
      <c r="P1324">
        <f>YEAR(Table1[[#This Row],[order_date]])</f>
        <v>2025</v>
      </c>
    </row>
    <row r="1325" spans="1:16" x14ac:dyDescent="0.3">
      <c r="A1325">
        <v>11324</v>
      </c>
      <c r="B1325" s="1">
        <v>45885</v>
      </c>
      <c r="C1325">
        <v>1467</v>
      </c>
      <c r="D1325" t="s">
        <v>22</v>
      </c>
      <c r="E1325" t="s">
        <v>20</v>
      </c>
      <c r="F1325">
        <v>6</v>
      </c>
      <c r="G1325">
        <v>486.63</v>
      </c>
      <c r="H1325">
        <v>0.24</v>
      </c>
      <c r="I1325" t="s">
        <v>18</v>
      </c>
      <c r="J1325">
        <v>7</v>
      </c>
      <c r="K1325">
        <v>2.4</v>
      </c>
      <c r="L1325">
        <v>2219.0300000000002</v>
      </c>
      <c r="M1325">
        <f>(Table1[[#This Row],[unit_price]]*Table1[[#This Row],[quantity]])-(Table1[[#This Row],[unit_price]]*Table1[[#This Row],[discount]]*Table1[[#This Row],[quantity]])</f>
        <v>2219.0328</v>
      </c>
      <c r="N1325">
        <f>DAY(Table1[[#This Row],[order_date]])</f>
        <v>16</v>
      </c>
      <c r="O1325" t="str">
        <f>TEXT(Table1[[#This Row],[order_date]],"mmm")</f>
        <v>Aug</v>
      </c>
      <c r="P1325">
        <f>YEAR(Table1[[#This Row],[order_date]])</f>
        <v>2025</v>
      </c>
    </row>
    <row r="1326" spans="1:16" x14ac:dyDescent="0.3">
      <c r="A1326">
        <v>11325</v>
      </c>
      <c r="B1326" s="1">
        <v>45886</v>
      </c>
      <c r="C1326">
        <v>1731</v>
      </c>
      <c r="D1326" t="s">
        <v>15</v>
      </c>
      <c r="E1326" t="s">
        <v>21</v>
      </c>
      <c r="F1326">
        <v>5</v>
      </c>
      <c r="G1326">
        <v>534.73</v>
      </c>
      <c r="H1326">
        <v>0.01</v>
      </c>
      <c r="I1326" t="s">
        <v>18</v>
      </c>
      <c r="J1326">
        <v>11</v>
      </c>
      <c r="K1326">
        <v>3.2</v>
      </c>
      <c r="L1326">
        <v>2646.91</v>
      </c>
      <c r="M1326">
        <f>(Table1[[#This Row],[unit_price]]*Table1[[#This Row],[quantity]])-(Table1[[#This Row],[unit_price]]*Table1[[#This Row],[discount]]*Table1[[#This Row],[quantity]])</f>
        <v>2646.9135000000001</v>
      </c>
      <c r="N1326">
        <f>DAY(Table1[[#This Row],[order_date]])</f>
        <v>17</v>
      </c>
      <c r="O1326" t="str">
        <f>TEXT(Table1[[#This Row],[order_date]],"mmm")</f>
        <v>Aug</v>
      </c>
      <c r="P1326">
        <f>YEAR(Table1[[#This Row],[order_date]])</f>
        <v>2025</v>
      </c>
    </row>
    <row r="1327" spans="1:16" x14ac:dyDescent="0.3">
      <c r="A1327">
        <v>11326</v>
      </c>
      <c r="B1327" s="1">
        <v>45887</v>
      </c>
      <c r="C1327">
        <v>1074</v>
      </c>
      <c r="D1327" t="s">
        <v>22</v>
      </c>
      <c r="E1327" t="s">
        <v>17</v>
      </c>
      <c r="F1327">
        <v>3</v>
      </c>
      <c r="G1327">
        <v>513</v>
      </c>
      <c r="H1327">
        <v>0.19</v>
      </c>
      <c r="I1327" t="s">
        <v>16</v>
      </c>
      <c r="J1327">
        <v>11</v>
      </c>
      <c r="K1327">
        <v>1.4</v>
      </c>
      <c r="L1327">
        <v>1246.5899999999999</v>
      </c>
      <c r="M1327">
        <f>(Table1[[#This Row],[unit_price]]*Table1[[#This Row],[quantity]])-(Table1[[#This Row],[unit_price]]*Table1[[#This Row],[discount]]*Table1[[#This Row],[quantity]])</f>
        <v>1246.5900000000001</v>
      </c>
      <c r="N1327">
        <f>DAY(Table1[[#This Row],[order_date]])</f>
        <v>18</v>
      </c>
      <c r="O1327" t="str">
        <f>TEXT(Table1[[#This Row],[order_date]],"mmm")</f>
        <v>Aug</v>
      </c>
      <c r="P1327">
        <f>YEAR(Table1[[#This Row],[order_date]])</f>
        <v>2025</v>
      </c>
    </row>
    <row r="1328" spans="1:16" x14ac:dyDescent="0.3">
      <c r="A1328">
        <v>11327</v>
      </c>
      <c r="B1328" s="1">
        <v>45888</v>
      </c>
      <c r="C1328">
        <v>1003</v>
      </c>
      <c r="D1328" t="s">
        <v>22</v>
      </c>
      <c r="E1328" t="s">
        <v>21</v>
      </c>
      <c r="F1328">
        <v>6</v>
      </c>
      <c r="G1328">
        <v>268.52</v>
      </c>
      <c r="H1328">
        <v>0.22</v>
      </c>
      <c r="I1328" t="s">
        <v>16</v>
      </c>
      <c r="J1328">
        <v>9</v>
      </c>
      <c r="K1328">
        <v>4.7</v>
      </c>
      <c r="L1328">
        <v>1256.67</v>
      </c>
      <c r="M1328">
        <f>(Table1[[#This Row],[unit_price]]*Table1[[#This Row],[quantity]])-(Table1[[#This Row],[unit_price]]*Table1[[#This Row],[discount]]*Table1[[#This Row],[quantity]])</f>
        <v>1256.6735999999999</v>
      </c>
      <c r="N1328">
        <f>DAY(Table1[[#This Row],[order_date]])</f>
        <v>19</v>
      </c>
      <c r="O1328" t="str">
        <f>TEXT(Table1[[#This Row],[order_date]],"mmm")</f>
        <v>Aug</v>
      </c>
      <c r="P1328">
        <f>YEAR(Table1[[#This Row],[order_date]])</f>
        <v>2025</v>
      </c>
    </row>
    <row r="1329" spans="1:16" x14ac:dyDescent="0.3">
      <c r="A1329">
        <v>11328</v>
      </c>
      <c r="B1329" s="1">
        <v>45889</v>
      </c>
      <c r="C1329">
        <v>1846</v>
      </c>
      <c r="D1329" t="s">
        <v>19</v>
      </c>
      <c r="E1329" t="s">
        <v>21</v>
      </c>
      <c r="F1329">
        <v>7</v>
      </c>
      <c r="G1329">
        <v>458.82</v>
      </c>
      <c r="H1329">
        <v>0.35</v>
      </c>
      <c r="I1329" t="s">
        <v>16</v>
      </c>
      <c r="J1329">
        <v>11</v>
      </c>
      <c r="K1329">
        <v>4.3</v>
      </c>
      <c r="L1329">
        <v>2087.63</v>
      </c>
      <c r="M1329">
        <f>(Table1[[#This Row],[unit_price]]*Table1[[#This Row],[quantity]])-(Table1[[#This Row],[unit_price]]*Table1[[#This Row],[discount]]*Table1[[#This Row],[quantity]])</f>
        <v>2087.6309999999999</v>
      </c>
      <c r="N1329">
        <f>DAY(Table1[[#This Row],[order_date]])</f>
        <v>20</v>
      </c>
      <c r="O1329" t="str">
        <f>TEXT(Table1[[#This Row],[order_date]],"mmm")</f>
        <v>Aug</v>
      </c>
      <c r="P1329">
        <f>YEAR(Table1[[#This Row],[order_date]])</f>
        <v>2025</v>
      </c>
    </row>
    <row r="1330" spans="1:16" x14ac:dyDescent="0.3">
      <c r="A1330">
        <v>11329</v>
      </c>
      <c r="B1330" s="1">
        <v>45890</v>
      </c>
      <c r="C1330">
        <v>1645</v>
      </c>
      <c r="D1330" t="s">
        <v>22</v>
      </c>
      <c r="E1330" t="s">
        <v>21</v>
      </c>
      <c r="F1330">
        <v>5</v>
      </c>
      <c r="G1330">
        <v>72.08</v>
      </c>
      <c r="H1330">
        <v>0.35</v>
      </c>
      <c r="I1330" t="s">
        <v>18</v>
      </c>
      <c r="J1330">
        <v>2</v>
      </c>
      <c r="K1330">
        <v>3.7</v>
      </c>
      <c r="L1330">
        <v>234.26</v>
      </c>
      <c r="M1330">
        <f>(Table1[[#This Row],[unit_price]]*Table1[[#This Row],[quantity]])-(Table1[[#This Row],[unit_price]]*Table1[[#This Row],[discount]]*Table1[[#This Row],[quantity]])</f>
        <v>234.26</v>
      </c>
      <c r="N1330">
        <f>DAY(Table1[[#This Row],[order_date]])</f>
        <v>21</v>
      </c>
      <c r="O1330" t="str">
        <f>TEXT(Table1[[#This Row],[order_date]],"mmm")</f>
        <v>Aug</v>
      </c>
      <c r="P1330">
        <f>YEAR(Table1[[#This Row],[order_date]])</f>
        <v>2025</v>
      </c>
    </row>
    <row r="1331" spans="1:16" x14ac:dyDescent="0.3">
      <c r="A1331">
        <v>11330</v>
      </c>
      <c r="B1331" s="1">
        <v>45891</v>
      </c>
      <c r="C1331">
        <v>1117</v>
      </c>
      <c r="D1331" t="s">
        <v>15</v>
      </c>
      <c r="E1331" t="s">
        <v>20</v>
      </c>
      <c r="F1331">
        <v>7</v>
      </c>
      <c r="G1331">
        <v>38.54</v>
      </c>
      <c r="H1331">
        <v>0.3</v>
      </c>
      <c r="I1331" t="s">
        <v>18</v>
      </c>
      <c r="J1331">
        <v>7</v>
      </c>
      <c r="K1331">
        <v>5</v>
      </c>
      <c r="L1331">
        <v>188.85</v>
      </c>
      <c r="M1331">
        <f>(Table1[[#This Row],[unit_price]]*Table1[[#This Row],[quantity]])-(Table1[[#This Row],[unit_price]]*Table1[[#This Row],[discount]]*Table1[[#This Row],[quantity]])</f>
        <v>188.84599999999998</v>
      </c>
      <c r="N1331">
        <f>DAY(Table1[[#This Row],[order_date]])</f>
        <v>22</v>
      </c>
      <c r="O1331" t="str">
        <f>TEXT(Table1[[#This Row],[order_date]],"mmm")</f>
        <v>Aug</v>
      </c>
      <c r="P1331">
        <f>YEAR(Table1[[#This Row],[order_date]])</f>
        <v>2025</v>
      </c>
    </row>
    <row r="1332" spans="1:16" x14ac:dyDescent="0.3">
      <c r="A1332">
        <v>11331</v>
      </c>
      <c r="B1332" s="1">
        <v>45892</v>
      </c>
      <c r="C1332">
        <v>1880</v>
      </c>
      <c r="D1332" t="s">
        <v>22</v>
      </c>
      <c r="E1332" t="s">
        <v>13</v>
      </c>
      <c r="F1332">
        <v>3</v>
      </c>
      <c r="G1332">
        <v>455.64</v>
      </c>
      <c r="H1332">
        <v>0.02</v>
      </c>
      <c r="I1332" t="s">
        <v>18</v>
      </c>
      <c r="J1332">
        <v>4</v>
      </c>
      <c r="K1332">
        <v>1.1000000000000001</v>
      </c>
      <c r="L1332">
        <v>1339.58</v>
      </c>
      <c r="M1332">
        <f>(Table1[[#This Row],[unit_price]]*Table1[[#This Row],[quantity]])-(Table1[[#This Row],[unit_price]]*Table1[[#This Row],[discount]]*Table1[[#This Row],[quantity]])</f>
        <v>1339.5816</v>
      </c>
      <c r="N1332">
        <f>DAY(Table1[[#This Row],[order_date]])</f>
        <v>23</v>
      </c>
      <c r="O1332" t="str">
        <f>TEXT(Table1[[#This Row],[order_date]],"mmm")</f>
        <v>Aug</v>
      </c>
      <c r="P1332">
        <f>YEAR(Table1[[#This Row],[order_date]])</f>
        <v>2025</v>
      </c>
    </row>
    <row r="1333" spans="1:16" x14ac:dyDescent="0.3">
      <c r="A1333">
        <v>11332</v>
      </c>
      <c r="B1333" s="1">
        <v>45893</v>
      </c>
      <c r="C1333">
        <v>1605</v>
      </c>
      <c r="D1333" t="s">
        <v>15</v>
      </c>
      <c r="E1333" t="s">
        <v>20</v>
      </c>
      <c r="F1333">
        <v>5</v>
      </c>
      <c r="G1333">
        <v>263.83</v>
      </c>
      <c r="H1333">
        <v>0.33</v>
      </c>
      <c r="I1333" t="s">
        <v>16</v>
      </c>
      <c r="J1333">
        <v>7</v>
      </c>
      <c r="K1333">
        <v>2.6</v>
      </c>
      <c r="L1333">
        <v>883.83</v>
      </c>
      <c r="M1333">
        <f>(Table1[[#This Row],[unit_price]]*Table1[[#This Row],[quantity]])-(Table1[[#This Row],[unit_price]]*Table1[[#This Row],[discount]]*Table1[[#This Row],[quantity]])</f>
        <v>883.8304999999998</v>
      </c>
      <c r="N1333">
        <f>DAY(Table1[[#This Row],[order_date]])</f>
        <v>24</v>
      </c>
      <c r="O1333" t="str">
        <f>TEXT(Table1[[#This Row],[order_date]],"mmm")</f>
        <v>Aug</v>
      </c>
      <c r="P1333">
        <f>YEAR(Table1[[#This Row],[order_date]])</f>
        <v>2025</v>
      </c>
    </row>
    <row r="1334" spans="1:16" x14ac:dyDescent="0.3">
      <c r="A1334">
        <v>11333</v>
      </c>
      <c r="B1334" s="1">
        <v>45894</v>
      </c>
      <c r="C1334">
        <v>1503</v>
      </c>
      <c r="D1334" t="s">
        <v>15</v>
      </c>
      <c r="E1334" t="s">
        <v>20</v>
      </c>
      <c r="F1334">
        <v>5</v>
      </c>
      <c r="G1334">
        <v>597.4</v>
      </c>
      <c r="H1334">
        <v>0.21</v>
      </c>
      <c r="I1334" t="s">
        <v>18</v>
      </c>
      <c r="J1334">
        <v>5</v>
      </c>
      <c r="K1334">
        <v>4.4000000000000004</v>
      </c>
      <c r="L1334">
        <v>2359.73</v>
      </c>
      <c r="M1334">
        <f>(Table1[[#This Row],[unit_price]]*Table1[[#This Row],[quantity]])-(Table1[[#This Row],[unit_price]]*Table1[[#This Row],[discount]]*Table1[[#This Row],[quantity]])</f>
        <v>2359.73</v>
      </c>
      <c r="N1334">
        <f>DAY(Table1[[#This Row],[order_date]])</f>
        <v>25</v>
      </c>
      <c r="O1334" t="str">
        <f>TEXT(Table1[[#This Row],[order_date]],"mmm")</f>
        <v>Aug</v>
      </c>
      <c r="P1334">
        <f>YEAR(Table1[[#This Row],[order_date]])</f>
        <v>2025</v>
      </c>
    </row>
    <row r="1335" spans="1:16" x14ac:dyDescent="0.3">
      <c r="A1335">
        <v>11334</v>
      </c>
      <c r="B1335" s="1">
        <v>45895</v>
      </c>
      <c r="C1335">
        <v>1997</v>
      </c>
      <c r="D1335" t="s">
        <v>12</v>
      </c>
      <c r="E1335" t="s">
        <v>21</v>
      </c>
      <c r="F1335">
        <v>2</v>
      </c>
      <c r="G1335">
        <v>71.89</v>
      </c>
      <c r="H1335">
        <v>0.28000000000000003</v>
      </c>
      <c r="I1335" t="s">
        <v>18</v>
      </c>
      <c r="J1335">
        <v>7</v>
      </c>
      <c r="K1335">
        <v>2.7</v>
      </c>
      <c r="L1335">
        <v>103.52</v>
      </c>
      <c r="M1335">
        <f>(Table1[[#This Row],[unit_price]]*Table1[[#This Row],[quantity]])-(Table1[[#This Row],[unit_price]]*Table1[[#This Row],[discount]]*Table1[[#This Row],[quantity]])</f>
        <v>103.52160000000001</v>
      </c>
      <c r="N1335">
        <f>DAY(Table1[[#This Row],[order_date]])</f>
        <v>26</v>
      </c>
      <c r="O1335" t="str">
        <f>TEXT(Table1[[#This Row],[order_date]],"mmm")</f>
        <v>Aug</v>
      </c>
      <c r="P1335">
        <f>YEAR(Table1[[#This Row],[order_date]])</f>
        <v>2025</v>
      </c>
    </row>
    <row r="1336" spans="1:16" x14ac:dyDescent="0.3">
      <c r="A1336">
        <v>11335</v>
      </c>
      <c r="B1336" s="1">
        <v>45896</v>
      </c>
      <c r="C1336">
        <v>1946</v>
      </c>
      <c r="D1336" t="s">
        <v>19</v>
      </c>
      <c r="E1336" t="s">
        <v>17</v>
      </c>
      <c r="F1336">
        <v>6</v>
      </c>
      <c r="G1336">
        <v>515.54</v>
      </c>
      <c r="H1336">
        <v>0.14000000000000001</v>
      </c>
      <c r="I1336" t="s">
        <v>14</v>
      </c>
      <c r="J1336">
        <v>6</v>
      </c>
      <c r="K1336">
        <v>1</v>
      </c>
      <c r="L1336">
        <v>2660.19</v>
      </c>
      <c r="M1336">
        <f>(Table1[[#This Row],[unit_price]]*Table1[[#This Row],[quantity]])-(Table1[[#This Row],[unit_price]]*Table1[[#This Row],[discount]]*Table1[[#This Row],[quantity]])</f>
        <v>2660.1863999999996</v>
      </c>
      <c r="N1336">
        <f>DAY(Table1[[#This Row],[order_date]])</f>
        <v>27</v>
      </c>
      <c r="O1336" t="str">
        <f>TEXT(Table1[[#This Row],[order_date]],"mmm")</f>
        <v>Aug</v>
      </c>
      <c r="P1336">
        <f>YEAR(Table1[[#This Row],[order_date]])</f>
        <v>2025</v>
      </c>
    </row>
    <row r="1337" spans="1:16" x14ac:dyDescent="0.3">
      <c r="A1337">
        <v>11336</v>
      </c>
      <c r="B1337" s="1">
        <v>45897</v>
      </c>
      <c r="C1337">
        <v>1573</v>
      </c>
      <c r="D1337" t="s">
        <v>22</v>
      </c>
      <c r="E1337" t="s">
        <v>13</v>
      </c>
      <c r="F1337">
        <v>6</v>
      </c>
      <c r="G1337">
        <v>295.79000000000002</v>
      </c>
      <c r="H1337">
        <v>0.11</v>
      </c>
      <c r="I1337" t="s">
        <v>16</v>
      </c>
      <c r="J1337">
        <v>2</v>
      </c>
      <c r="K1337">
        <v>1.6</v>
      </c>
      <c r="L1337">
        <v>1579.52</v>
      </c>
      <c r="M1337">
        <f>(Table1[[#This Row],[unit_price]]*Table1[[#This Row],[quantity]])-(Table1[[#This Row],[unit_price]]*Table1[[#This Row],[discount]]*Table1[[#This Row],[quantity]])</f>
        <v>1579.5186000000003</v>
      </c>
      <c r="N1337">
        <f>DAY(Table1[[#This Row],[order_date]])</f>
        <v>28</v>
      </c>
      <c r="O1337" t="str">
        <f>TEXT(Table1[[#This Row],[order_date]],"mmm")</f>
        <v>Aug</v>
      </c>
      <c r="P1337">
        <f>YEAR(Table1[[#This Row],[order_date]])</f>
        <v>2025</v>
      </c>
    </row>
    <row r="1338" spans="1:16" x14ac:dyDescent="0.3">
      <c r="A1338">
        <v>11337</v>
      </c>
      <c r="B1338" s="1">
        <v>45898</v>
      </c>
      <c r="C1338">
        <v>1440</v>
      </c>
      <c r="D1338" t="s">
        <v>15</v>
      </c>
      <c r="E1338" t="s">
        <v>21</v>
      </c>
      <c r="F1338">
        <v>1</v>
      </c>
      <c r="G1338">
        <v>498.88</v>
      </c>
      <c r="H1338">
        <v>0.16</v>
      </c>
      <c r="I1338" t="s">
        <v>14</v>
      </c>
      <c r="J1338">
        <v>7</v>
      </c>
      <c r="K1338">
        <v>2.7</v>
      </c>
      <c r="L1338">
        <v>419.06</v>
      </c>
      <c r="M1338">
        <f>(Table1[[#This Row],[unit_price]]*Table1[[#This Row],[quantity]])-(Table1[[#This Row],[unit_price]]*Table1[[#This Row],[discount]]*Table1[[#This Row],[quantity]])</f>
        <v>419.05919999999998</v>
      </c>
      <c r="N1338">
        <f>DAY(Table1[[#This Row],[order_date]])</f>
        <v>29</v>
      </c>
      <c r="O1338" t="str">
        <f>TEXT(Table1[[#This Row],[order_date]],"mmm")</f>
        <v>Aug</v>
      </c>
      <c r="P1338">
        <f>YEAR(Table1[[#This Row],[order_date]])</f>
        <v>2025</v>
      </c>
    </row>
    <row r="1339" spans="1:16" x14ac:dyDescent="0.3">
      <c r="A1339">
        <v>11338</v>
      </c>
      <c r="B1339" s="1">
        <v>45899</v>
      </c>
      <c r="C1339">
        <v>1193</v>
      </c>
      <c r="D1339" t="s">
        <v>15</v>
      </c>
      <c r="E1339" t="s">
        <v>13</v>
      </c>
      <c r="F1339">
        <v>7</v>
      </c>
      <c r="G1339">
        <v>493.02</v>
      </c>
      <c r="H1339">
        <v>0.05</v>
      </c>
      <c r="I1339" t="s">
        <v>14</v>
      </c>
      <c r="J1339">
        <v>5</v>
      </c>
      <c r="K1339">
        <v>3.7</v>
      </c>
      <c r="L1339">
        <v>3278.58</v>
      </c>
      <c r="M1339">
        <f>(Table1[[#This Row],[unit_price]]*Table1[[#This Row],[quantity]])-(Table1[[#This Row],[unit_price]]*Table1[[#This Row],[discount]]*Table1[[#This Row],[quantity]])</f>
        <v>3278.5830000000001</v>
      </c>
      <c r="N1339">
        <f>DAY(Table1[[#This Row],[order_date]])</f>
        <v>30</v>
      </c>
      <c r="O1339" t="str">
        <f>TEXT(Table1[[#This Row],[order_date]],"mmm")</f>
        <v>Aug</v>
      </c>
      <c r="P1339">
        <f>YEAR(Table1[[#This Row],[order_date]])</f>
        <v>2025</v>
      </c>
    </row>
    <row r="1340" spans="1:16" x14ac:dyDescent="0.3">
      <c r="A1340">
        <v>11339</v>
      </c>
      <c r="B1340" s="1">
        <v>45900</v>
      </c>
      <c r="C1340">
        <v>1846</v>
      </c>
      <c r="D1340" t="s">
        <v>19</v>
      </c>
      <c r="E1340" t="s">
        <v>20</v>
      </c>
      <c r="F1340">
        <v>7</v>
      </c>
      <c r="G1340">
        <v>550.86</v>
      </c>
      <c r="H1340">
        <v>0.12</v>
      </c>
      <c r="I1340" t="s">
        <v>18</v>
      </c>
      <c r="J1340">
        <v>9</v>
      </c>
      <c r="K1340">
        <v>1.7</v>
      </c>
      <c r="L1340">
        <v>3393.3</v>
      </c>
      <c r="M1340">
        <f>(Table1[[#This Row],[unit_price]]*Table1[[#This Row],[quantity]])-(Table1[[#This Row],[unit_price]]*Table1[[#This Row],[discount]]*Table1[[#This Row],[quantity]])</f>
        <v>3393.2975999999999</v>
      </c>
      <c r="N1340">
        <f>DAY(Table1[[#This Row],[order_date]])</f>
        <v>31</v>
      </c>
      <c r="O1340" t="str">
        <f>TEXT(Table1[[#This Row],[order_date]],"mmm")</f>
        <v>Aug</v>
      </c>
      <c r="P1340">
        <f>YEAR(Table1[[#This Row],[order_date]])</f>
        <v>2025</v>
      </c>
    </row>
    <row r="1341" spans="1:16" x14ac:dyDescent="0.3">
      <c r="A1341">
        <v>11340</v>
      </c>
      <c r="B1341" s="1">
        <v>45901</v>
      </c>
      <c r="C1341">
        <v>1714</v>
      </c>
      <c r="D1341" t="s">
        <v>15</v>
      </c>
      <c r="E1341" t="s">
        <v>13</v>
      </c>
      <c r="F1341">
        <v>6</v>
      </c>
      <c r="G1341">
        <v>189.24</v>
      </c>
      <c r="H1341">
        <v>0.3</v>
      </c>
      <c r="I1341" t="s">
        <v>18</v>
      </c>
      <c r="J1341">
        <v>11</v>
      </c>
      <c r="K1341">
        <v>2.8</v>
      </c>
      <c r="L1341">
        <v>794.81</v>
      </c>
      <c r="M1341">
        <f>(Table1[[#This Row],[unit_price]]*Table1[[#This Row],[quantity]])-(Table1[[#This Row],[unit_price]]*Table1[[#This Row],[discount]]*Table1[[#This Row],[quantity]])</f>
        <v>794.80799999999999</v>
      </c>
      <c r="N1341">
        <f>DAY(Table1[[#This Row],[order_date]])</f>
        <v>1</v>
      </c>
      <c r="O1341" t="str">
        <f>TEXT(Table1[[#This Row],[order_date]],"mmm")</f>
        <v>Sep</v>
      </c>
      <c r="P1341">
        <f>YEAR(Table1[[#This Row],[order_date]])</f>
        <v>2025</v>
      </c>
    </row>
    <row r="1342" spans="1:16" x14ac:dyDescent="0.3">
      <c r="A1342">
        <v>11341</v>
      </c>
      <c r="B1342" s="1">
        <v>45902</v>
      </c>
      <c r="C1342">
        <v>1391</v>
      </c>
      <c r="D1342" t="s">
        <v>19</v>
      </c>
      <c r="E1342" t="s">
        <v>13</v>
      </c>
      <c r="F1342">
        <v>6</v>
      </c>
      <c r="G1342">
        <v>570.63</v>
      </c>
      <c r="H1342">
        <v>0.01</v>
      </c>
      <c r="I1342" t="s">
        <v>16</v>
      </c>
      <c r="J1342">
        <v>1</v>
      </c>
      <c r="K1342">
        <v>1.1000000000000001</v>
      </c>
      <c r="L1342">
        <v>3389.54</v>
      </c>
      <c r="M1342">
        <f>(Table1[[#This Row],[unit_price]]*Table1[[#This Row],[quantity]])-(Table1[[#This Row],[unit_price]]*Table1[[#This Row],[discount]]*Table1[[#This Row],[quantity]])</f>
        <v>3389.5421999999999</v>
      </c>
      <c r="N1342">
        <f>DAY(Table1[[#This Row],[order_date]])</f>
        <v>2</v>
      </c>
      <c r="O1342" t="str">
        <f>TEXT(Table1[[#This Row],[order_date]],"mmm")</f>
        <v>Sep</v>
      </c>
      <c r="P1342">
        <f>YEAR(Table1[[#This Row],[order_date]])</f>
        <v>2025</v>
      </c>
    </row>
    <row r="1343" spans="1:16" x14ac:dyDescent="0.3">
      <c r="A1343">
        <v>11342</v>
      </c>
      <c r="B1343" s="1">
        <v>45903</v>
      </c>
      <c r="C1343">
        <v>1025</v>
      </c>
      <c r="D1343" t="s">
        <v>19</v>
      </c>
      <c r="E1343" t="s">
        <v>17</v>
      </c>
      <c r="F1343">
        <v>5</v>
      </c>
      <c r="G1343">
        <v>103.73</v>
      </c>
      <c r="H1343">
        <v>0.05</v>
      </c>
      <c r="I1343" t="s">
        <v>14</v>
      </c>
      <c r="J1343">
        <v>1</v>
      </c>
      <c r="K1343">
        <v>2.9</v>
      </c>
      <c r="L1343">
        <v>492.72</v>
      </c>
      <c r="M1343">
        <f>(Table1[[#This Row],[unit_price]]*Table1[[#This Row],[quantity]])-(Table1[[#This Row],[unit_price]]*Table1[[#This Row],[discount]]*Table1[[#This Row],[quantity]])</f>
        <v>492.71749999999997</v>
      </c>
      <c r="N1343">
        <f>DAY(Table1[[#This Row],[order_date]])</f>
        <v>3</v>
      </c>
      <c r="O1343" t="str">
        <f>TEXT(Table1[[#This Row],[order_date]],"mmm")</f>
        <v>Sep</v>
      </c>
      <c r="P1343">
        <f>YEAR(Table1[[#This Row],[order_date]])</f>
        <v>2025</v>
      </c>
    </row>
    <row r="1344" spans="1:16" x14ac:dyDescent="0.3">
      <c r="A1344">
        <v>11343</v>
      </c>
      <c r="B1344" s="1">
        <v>45904</v>
      </c>
      <c r="C1344">
        <v>1434</v>
      </c>
      <c r="D1344" t="s">
        <v>19</v>
      </c>
      <c r="E1344" t="s">
        <v>21</v>
      </c>
      <c r="F1344">
        <v>7</v>
      </c>
      <c r="G1344">
        <v>62.95</v>
      </c>
      <c r="H1344">
        <v>0.04</v>
      </c>
      <c r="I1344" t="s">
        <v>16</v>
      </c>
      <c r="J1344">
        <v>2</v>
      </c>
      <c r="K1344">
        <v>4.5999999999999996</v>
      </c>
      <c r="L1344">
        <v>423.02</v>
      </c>
      <c r="M1344">
        <f>(Table1[[#This Row],[unit_price]]*Table1[[#This Row],[quantity]])-(Table1[[#This Row],[unit_price]]*Table1[[#This Row],[discount]]*Table1[[#This Row],[quantity]])</f>
        <v>423.02400000000006</v>
      </c>
      <c r="N1344">
        <f>DAY(Table1[[#This Row],[order_date]])</f>
        <v>4</v>
      </c>
      <c r="O1344" t="str">
        <f>TEXT(Table1[[#This Row],[order_date]],"mmm")</f>
        <v>Sep</v>
      </c>
      <c r="P1344">
        <f>YEAR(Table1[[#This Row],[order_date]])</f>
        <v>2025</v>
      </c>
    </row>
    <row r="1345" spans="1:16" x14ac:dyDescent="0.3">
      <c r="A1345">
        <v>11344</v>
      </c>
      <c r="B1345" s="1">
        <v>45905</v>
      </c>
      <c r="C1345">
        <v>1172</v>
      </c>
      <c r="D1345" t="s">
        <v>19</v>
      </c>
      <c r="E1345" t="s">
        <v>13</v>
      </c>
      <c r="F1345">
        <v>4</v>
      </c>
      <c r="G1345">
        <v>267.5</v>
      </c>
      <c r="H1345">
        <v>0.14000000000000001</v>
      </c>
      <c r="I1345" t="s">
        <v>18</v>
      </c>
      <c r="J1345">
        <v>8</v>
      </c>
      <c r="K1345">
        <v>3.4</v>
      </c>
      <c r="L1345">
        <v>920.2</v>
      </c>
      <c r="M1345">
        <f>(Table1[[#This Row],[unit_price]]*Table1[[#This Row],[quantity]])-(Table1[[#This Row],[unit_price]]*Table1[[#This Row],[discount]]*Table1[[#This Row],[quantity]])</f>
        <v>920.2</v>
      </c>
      <c r="N1345">
        <f>DAY(Table1[[#This Row],[order_date]])</f>
        <v>5</v>
      </c>
      <c r="O1345" t="str">
        <f>TEXT(Table1[[#This Row],[order_date]],"mmm")</f>
        <v>Sep</v>
      </c>
      <c r="P1345">
        <f>YEAR(Table1[[#This Row],[order_date]])</f>
        <v>2025</v>
      </c>
    </row>
    <row r="1346" spans="1:16" x14ac:dyDescent="0.3">
      <c r="A1346">
        <v>11345</v>
      </c>
      <c r="B1346" s="1">
        <v>45906</v>
      </c>
      <c r="C1346">
        <v>1299</v>
      </c>
      <c r="D1346" t="s">
        <v>12</v>
      </c>
      <c r="E1346" t="s">
        <v>13</v>
      </c>
      <c r="F1346">
        <v>2</v>
      </c>
      <c r="G1346">
        <v>499.57</v>
      </c>
      <c r="H1346">
        <v>0.35</v>
      </c>
      <c r="I1346" t="s">
        <v>16</v>
      </c>
      <c r="J1346">
        <v>11</v>
      </c>
      <c r="K1346">
        <v>2.8</v>
      </c>
      <c r="L1346">
        <v>649.44000000000005</v>
      </c>
      <c r="M1346">
        <f>(Table1[[#This Row],[unit_price]]*Table1[[#This Row],[quantity]])-(Table1[[#This Row],[unit_price]]*Table1[[#This Row],[discount]]*Table1[[#This Row],[quantity]])</f>
        <v>649.44100000000003</v>
      </c>
      <c r="N1346">
        <f>DAY(Table1[[#This Row],[order_date]])</f>
        <v>6</v>
      </c>
      <c r="O1346" t="str">
        <f>TEXT(Table1[[#This Row],[order_date]],"mmm")</f>
        <v>Sep</v>
      </c>
      <c r="P1346">
        <f>YEAR(Table1[[#This Row],[order_date]])</f>
        <v>2025</v>
      </c>
    </row>
    <row r="1347" spans="1:16" x14ac:dyDescent="0.3">
      <c r="A1347">
        <v>11346</v>
      </c>
      <c r="B1347" s="1">
        <v>45907</v>
      </c>
      <c r="C1347">
        <v>1644</v>
      </c>
      <c r="D1347" t="s">
        <v>12</v>
      </c>
      <c r="E1347" t="s">
        <v>20</v>
      </c>
      <c r="F1347">
        <v>1</v>
      </c>
      <c r="G1347">
        <v>291.95</v>
      </c>
      <c r="H1347">
        <v>0.06</v>
      </c>
      <c r="I1347" t="s">
        <v>16</v>
      </c>
      <c r="J1347">
        <v>9</v>
      </c>
      <c r="K1347">
        <v>1.6</v>
      </c>
      <c r="L1347">
        <v>274.43</v>
      </c>
      <c r="M1347">
        <f>(Table1[[#This Row],[unit_price]]*Table1[[#This Row],[quantity]])-(Table1[[#This Row],[unit_price]]*Table1[[#This Row],[discount]]*Table1[[#This Row],[quantity]])</f>
        <v>274.43299999999999</v>
      </c>
      <c r="N1347">
        <f>DAY(Table1[[#This Row],[order_date]])</f>
        <v>7</v>
      </c>
      <c r="O1347" t="str">
        <f>TEXT(Table1[[#This Row],[order_date]],"mmm")</f>
        <v>Sep</v>
      </c>
      <c r="P1347">
        <f>YEAR(Table1[[#This Row],[order_date]])</f>
        <v>2025</v>
      </c>
    </row>
    <row r="1348" spans="1:16" x14ac:dyDescent="0.3">
      <c r="A1348">
        <v>11347</v>
      </c>
      <c r="B1348" s="1">
        <v>45908</v>
      </c>
      <c r="C1348">
        <v>1325</v>
      </c>
      <c r="D1348" t="s">
        <v>15</v>
      </c>
      <c r="E1348" t="s">
        <v>20</v>
      </c>
      <c r="F1348">
        <v>2</v>
      </c>
      <c r="G1348">
        <v>500.13</v>
      </c>
      <c r="H1348">
        <v>0.05</v>
      </c>
      <c r="I1348" t="s">
        <v>18</v>
      </c>
      <c r="J1348">
        <v>11</v>
      </c>
      <c r="K1348">
        <v>1.8</v>
      </c>
      <c r="L1348">
        <v>950.25</v>
      </c>
      <c r="M1348">
        <f>(Table1[[#This Row],[unit_price]]*Table1[[#This Row],[quantity]])-(Table1[[#This Row],[unit_price]]*Table1[[#This Row],[discount]]*Table1[[#This Row],[quantity]])</f>
        <v>950.24699999999996</v>
      </c>
      <c r="N1348">
        <f>DAY(Table1[[#This Row],[order_date]])</f>
        <v>8</v>
      </c>
      <c r="O1348" t="str">
        <f>TEXT(Table1[[#This Row],[order_date]],"mmm")</f>
        <v>Sep</v>
      </c>
      <c r="P1348">
        <f>YEAR(Table1[[#This Row],[order_date]])</f>
        <v>2025</v>
      </c>
    </row>
    <row r="1349" spans="1:16" x14ac:dyDescent="0.3">
      <c r="A1349">
        <v>11348</v>
      </c>
      <c r="B1349" s="1">
        <v>45909</v>
      </c>
      <c r="C1349">
        <v>1409</v>
      </c>
      <c r="D1349" t="s">
        <v>22</v>
      </c>
      <c r="E1349" t="s">
        <v>13</v>
      </c>
      <c r="F1349">
        <v>1</v>
      </c>
      <c r="G1349">
        <v>441.87</v>
      </c>
      <c r="H1349">
        <v>0.32</v>
      </c>
      <c r="I1349" t="s">
        <v>14</v>
      </c>
      <c r="J1349">
        <v>11</v>
      </c>
      <c r="K1349">
        <v>1.3</v>
      </c>
      <c r="L1349">
        <v>300.47000000000003</v>
      </c>
      <c r="M1349">
        <f>(Table1[[#This Row],[unit_price]]*Table1[[#This Row],[quantity]])-(Table1[[#This Row],[unit_price]]*Table1[[#This Row],[discount]]*Table1[[#This Row],[quantity]])</f>
        <v>300.47159999999997</v>
      </c>
      <c r="N1349">
        <f>DAY(Table1[[#This Row],[order_date]])</f>
        <v>9</v>
      </c>
      <c r="O1349" t="str">
        <f>TEXT(Table1[[#This Row],[order_date]],"mmm")</f>
        <v>Sep</v>
      </c>
      <c r="P1349">
        <f>YEAR(Table1[[#This Row],[order_date]])</f>
        <v>2025</v>
      </c>
    </row>
    <row r="1350" spans="1:16" x14ac:dyDescent="0.3">
      <c r="A1350">
        <v>11349</v>
      </c>
      <c r="B1350" s="1">
        <v>45910</v>
      </c>
      <c r="C1350">
        <v>1117</v>
      </c>
      <c r="D1350" t="s">
        <v>19</v>
      </c>
      <c r="E1350" t="s">
        <v>21</v>
      </c>
      <c r="F1350">
        <v>3</v>
      </c>
      <c r="G1350">
        <v>137.52000000000001</v>
      </c>
      <c r="H1350">
        <v>0.31</v>
      </c>
      <c r="I1350" t="s">
        <v>18</v>
      </c>
      <c r="J1350">
        <v>7</v>
      </c>
      <c r="K1350">
        <v>4</v>
      </c>
      <c r="L1350">
        <v>284.67</v>
      </c>
      <c r="M1350">
        <f>(Table1[[#This Row],[unit_price]]*Table1[[#This Row],[quantity]])-(Table1[[#This Row],[unit_price]]*Table1[[#This Row],[discount]]*Table1[[#This Row],[quantity]])</f>
        <v>284.66640000000007</v>
      </c>
      <c r="N1350">
        <f>DAY(Table1[[#This Row],[order_date]])</f>
        <v>10</v>
      </c>
      <c r="O1350" t="str">
        <f>TEXT(Table1[[#This Row],[order_date]],"mmm")</f>
        <v>Sep</v>
      </c>
      <c r="P1350">
        <f>YEAR(Table1[[#This Row],[order_date]])</f>
        <v>2025</v>
      </c>
    </row>
    <row r="1351" spans="1:16" x14ac:dyDescent="0.3">
      <c r="A1351">
        <v>11350</v>
      </c>
      <c r="B1351" s="1">
        <v>45911</v>
      </c>
      <c r="C1351">
        <v>1835</v>
      </c>
      <c r="D1351" t="s">
        <v>22</v>
      </c>
      <c r="E1351" t="s">
        <v>13</v>
      </c>
      <c r="F1351">
        <v>5</v>
      </c>
      <c r="G1351">
        <v>570.1</v>
      </c>
      <c r="H1351">
        <v>0.01</v>
      </c>
      <c r="I1351" t="s">
        <v>14</v>
      </c>
      <c r="J1351">
        <v>1</v>
      </c>
      <c r="K1351">
        <v>1.3</v>
      </c>
      <c r="L1351">
        <v>2822</v>
      </c>
      <c r="M1351">
        <f>(Table1[[#This Row],[unit_price]]*Table1[[#This Row],[quantity]])-(Table1[[#This Row],[unit_price]]*Table1[[#This Row],[discount]]*Table1[[#This Row],[quantity]])</f>
        <v>2821.9949999999999</v>
      </c>
      <c r="N1351">
        <f>DAY(Table1[[#This Row],[order_date]])</f>
        <v>11</v>
      </c>
      <c r="O1351" t="str">
        <f>TEXT(Table1[[#This Row],[order_date]],"mmm")</f>
        <v>Sep</v>
      </c>
      <c r="P1351">
        <f>YEAR(Table1[[#This Row],[order_date]])</f>
        <v>2025</v>
      </c>
    </row>
    <row r="1352" spans="1:16" x14ac:dyDescent="0.3">
      <c r="A1352">
        <v>11351</v>
      </c>
      <c r="B1352" s="1">
        <v>45912</v>
      </c>
      <c r="C1352">
        <v>1786</v>
      </c>
      <c r="D1352" t="s">
        <v>22</v>
      </c>
      <c r="E1352" t="s">
        <v>13</v>
      </c>
      <c r="F1352">
        <v>6</v>
      </c>
      <c r="G1352">
        <v>50.56</v>
      </c>
      <c r="H1352">
        <v>0.26</v>
      </c>
      <c r="I1352" t="s">
        <v>18</v>
      </c>
      <c r="J1352">
        <v>7</v>
      </c>
      <c r="K1352">
        <v>2.5</v>
      </c>
      <c r="L1352">
        <v>224.49</v>
      </c>
      <c r="M1352">
        <f>(Table1[[#This Row],[unit_price]]*Table1[[#This Row],[quantity]])-(Table1[[#This Row],[unit_price]]*Table1[[#This Row],[discount]]*Table1[[#This Row],[quantity]])</f>
        <v>224.4864</v>
      </c>
      <c r="N1352">
        <f>DAY(Table1[[#This Row],[order_date]])</f>
        <v>12</v>
      </c>
      <c r="O1352" t="str">
        <f>TEXT(Table1[[#This Row],[order_date]],"mmm")</f>
        <v>Sep</v>
      </c>
      <c r="P1352">
        <f>YEAR(Table1[[#This Row],[order_date]])</f>
        <v>2025</v>
      </c>
    </row>
    <row r="1353" spans="1:16" x14ac:dyDescent="0.3">
      <c r="A1353">
        <v>11352</v>
      </c>
      <c r="B1353" s="1">
        <v>45913</v>
      </c>
      <c r="C1353">
        <v>1723</v>
      </c>
      <c r="D1353" t="s">
        <v>12</v>
      </c>
      <c r="E1353" t="s">
        <v>17</v>
      </c>
      <c r="F1353">
        <v>6</v>
      </c>
      <c r="G1353">
        <v>540.49</v>
      </c>
      <c r="H1353">
        <v>0.23</v>
      </c>
      <c r="I1353" t="s">
        <v>16</v>
      </c>
      <c r="J1353">
        <v>8</v>
      </c>
      <c r="K1353">
        <v>4</v>
      </c>
      <c r="L1353">
        <v>2497.06</v>
      </c>
      <c r="M1353">
        <f>(Table1[[#This Row],[unit_price]]*Table1[[#This Row],[quantity]])-(Table1[[#This Row],[unit_price]]*Table1[[#This Row],[discount]]*Table1[[#This Row],[quantity]])</f>
        <v>2497.0637999999999</v>
      </c>
      <c r="N1353">
        <f>DAY(Table1[[#This Row],[order_date]])</f>
        <v>13</v>
      </c>
      <c r="O1353" t="str">
        <f>TEXT(Table1[[#This Row],[order_date]],"mmm")</f>
        <v>Sep</v>
      </c>
      <c r="P1353">
        <f>YEAR(Table1[[#This Row],[order_date]])</f>
        <v>2025</v>
      </c>
    </row>
    <row r="1354" spans="1:16" x14ac:dyDescent="0.3">
      <c r="A1354">
        <v>11353</v>
      </c>
      <c r="B1354" s="1">
        <v>45914</v>
      </c>
      <c r="C1354">
        <v>1224</v>
      </c>
      <c r="D1354" t="s">
        <v>15</v>
      </c>
      <c r="E1354" t="s">
        <v>21</v>
      </c>
      <c r="F1354">
        <v>4</v>
      </c>
      <c r="G1354">
        <v>193.1</v>
      </c>
      <c r="H1354">
        <v>0.27</v>
      </c>
      <c r="I1354" t="s">
        <v>16</v>
      </c>
      <c r="J1354">
        <v>7</v>
      </c>
      <c r="K1354">
        <v>3.9</v>
      </c>
      <c r="L1354">
        <v>563.85</v>
      </c>
      <c r="M1354">
        <f>(Table1[[#This Row],[unit_price]]*Table1[[#This Row],[quantity]])-(Table1[[#This Row],[unit_price]]*Table1[[#This Row],[discount]]*Table1[[#This Row],[quantity]])</f>
        <v>563.85199999999998</v>
      </c>
      <c r="N1354">
        <f>DAY(Table1[[#This Row],[order_date]])</f>
        <v>14</v>
      </c>
      <c r="O1354" t="str">
        <f>TEXT(Table1[[#This Row],[order_date]],"mmm")</f>
        <v>Sep</v>
      </c>
      <c r="P1354">
        <f>YEAR(Table1[[#This Row],[order_date]])</f>
        <v>2025</v>
      </c>
    </row>
    <row r="1355" spans="1:16" x14ac:dyDescent="0.3">
      <c r="A1355">
        <v>11354</v>
      </c>
      <c r="B1355" s="1">
        <v>45915</v>
      </c>
      <c r="C1355">
        <v>1531</v>
      </c>
      <c r="D1355" t="s">
        <v>22</v>
      </c>
      <c r="E1355" t="s">
        <v>17</v>
      </c>
      <c r="F1355">
        <v>7</v>
      </c>
      <c r="G1355">
        <v>307.58999999999997</v>
      </c>
      <c r="H1355">
        <v>0.17</v>
      </c>
      <c r="I1355" t="s">
        <v>18</v>
      </c>
      <c r="J1355">
        <v>5</v>
      </c>
      <c r="K1355">
        <v>3.3</v>
      </c>
      <c r="L1355">
        <v>1787.1</v>
      </c>
      <c r="M1355">
        <f>(Table1[[#This Row],[unit_price]]*Table1[[#This Row],[quantity]])-(Table1[[#This Row],[unit_price]]*Table1[[#This Row],[discount]]*Table1[[#This Row],[quantity]])</f>
        <v>1787.0978999999998</v>
      </c>
      <c r="N1355">
        <f>DAY(Table1[[#This Row],[order_date]])</f>
        <v>15</v>
      </c>
      <c r="O1355" t="str">
        <f>TEXT(Table1[[#This Row],[order_date]],"mmm")</f>
        <v>Sep</v>
      </c>
      <c r="P1355">
        <f>YEAR(Table1[[#This Row],[order_date]])</f>
        <v>2025</v>
      </c>
    </row>
    <row r="1356" spans="1:16" x14ac:dyDescent="0.3">
      <c r="A1356">
        <v>11355</v>
      </c>
      <c r="B1356" s="1">
        <v>45916</v>
      </c>
      <c r="C1356">
        <v>1112</v>
      </c>
      <c r="D1356" t="s">
        <v>19</v>
      </c>
      <c r="E1356" t="s">
        <v>21</v>
      </c>
      <c r="F1356">
        <v>7</v>
      </c>
      <c r="G1356">
        <v>262.08</v>
      </c>
      <c r="H1356">
        <v>0.35</v>
      </c>
      <c r="I1356" t="s">
        <v>16</v>
      </c>
      <c r="J1356">
        <v>7</v>
      </c>
      <c r="K1356">
        <v>3.3</v>
      </c>
      <c r="L1356">
        <v>1192.46</v>
      </c>
      <c r="M1356">
        <f>(Table1[[#This Row],[unit_price]]*Table1[[#This Row],[quantity]])-(Table1[[#This Row],[unit_price]]*Table1[[#This Row],[discount]]*Table1[[#This Row],[quantity]])</f>
        <v>1192.4639999999999</v>
      </c>
      <c r="N1356">
        <f>DAY(Table1[[#This Row],[order_date]])</f>
        <v>16</v>
      </c>
      <c r="O1356" t="str">
        <f>TEXT(Table1[[#This Row],[order_date]],"mmm")</f>
        <v>Sep</v>
      </c>
      <c r="P1356">
        <f>YEAR(Table1[[#This Row],[order_date]])</f>
        <v>2025</v>
      </c>
    </row>
    <row r="1357" spans="1:16" x14ac:dyDescent="0.3">
      <c r="A1357">
        <v>11356</v>
      </c>
      <c r="B1357" s="1">
        <v>45917</v>
      </c>
      <c r="C1357">
        <v>1139</v>
      </c>
      <c r="D1357" t="s">
        <v>12</v>
      </c>
      <c r="E1357" t="s">
        <v>21</v>
      </c>
      <c r="F1357">
        <v>2</v>
      </c>
      <c r="G1357">
        <v>115.52</v>
      </c>
      <c r="H1357">
        <v>0.02</v>
      </c>
      <c r="I1357" t="s">
        <v>18</v>
      </c>
      <c r="J1357">
        <v>10</v>
      </c>
      <c r="K1357">
        <v>1.4</v>
      </c>
      <c r="L1357">
        <v>226.42</v>
      </c>
      <c r="M1357">
        <f>(Table1[[#This Row],[unit_price]]*Table1[[#This Row],[quantity]])-(Table1[[#This Row],[unit_price]]*Table1[[#This Row],[discount]]*Table1[[#This Row],[quantity]])</f>
        <v>226.41919999999999</v>
      </c>
      <c r="N1357">
        <f>DAY(Table1[[#This Row],[order_date]])</f>
        <v>17</v>
      </c>
      <c r="O1357" t="str">
        <f>TEXT(Table1[[#This Row],[order_date]],"mmm")</f>
        <v>Sep</v>
      </c>
      <c r="P1357">
        <f>YEAR(Table1[[#This Row],[order_date]])</f>
        <v>2025</v>
      </c>
    </row>
    <row r="1358" spans="1:16" x14ac:dyDescent="0.3">
      <c r="A1358">
        <v>11357</v>
      </c>
      <c r="B1358" s="1">
        <v>45918</v>
      </c>
      <c r="C1358">
        <v>1558</v>
      </c>
      <c r="D1358" t="s">
        <v>19</v>
      </c>
      <c r="E1358" t="s">
        <v>21</v>
      </c>
      <c r="F1358">
        <v>2</v>
      </c>
      <c r="G1358">
        <v>224.52</v>
      </c>
      <c r="H1358">
        <v>0.08</v>
      </c>
      <c r="I1358" t="s">
        <v>16</v>
      </c>
      <c r="J1358">
        <v>11</v>
      </c>
      <c r="K1358">
        <v>1.7</v>
      </c>
      <c r="L1358">
        <v>413.12</v>
      </c>
      <c r="M1358">
        <f>(Table1[[#This Row],[unit_price]]*Table1[[#This Row],[quantity]])-(Table1[[#This Row],[unit_price]]*Table1[[#This Row],[discount]]*Table1[[#This Row],[quantity]])</f>
        <v>413.11680000000001</v>
      </c>
      <c r="N1358">
        <f>DAY(Table1[[#This Row],[order_date]])</f>
        <v>18</v>
      </c>
      <c r="O1358" t="str">
        <f>TEXT(Table1[[#This Row],[order_date]],"mmm")</f>
        <v>Sep</v>
      </c>
      <c r="P1358">
        <f>YEAR(Table1[[#This Row],[order_date]])</f>
        <v>2025</v>
      </c>
    </row>
    <row r="1359" spans="1:16" x14ac:dyDescent="0.3">
      <c r="A1359">
        <v>11358</v>
      </c>
      <c r="B1359" s="1">
        <v>45919</v>
      </c>
      <c r="C1359">
        <v>1000</v>
      </c>
      <c r="D1359" t="s">
        <v>15</v>
      </c>
      <c r="E1359" t="s">
        <v>17</v>
      </c>
      <c r="F1359">
        <v>2</v>
      </c>
      <c r="G1359">
        <v>127.87</v>
      </c>
      <c r="H1359">
        <v>0.14000000000000001</v>
      </c>
      <c r="I1359" t="s">
        <v>16</v>
      </c>
      <c r="J1359">
        <v>2</v>
      </c>
      <c r="K1359">
        <v>3.1</v>
      </c>
      <c r="L1359">
        <v>219.94</v>
      </c>
      <c r="M1359">
        <f>(Table1[[#This Row],[unit_price]]*Table1[[#This Row],[quantity]])-(Table1[[#This Row],[unit_price]]*Table1[[#This Row],[discount]]*Table1[[#This Row],[quantity]])</f>
        <v>219.93639999999999</v>
      </c>
      <c r="N1359">
        <f>DAY(Table1[[#This Row],[order_date]])</f>
        <v>19</v>
      </c>
      <c r="O1359" t="str">
        <f>TEXT(Table1[[#This Row],[order_date]],"mmm")</f>
        <v>Sep</v>
      </c>
      <c r="P1359">
        <f>YEAR(Table1[[#This Row],[order_date]])</f>
        <v>2025</v>
      </c>
    </row>
    <row r="1360" spans="1:16" x14ac:dyDescent="0.3">
      <c r="A1360">
        <v>11359</v>
      </c>
      <c r="B1360" s="1">
        <v>45920</v>
      </c>
      <c r="C1360">
        <v>1089</v>
      </c>
      <c r="D1360" t="s">
        <v>22</v>
      </c>
      <c r="E1360" t="s">
        <v>17</v>
      </c>
      <c r="F1360">
        <v>7</v>
      </c>
      <c r="G1360">
        <v>134.27000000000001</v>
      </c>
      <c r="H1360">
        <v>0.16</v>
      </c>
      <c r="I1360" t="s">
        <v>18</v>
      </c>
      <c r="J1360">
        <v>9</v>
      </c>
      <c r="K1360">
        <v>2.4</v>
      </c>
      <c r="L1360">
        <v>789.51</v>
      </c>
      <c r="M1360">
        <f>(Table1[[#This Row],[unit_price]]*Table1[[#This Row],[quantity]])-(Table1[[#This Row],[unit_price]]*Table1[[#This Row],[discount]]*Table1[[#This Row],[quantity]])</f>
        <v>789.50760000000014</v>
      </c>
      <c r="N1360">
        <f>DAY(Table1[[#This Row],[order_date]])</f>
        <v>20</v>
      </c>
      <c r="O1360" t="str">
        <f>TEXT(Table1[[#This Row],[order_date]],"mmm")</f>
        <v>Sep</v>
      </c>
      <c r="P1360">
        <f>YEAR(Table1[[#This Row],[order_date]])</f>
        <v>2025</v>
      </c>
    </row>
    <row r="1361" spans="1:16" x14ac:dyDescent="0.3">
      <c r="A1361">
        <v>11360</v>
      </c>
      <c r="B1361" s="1">
        <v>45921</v>
      </c>
      <c r="C1361">
        <v>1653</v>
      </c>
      <c r="D1361" t="s">
        <v>22</v>
      </c>
      <c r="E1361" t="s">
        <v>17</v>
      </c>
      <c r="F1361">
        <v>6</v>
      </c>
      <c r="G1361">
        <v>124.43</v>
      </c>
      <c r="H1361">
        <v>0.32</v>
      </c>
      <c r="I1361" t="s">
        <v>18</v>
      </c>
      <c r="J1361">
        <v>2</v>
      </c>
      <c r="K1361">
        <v>1.1000000000000001</v>
      </c>
      <c r="L1361">
        <v>507.67</v>
      </c>
      <c r="M1361">
        <f>(Table1[[#This Row],[unit_price]]*Table1[[#This Row],[quantity]])-(Table1[[#This Row],[unit_price]]*Table1[[#This Row],[discount]]*Table1[[#This Row],[quantity]])</f>
        <v>507.67439999999999</v>
      </c>
      <c r="N1361">
        <f>DAY(Table1[[#This Row],[order_date]])</f>
        <v>21</v>
      </c>
      <c r="O1361" t="str">
        <f>TEXT(Table1[[#This Row],[order_date]],"mmm")</f>
        <v>Sep</v>
      </c>
      <c r="P1361">
        <f>YEAR(Table1[[#This Row],[order_date]])</f>
        <v>2025</v>
      </c>
    </row>
    <row r="1362" spans="1:16" x14ac:dyDescent="0.3">
      <c r="A1362">
        <v>11361</v>
      </c>
      <c r="B1362" s="1">
        <v>45922</v>
      </c>
      <c r="C1362">
        <v>1319</v>
      </c>
      <c r="D1362" t="s">
        <v>19</v>
      </c>
      <c r="E1362" t="s">
        <v>20</v>
      </c>
      <c r="F1362">
        <v>7</v>
      </c>
      <c r="G1362">
        <v>301.08</v>
      </c>
      <c r="H1362">
        <v>0.2</v>
      </c>
      <c r="I1362" t="s">
        <v>16</v>
      </c>
      <c r="J1362">
        <v>2</v>
      </c>
      <c r="K1362">
        <v>4.2</v>
      </c>
      <c r="L1362">
        <v>1686.05</v>
      </c>
      <c r="M1362">
        <f>(Table1[[#This Row],[unit_price]]*Table1[[#This Row],[quantity]])-(Table1[[#This Row],[unit_price]]*Table1[[#This Row],[discount]]*Table1[[#This Row],[quantity]])</f>
        <v>1686.048</v>
      </c>
      <c r="N1362">
        <f>DAY(Table1[[#This Row],[order_date]])</f>
        <v>22</v>
      </c>
      <c r="O1362" t="str">
        <f>TEXT(Table1[[#This Row],[order_date]],"mmm")</f>
        <v>Sep</v>
      </c>
      <c r="P1362">
        <f>YEAR(Table1[[#This Row],[order_date]])</f>
        <v>2025</v>
      </c>
    </row>
    <row r="1363" spans="1:16" x14ac:dyDescent="0.3">
      <c r="A1363">
        <v>11362</v>
      </c>
      <c r="B1363" s="1">
        <v>45923</v>
      </c>
      <c r="C1363">
        <v>1549</v>
      </c>
      <c r="D1363" t="s">
        <v>12</v>
      </c>
      <c r="E1363" t="s">
        <v>17</v>
      </c>
      <c r="F1363">
        <v>2</v>
      </c>
      <c r="G1363">
        <v>481.79</v>
      </c>
      <c r="H1363">
        <v>0.02</v>
      </c>
      <c r="I1363" t="s">
        <v>16</v>
      </c>
      <c r="J1363">
        <v>5</v>
      </c>
      <c r="K1363">
        <v>3.6</v>
      </c>
      <c r="L1363">
        <v>944.31</v>
      </c>
      <c r="M1363">
        <f>(Table1[[#This Row],[unit_price]]*Table1[[#This Row],[quantity]])-(Table1[[#This Row],[unit_price]]*Table1[[#This Row],[discount]]*Table1[[#This Row],[quantity]])</f>
        <v>944.30840000000001</v>
      </c>
      <c r="N1363">
        <f>DAY(Table1[[#This Row],[order_date]])</f>
        <v>23</v>
      </c>
      <c r="O1363" t="str">
        <f>TEXT(Table1[[#This Row],[order_date]],"mmm")</f>
        <v>Sep</v>
      </c>
      <c r="P1363">
        <f>YEAR(Table1[[#This Row],[order_date]])</f>
        <v>2025</v>
      </c>
    </row>
    <row r="1364" spans="1:16" x14ac:dyDescent="0.3">
      <c r="A1364">
        <v>11363</v>
      </c>
      <c r="B1364" s="1">
        <v>45924</v>
      </c>
      <c r="C1364">
        <v>1804</v>
      </c>
      <c r="D1364" t="s">
        <v>19</v>
      </c>
      <c r="E1364" t="s">
        <v>20</v>
      </c>
      <c r="F1364">
        <v>5</v>
      </c>
      <c r="G1364">
        <v>347.85</v>
      </c>
      <c r="H1364">
        <v>0.14000000000000001</v>
      </c>
      <c r="I1364" t="s">
        <v>16</v>
      </c>
      <c r="J1364">
        <v>8</v>
      </c>
      <c r="K1364">
        <v>2.2999999999999998</v>
      </c>
      <c r="L1364">
        <v>1495.76</v>
      </c>
      <c r="M1364">
        <f>(Table1[[#This Row],[unit_price]]*Table1[[#This Row],[quantity]])-(Table1[[#This Row],[unit_price]]*Table1[[#This Row],[discount]]*Table1[[#This Row],[quantity]])</f>
        <v>1495.7549999999999</v>
      </c>
      <c r="N1364">
        <f>DAY(Table1[[#This Row],[order_date]])</f>
        <v>24</v>
      </c>
      <c r="O1364" t="str">
        <f>TEXT(Table1[[#This Row],[order_date]],"mmm")</f>
        <v>Sep</v>
      </c>
      <c r="P1364">
        <f>YEAR(Table1[[#This Row],[order_date]])</f>
        <v>2025</v>
      </c>
    </row>
    <row r="1365" spans="1:16" x14ac:dyDescent="0.3">
      <c r="A1365">
        <v>11364</v>
      </c>
      <c r="B1365" s="1">
        <v>45925</v>
      </c>
      <c r="C1365">
        <v>1893</v>
      </c>
      <c r="D1365" t="s">
        <v>15</v>
      </c>
      <c r="E1365" t="s">
        <v>20</v>
      </c>
      <c r="F1365">
        <v>1</v>
      </c>
      <c r="G1365">
        <v>537.53</v>
      </c>
      <c r="H1365">
        <v>0.15</v>
      </c>
      <c r="I1365" t="s">
        <v>16</v>
      </c>
      <c r="J1365">
        <v>6</v>
      </c>
      <c r="K1365">
        <v>1.4</v>
      </c>
      <c r="L1365">
        <v>456.9</v>
      </c>
      <c r="M1365">
        <f>(Table1[[#This Row],[unit_price]]*Table1[[#This Row],[quantity]])-(Table1[[#This Row],[unit_price]]*Table1[[#This Row],[discount]]*Table1[[#This Row],[quantity]])</f>
        <v>456.90049999999997</v>
      </c>
      <c r="N1365">
        <f>DAY(Table1[[#This Row],[order_date]])</f>
        <v>25</v>
      </c>
      <c r="O1365" t="str">
        <f>TEXT(Table1[[#This Row],[order_date]],"mmm")</f>
        <v>Sep</v>
      </c>
      <c r="P1365">
        <f>YEAR(Table1[[#This Row],[order_date]])</f>
        <v>2025</v>
      </c>
    </row>
    <row r="1366" spans="1:16" x14ac:dyDescent="0.3">
      <c r="A1366">
        <v>11365</v>
      </c>
      <c r="B1366" s="1">
        <v>45926</v>
      </c>
      <c r="C1366">
        <v>1138</v>
      </c>
      <c r="D1366" t="s">
        <v>19</v>
      </c>
      <c r="E1366" t="s">
        <v>20</v>
      </c>
      <c r="F1366">
        <v>6</v>
      </c>
      <c r="G1366">
        <v>387.38</v>
      </c>
      <c r="H1366">
        <v>0.34</v>
      </c>
      <c r="I1366" t="s">
        <v>18</v>
      </c>
      <c r="J1366">
        <v>9</v>
      </c>
      <c r="K1366">
        <v>3.4</v>
      </c>
      <c r="L1366">
        <v>1534.02</v>
      </c>
      <c r="M1366">
        <f>(Table1[[#This Row],[unit_price]]*Table1[[#This Row],[quantity]])-(Table1[[#This Row],[unit_price]]*Table1[[#This Row],[discount]]*Table1[[#This Row],[quantity]])</f>
        <v>1534.0247999999997</v>
      </c>
      <c r="N1366">
        <f>DAY(Table1[[#This Row],[order_date]])</f>
        <v>26</v>
      </c>
      <c r="O1366" t="str">
        <f>TEXT(Table1[[#This Row],[order_date]],"mmm")</f>
        <v>Sep</v>
      </c>
      <c r="P1366">
        <f>YEAR(Table1[[#This Row],[order_date]])</f>
        <v>2025</v>
      </c>
    </row>
    <row r="1367" spans="1:16" x14ac:dyDescent="0.3">
      <c r="A1367">
        <v>11366</v>
      </c>
      <c r="B1367" s="1">
        <v>45927</v>
      </c>
      <c r="C1367">
        <v>1510</v>
      </c>
      <c r="D1367" t="s">
        <v>19</v>
      </c>
      <c r="E1367" t="s">
        <v>13</v>
      </c>
      <c r="F1367">
        <v>5</v>
      </c>
      <c r="G1367">
        <v>418.26</v>
      </c>
      <c r="H1367">
        <v>0.21</v>
      </c>
      <c r="I1367" t="s">
        <v>18</v>
      </c>
      <c r="J1367">
        <v>6</v>
      </c>
      <c r="K1367">
        <v>2.4</v>
      </c>
      <c r="L1367">
        <v>1652.13</v>
      </c>
      <c r="M1367">
        <f>(Table1[[#This Row],[unit_price]]*Table1[[#This Row],[quantity]])-(Table1[[#This Row],[unit_price]]*Table1[[#This Row],[discount]]*Table1[[#This Row],[quantity]])</f>
        <v>1652.1270000000002</v>
      </c>
      <c r="N1367">
        <f>DAY(Table1[[#This Row],[order_date]])</f>
        <v>27</v>
      </c>
      <c r="O1367" t="str">
        <f>TEXT(Table1[[#This Row],[order_date]],"mmm")</f>
        <v>Sep</v>
      </c>
      <c r="P1367">
        <f>YEAR(Table1[[#This Row],[order_date]])</f>
        <v>2025</v>
      </c>
    </row>
    <row r="1368" spans="1:16" x14ac:dyDescent="0.3">
      <c r="A1368">
        <v>11367</v>
      </c>
      <c r="B1368" s="1">
        <v>45928</v>
      </c>
      <c r="C1368">
        <v>1867</v>
      </c>
      <c r="D1368" t="s">
        <v>15</v>
      </c>
      <c r="E1368" t="s">
        <v>13</v>
      </c>
      <c r="F1368">
        <v>3</v>
      </c>
      <c r="G1368">
        <v>405.55</v>
      </c>
      <c r="H1368">
        <v>0.22</v>
      </c>
      <c r="I1368" t="s">
        <v>16</v>
      </c>
      <c r="J1368">
        <v>5</v>
      </c>
      <c r="K1368">
        <v>2</v>
      </c>
      <c r="L1368">
        <v>948.99</v>
      </c>
      <c r="M1368">
        <f>(Table1[[#This Row],[unit_price]]*Table1[[#This Row],[quantity]])-(Table1[[#This Row],[unit_price]]*Table1[[#This Row],[discount]]*Table1[[#This Row],[quantity]])</f>
        <v>948.98700000000008</v>
      </c>
      <c r="N1368">
        <f>DAY(Table1[[#This Row],[order_date]])</f>
        <v>28</v>
      </c>
      <c r="O1368" t="str">
        <f>TEXT(Table1[[#This Row],[order_date]],"mmm")</f>
        <v>Sep</v>
      </c>
      <c r="P1368">
        <f>YEAR(Table1[[#This Row],[order_date]])</f>
        <v>2025</v>
      </c>
    </row>
    <row r="1369" spans="1:16" x14ac:dyDescent="0.3">
      <c r="A1369">
        <v>11368</v>
      </c>
      <c r="B1369" s="1">
        <v>45929</v>
      </c>
      <c r="C1369">
        <v>1844</v>
      </c>
      <c r="D1369" t="s">
        <v>15</v>
      </c>
      <c r="E1369" t="s">
        <v>13</v>
      </c>
      <c r="F1369">
        <v>5</v>
      </c>
      <c r="G1369">
        <v>277.93</v>
      </c>
      <c r="H1369">
        <v>0.25</v>
      </c>
      <c r="I1369" t="s">
        <v>16</v>
      </c>
      <c r="J1369">
        <v>1</v>
      </c>
      <c r="K1369">
        <v>3.9</v>
      </c>
      <c r="L1369">
        <v>1042.24</v>
      </c>
      <c r="M1369">
        <f>(Table1[[#This Row],[unit_price]]*Table1[[#This Row],[quantity]])-(Table1[[#This Row],[unit_price]]*Table1[[#This Row],[discount]]*Table1[[#This Row],[quantity]])</f>
        <v>1042.2375000000002</v>
      </c>
      <c r="N1369">
        <f>DAY(Table1[[#This Row],[order_date]])</f>
        <v>29</v>
      </c>
      <c r="O1369" t="str">
        <f>TEXT(Table1[[#This Row],[order_date]],"mmm")</f>
        <v>Sep</v>
      </c>
      <c r="P1369">
        <f>YEAR(Table1[[#This Row],[order_date]])</f>
        <v>2025</v>
      </c>
    </row>
    <row r="1370" spans="1:16" x14ac:dyDescent="0.3">
      <c r="A1370">
        <v>11369</v>
      </c>
      <c r="B1370" s="1">
        <v>45930</v>
      </c>
      <c r="C1370">
        <v>1258</v>
      </c>
      <c r="D1370" t="s">
        <v>19</v>
      </c>
      <c r="E1370" t="s">
        <v>20</v>
      </c>
      <c r="F1370">
        <v>5</v>
      </c>
      <c r="G1370">
        <v>418.26</v>
      </c>
      <c r="H1370">
        <v>0.27</v>
      </c>
      <c r="I1370" t="s">
        <v>16</v>
      </c>
      <c r="J1370">
        <v>8</v>
      </c>
      <c r="K1370">
        <v>2.2999999999999998</v>
      </c>
      <c r="L1370">
        <v>1526.65</v>
      </c>
      <c r="M1370">
        <f>(Table1[[#This Row],[unit_price]]*Table1[[#This Row],[quantity]])-(Table1[[#This Row],[unit_price]]*Table1[[#This Row],[discount]]*Table1[[#This Row],[quantity]])</f>
        <v>1526.6490000000003</v>
      </c>
      <c r="N1370">
        <f>DAY(Table1[[#This Row],[order_date]])</f>
        <v>30</v>
      </c>
      <c r="O1370" t="str">
        <f>TEXT(Table1[[#This Row],[order_date]],"mmm")</f>
        <v>Sep</v>
      </c>
      <c r="P1370">
        <f>YEAR(Table1[[#This Row],[order_date]])</f>
        <v>2025</v>
      </c>
    </row>
    <row r="1371" spans="1:16" x14ac:dyDescent="0.3">
      <c r="A1371">
        <v>11370</v>
      </c>
      <c r="B1371" s="1">
        <v>45931</v>
      </c>
      <c r="C1371">
        <v>1672</v>
      </c>
      <c r="D1371" t="s">
        <v>19</v>
      </c>
      <c r="E1371" t="s">
        <v>20</v>
      </c>
      <c r="F1371">
        <v>3</v>
      </c>
      <c r="G1371">
        <v>55.78</v>
      </c>
      <c r="H1371">
        <v>0.22</v>
      </c>
      <c r="I1371" t="s">
        <v>16</v>
      </c>
      <c r="J1371">
        <v>3</v>
      </c>
      <c r="K1371">
        <v>1.5</v>
      </c>
      <c r="L1371">
        <v>130.53</v>
      </c>
      <c r="M1371">
        <f>(Table1[[#This Row],[unit_price]]*Table1[[#This Row],[quantity]])-(Table1[[#This Row],[unit_price]]*Table1[[#This Row],[discount]]*Table1[[#This Row],[quantity]])</f>
        <v>130.52519999999998</v>
      </c>
      <c r="N1371">
        <f>DAY(Table1[[#This Row],[order_date]])</f>
        <v>1</v>
      </c>
      <c r="O1371" t="str">
        <f>TEXT(Table1[[#This Row],[order_date]],"mmm")</f>
        <v>Oct</v>
      </c>
      <c r="P1371">
        <f>YEAR(Table1[[#This Row],[order_date]])</f>
        <v>2025</v>
      </c>
    </row>
    <row r="1372" spans="1:16" x14ac:dyDescent="0.3">
      <c r="A1372">
        <v>11371</v>
      </c>
      <c r="B1372" s="1">
        <v>45932</v>
      </c>
      <c r="C1372">
        <v>1901</v>
      </c>
      <c r="D1372" t="s">
        <v>15</v>
      </c>
      <c r="E1372" t="s">
        <v>21</v>
      </c>
      <c r="F1372">
        <v>5</v>
      </c>
      <c r="G1372">
        <v>518.01</v>
      </c>
      <c r="H1372">
        <v>0.08</v>
      </c>
      <c r="I1372" t="s">
        <v>18</v>
      </c>
      <c r="J1372">
        <v>2</v>
      </c>
      <c r="K1372">
        <v>2.9</v>
      </c>
      <c r="L1372">
        <v>2382.85</v>
      </c>
      <c r="M1372">
        <f>(Table1[[#This Row],[unit_price]]*Table1[[#This Row],[quantity]])-(Table1[[#This Row],[unit_price]]*Table1[[#This Row],[discount]]*Table1[[#This Row],[quantity]])</f>
        <v>2382.846</v>
      </c>
      <c r="N1372">
        <f>DAY(Table1[[#This Row],[order_date]])</f>
        <v>2</v>
      </c>
      <c r="O1372" t="str">
        <f>TEXT(Table1[[#This Row],[order_date]],"mmm")</f>
        <v>Oct</v>
      </c>
      <c r="P1372">
        <f>YEAR(Table1[[#This Row],[order_date]])</f>
        <v>2025</v>
      </c>
    </row>
    <row r="1373" spans="1:16" x14ac:dyDescent="0.3">
      <c r="A1373">
        <v>11372</v>
      </c>
      <c r="B1373" s="1">
        <v>45933</v>
      </c>
      <c r="C1373">
        <v>1689</v>
      </c>
      <c r="D1373" t="s">
        <v>22</v>
      </c>
      <c r="E1373" t="s">
        <v>20</v>
      </c>
      <c r="F1373">
        <v>1</v>
      </c>
      <c r="G1373">
        <v>470.02</v>
      </c>
      <c r="H1373">
        <v>0.31</v>
      </c>
      <c r="I1373" t="s">
        <v>16</v>
      </c>
      <c r="J1373">
        <v>7</v>
      </c>
      <c r="K1373">
        <v>4.3</v>
      </c>
      <c r="L1373">
        <v>324.31</v>
      </c>
      <c r="M1373">
        <f>(Table1[[#This Row],[unit_price]]*Table1[[#This Row],[quantity]])-(Table1[[#This Row],[unit_price]]*Table1[[#This Row],[discount]]*Table1[[#This Row],[quantity]])</f>
        <v>324.31380000000001</v>
      </c>
      <c r="N1373">
        <f>DAY(Table1[[#This Row],[order_date]])</f>
        <v>3</v>
      </c>
      <c r="O1373" t="str">
        <f>TEXT(Table1[[#This Row],[order_date]],"mmm")</f>
        <v>Oct</v>
      </c>
      <c r="P1373">
        <f>YEAR(Table1[[#This Row],[order_date]])</f>
        <v>2025</v>
      </c>
    </row>
    <row r="1374" spans="1:16" x14ac:dyDescent="0.3">
      <c r="A1374">
        <v>11373</v>
      </c>
      <c r="B1374" s="1">
        <v>45934</v>
      </c>
      <c r="C1374">
        <v>1009</v>
      </c>
      <c r="D1374" t="s">
        <v>12</v>
      </c>
      <c r="E1374" t="s">
        <v>13</v>
      </c>
      <c r="F1374">
        <v>6</v>
      </c>
      <c r="G1374">
        <v>158.46</v>
      </c>
      <c r="H1374">
        <v>0.26</v>
      </c>
      <c r="I1374" t="s">
        <v>16</v>
      </c>
      <c r="J1374">
        <v>11</v>
      </c>
      <c r="K1374">
        <v>4.4000000000000004</v>
      </c>
      <c r="L1374">
        <v>703.56</v>
      </c>
      <c r="M1374">
        <f>(Table1[[#This Row],[unit_price]]*Table1[[#This Row],[quantity]])-(Table1[[#This Row],[unit_price]]*Table1[[#This Row],[discount]]*Table1[[#This Row],[quantity]])</f>
        <v>703.56240000000003</v>
      </c>
      <c r="N1374">
        <f>DAY(Table1[[#This Row],[order_date]])</f>
        <v>4</v>
      </c>
      <c r="O1374" t="str">
        <f>TEXT(Table1[[#This Row],[order_date]],"mmm")</f>
        <v>Oct</v>
      </c>
      <c r="P1374">
        <f>YEAR(Table1[[#This Row],[order_date]])</f>
        <v>2025</v>
      </c>
    </row>
    <row r="1375" spans="1:16" x14ac:dyDescent="0.3">
      <c r="A1375">
        <v>11374</v>
      </c>
      <c r="B1375" s="1">
        <v>45935</v>
      </c>
      <c r="C1375">
        <v>1260</v>
      </c>
      <c r="D1375" t="s">
        <v>19</v>
      </c>
      <c r="E1375" t="s">
        <v>20</v>
      </c>
      <c r="F1375">
        <v>4</v>
      </c>
      <c r="G1375">
        <v>464.3</v>
      </c>
      <c r="H1375">
        <v>0.26</v>
      </c>
      <c r="I1375" t="s">
        <v>18</v>
      </c>
      <c r="J1375">
        <v>2</v>
      </c>
      <c r="K1375">
        <v>4.4000000000000004</v>
      </c>
      <c r="L1375">
        <v>1374.33</v>
      </c>
      <c r="M1375">
        <f>(Table1[[#This Row],[unit_price]]*Table1[[#This Row],[quantity]])-(Table1[[#This Row],[unit_price]]*Table1[[#This Row],[discount]]*Table1[[#This Row],[quantity]])</f>
        <v>1374.328</v>
      </c>
      <c r="N1375">
        <f>DAY(Table1[[#This Row],[order_date]])</f>
        <v>5</v>
      </c>
      <c r="O1375" t="str">
        <f>TEXT(Table1[[#This Row],[order_date]],"mmm")</f>
        <v>Oct</v>
      </c>
      <c r="P1375">
        <f>YEAR(Table1[[#This Row],[order_date]])</f>
        <v>2025</v>
      </c>
    </row>
    <row r="1376" spans="1:16" x14ac:dyDescent="0.3">
      <c r="A1376">
        <v>11375</v>
      </c>
      <c r="B1376" s="1">
        <v>45936</v>
      </c>
      <c r="C1376">
        <v>1918</v>
      </c>
      <c r="D1376" t="s">
        <v>15</v>
      </c>
      <c r="E1376" t="s">
        <v>20</v>
      </c>
      <c r="F1376">
        <v>7</v>
      </c>
      <c r="G1376">
        <v>22.4</v>
      </c>
      <c r="H1376">
        <v>0.35</v>
      </c>
      <c r="I1376" t="s">
        <v>16</v>
      </c>
      <c r="J1376">
        <v>1</v>
      </c>
      <c r="K1376">
        <v>2.7</v>
      </c>
      <c r="L1376">
        <v>101.92</v>
      </c>
      <c r="M1376">
        <f>(Table1[[#This Row],[unit_price]]*Table1[[#This Row],[quantity]])-(Table1[[#This Row],[unit_price]]*Table1[[#This Row],[discount]]*Table1[[#This Row],[quantity]])</f>
        <v>101.91999999999999</v>
      </c>
      <c r="N1376">
        <f>DAY(Table1[[#This Row],[order_date]])</f>
        <v>6</v>
      </c>
      <c r="O1376" t="str">
        <f>TEXT(Table1[[#This Row],[order_date]],"mmm")</f>
        <v>Oct</v>
      </c>
      <c r="P1376">
        <f>YEAR(Table1[[#This Row],[order_date]])</f>
        <v>2025</v>
      </c>
    </row>
    <row r="1377" spans="1:16" x14ac:dyDescent="0.3">
      <c r="A1377">
        <v>11376</v>
      </c>
      <c r="B1377" s="1">
        <v>45937</v>
      </c>
      <c r="C1377">
        <v>1649</v>
      </c>
      <c r="D1377" t="s">
        <v>19</v>
      </c>
      <c r="E1377" t="s">
        <v>21</v>
      </c>
      <c r="F1377">
        <v>3</v>
      </c>
      <c r="G1377">
        <v>142.09</v>
      </c>
      <c r="H1377">
        <v>0.28000000000000003</v>
      </c>
      <c r="I1377" t="s">
        <v>18</v>
      </c>
      <c r="J1377">
        <v>11</v>
      </c>
      <c r="K1377">
        <v>4.2</v>
      </c>
      <c r="L1377">
        <v>306.91000000000003</v>
      </c>
      <c r="M1377">
        <f>(Table1[[#This Row],[unit_price]]*Table1[[#This Row],[quantity]])-(Table1[[#This Row],[unit_price]]*Table1[[#This Row],[discount]]*Table1[[#This Row],[quantity]])</f>
        <v>306.9144</v>
      </c>
      <c r="N1377">
        <f>DAY(Table1[[#This Row],[order_date]])</f>
        <v>7</v>
      </c>
      <c r="O1377" t="str">
        <f>TEXT(Table1[[#This Row],[order_date]],"mmm")</f>
        <v>Oct</v>
      </c>
      <c r="P1377">
        <f>YEAR(Table1[[#This Row],[order_date]])</f>
        <v>2025</v>
      </c>
    </row>
    <row r="1378" spans="1:16" x14ac:dyDescent="0.3">
      <c r="A1378">
        <v>11377</v>
      </c>
      <c r="B1378" s="1">
        <v>45938</v>
      </c>
      <c r="C1378">
        <v>1171</v>
      </c>
      <c r="D1378" t="s">
        <v>19</v>
      </c>
      <c r="E1378" t="s">
        <v>20</v>
      </c>
      <c r="F1378">
        <v>6</v>
      </c>
      <c r="G1378">
        <v>53.11</v>
      </c>
      <c r="H1378">
        <v>0.28999999999999998</v>
      </c>
      <c r="I1378" t="s">
        <v>18</v>
      </c>
      <c r="J1378">
        <v>2</v>
      </c>
      <c r="K1378">
        <v>4.4000000000000004</v>
      </c>
      <c r="L1378">
        <v>226.25</v>
      </c>
      <c r="M1378">
        <f>(Table1[[#This Row],[unit_price]]*Table1[[#This Row],[quantity]])-(Table1[[#This Row],[unit_price]]*Table1[[#This Row],[discount]]*Table1[[#This Row],[quantity]])</f>
        <v>226.24859999999995</v>
      </c>
      <c r="N1378">
        <f>DAY(Table1[[#This Row],[order_date]])</f>
        <v>8</v>
      </c>
      <c r="O1378" t="str">
        <f>TEXT(Table1[[#This Row],[order_date]],"mmm")</f>
        <v>Oct</v>
      </c>
      <c r="P1378">
        <f>YEAR(Table1[[#This Row],[order_date]])</f>
        <v>2025</v>
      </c>
    </row>
    <row r="1379" spans="1:16" x14ac:dyDescent="0.3">
      <c r="A1379">
        <v>11378</v>
      </c>
      <c r="B1379" s="1">
        <v>45939</v>
      </c>
      <c r="C1379">
        <v>1897</v>
      </c>
      <c r="D1379" t="s">
        <v>22</v>
      </c>
      <c r="E1379" t="s">
        <v>17</v>
      </c>
      <c r="F1379">
        <v>2</v>
      </c>
      <c r="G1379">
        <v>471.43</v>
      </c>
      <c r="H1379">
        <v>0.33</v>
      </c>
      <c r="I1379" t="s">
        <v>16</v>
      </c>
      <c r="J1379">
        <v>6</v>
      </c>
      <c r="K1379">
        <v>2.8</v>
      </c>
      <c r="L1379">
        <v>631.72</v>
      </c>
      <c r="M1379">
        <f>(Table1[[#This Row],[unit_price]]*Table1[[#This Row],[quantity]])-(Table1[[#This Row],[unit_price]]*Table1[[#This Row],[discount]]*Table1[[#This Row],[quantity]])</f>
        <v>631.71620000000007</v>
      </c>
      <c r="N1379">
        <f>DAY(Table1[[#This Row],[order_date]])</f>
        <v>9</v>
      </c>
      <c r="O1379" t="str">
        <f>TEXT(Table1[[#This Row],[order_date]],"mmm")</f>
        <v>Oct</v>
      </c>
      <c r="P1379">
        <f>YEAR(Table1[[#This Row],[order_date]])</f>
        <v>2025</v>
      </c>
    </row>
    <row r="1380" spans="1:16" x14ac:dyDescent="0.3">
      <c r="A1380">
        <v>11379</v>
      </c>
      <c r="B1380" s="1">
        <v>45940</v>
      </c>
      <c r="C1380">
        <v>1012</v>
      </c>
      <c r="D1380" t="s">
        <v>15</v>
      </c>
      <c r="E1380" t="s">
        <v>21</v>
      </c>
      <c r="F1380">
        <v>1</v>
      </c>
      <c r="G1380">
        <v>457.19</v>
      </c>
      <c r="H1380">
        <v>0.05</v>
      </c>
      <c r="I1380" t="s">
        <v>18</v>
      </c>
      <c r="J1380">
        <v>2</v>
      </c>
      <c r="K1380">
        <v>2.2999999999999998</v>
      </c>
      <c r="L1380">
        <v>434.33</v>
      </c>
      <c r="M1380">
        <f>(Table1[[#This Row],[unit_price]]*Table1[[#This Row],[quantity]])-(Table1[[#This Row],[unit_price]]*Table1[[#This Row],[discount]]*Table1[[#This Row],[quantity]])</f>
        <v>434.33049999999997</v>
      </c>
      <c r="N1380">
        <f>DAY(Table1[[#This Row],[order_date]])</f>
        <v>10</v>
      </c>
      <c r="O1380" t="str">
        <f>TEXT(Table1[[#This Row],[order_date]],"mmm")</f>
        <v>Oct</v>
      </c>
      <c r="P1380">
        <f>YEAR(Table1[[#This Row],[order_date]])</f>
        <v>2025</v>
      </c>
    </row>
    <row r="1381" spans="1:16" x14ac:dyDescent="0.3">
      <c r="A1381">
        <v>11380</v>
      </c>
      <c r="B1381" s="1">
        <v>45941</v>
      </c>
      <c r="C1381">
        <v>1167</v>
      </c>
      <c r="D1381" t="s">
        <v>19</v>
      </c>
      <c r="E1381" t="s">
        <v>20</v>
      </c>
      <c r="F1381">
        <v>4</v>
      </c>
      <c r="G1381">
        <v>490.98</v>
      </c>
      <c r="H1381">
        <v>0.17</v>
      </c>
      <c r="I1381" t="s">
        <v>18</v>
      </c>
      <c r="J1381">
        <v>1</v>
      </c>
      <c r="K1381">
        <v>3.8</v>
      </c>
      <c r="L1381">
        <v>1630.05</v>
      </c>
      <c r="M1381">
        <f>(Table1[[#This Row],[unit_price]]*Table1[[#This Row],[quantity]])-(Table1[[#This Row],[unit_price]]*Table1[[#This Row],[discount]]*Table1[[#This Row],[quantity]])</f>
        <v>1630.0536</v>
      </c>
      <c r="N1381">
        <f>DAY(Table1[[#This Row],[order_date]])</f>
        <v>11</v>
      </c>
      <c r="O1381" t="str">
        <f>TEXT(Table1[[#This Row],[order_date]],"mmm")</f>
        <v>Oct</v>
      </c>
      <c r="P1381">
        <f>YEAR(Table1[[#This Row],[order_date]])</f>
        <v>2025</v>
      </c>
    </row>
    <row r="1382" spans="1:16" x14ac:dyDescent="0.3">
      <c r="A1382">
        <v>11381</v>
      </c>
      <c r="B1382" s="1">
        <v>45942</v>
      </c>
      <c r="C1382">
        <v>1641</v>
      </c>
      <c r="D1382" t="s">
        <v>19</v>
      </c>
      <c r="E1382" t="s">
        <v>20</v>
      </c>
      <c r="F1382">
        <v>1</v>
      </c>
      <c r="G1382">
        <v>17.62</v>
      </c>
      <c r="H1382">
        <v>0.2</v>
      </c>
      <c r="I1382" t="s">
        <v>18</v>
      </c>
      <c r="J1382">
        <v>1</v>
      </c>
      <c r="K1382">
        <v>4.5999999999999996</v>
      </c>
      <c r="L1382">
        <v>14.1</v>
      </c>
      <c r="M1382">
        <f>(Table1[[#This Row],[unit_price]]*Table1[[#This Row],[quantity]])-(Table1[[#This Row],[unit_price]]*Table1[[#This Row],[discount]]*Table1[[#This Row],[quantity]])</f>
        <v>14.096</v>
      </c>
      <c r="N1382">
        <f>DAY(Table1[[#This Row],[order_date]])</f>
        <v>12</v>
      </c>
      <c r="O1382" t="str">
        <f>TEXT(Table1[[#This Row],[order_date]],"mmm")</f>
        <v>Oct</v>
      </c>
      <c r="P1382">
        <f>YEAR(Table1[[#This Row],[order_date]])</f>
        <v>2025</v>
      </c>
    </row>
    <row r="1383" spans="1:16" x14ac:dyDescent="0.3">
      <c r="A1383">
        <v>11382</v>
      </c>
      <c r="B1383" s="1">
        <v>45943</v>
      </c>
      <c r="C1383">
        <v>1595</v>
      </c>
      <c r="D1383" t="s">
        <v>19</v>
      </c>
      <c r="E1383" t="s">
        <v>21</v>
      </c>
      <c r="F1383">
        <v>1</v>
      </c>
      <c r="G1383">
        <v>308.22000000000003</v>
      </c>
      <c r="H1383">
        <v>0.12</v>
      </c>
      <c r="I1383" t="s">
        <v>18</v>
      </c>
      <c r="J1383">
        <v>4</v>
      </c>
      <c r="K1383">
        <v>4.9000000000000004</v>
      </c>
      <c r="L1383">
        <v>271.23</v>
      </c>
      <c r="M1383">
        <f>(Table1[[#This Row],[unit_price]]*Table1[[#This Row],[quantity]])-(Table1[[#This Row],[unit_price]]*Table1[[#This Row],[discount]]*Table1[[#This Row],[quantity]])</f>
        <v>271.23360000000002</v>
      </c>
      <c r="N1383">
        <f>DAY(Table1[[#This Row],[order_date]])</f>
        <v>13</v>
      </c>
      <c r="O1383" t="str">
        <f>TEXT(Table1[[#This Row],[order_date]],"mmm")</f>
        <v>Oct</v>
      </c>
      <c r="P1383">
        <f>YEAR(Table1[[#This Row],[order_date]])</f>
        <v>2025</v>
      </c>
    </row>
    <row r="1384" spans="1:16" x14ac:dyDescent="0.3">
      <c r="A1384">
        <v>11383</v>
      </c>
      <c r="B1384" s="1">
        <v>45944</v>
      </c>
      <c r="C1384">
        <v>1320</v>
      </c>
      <c r="D1384" t="s">
        <v>22</v>
      </c>
      <c r="E1384" t="s">
        <v>20</v>
      </c>
      <c r="F1384">
        <v>2</v>
      </c>
      <c r="G1384">
        <v>427.33</v>
      </c>
      <c r="H1384">
        <v>0.28999999999999998</v>
      </c>
      <c r="I1384" t="s">
        <v>14</v>
      </c>
      <c r="J1384">
        <v>8</v>
      </c>
      <c r="K1384">
        <v>2.2000000000000002</v>
      </c>
      <c r="L1384">
        <v>606.80999999999995</v>
      </c>
      <c r="M1384">
        <f>(Table1[[#This Row],[unit_price]]*Table1[[#This Row],[quantity]])-(Table1[[#This Row],[unit_price]]*Table1[[#This Row],[discount]]*Table1[[#This Row],[quantity]])</f>
        <v>606.80859999999996</v>
      </c>
      <c r="N1384">
        <f>DAY(Table1[[#This Row],[order_date]])</f>
        <v>14</v>
      </c>
      <c r="O1384" t="str">
        <f>TEXT(Table1[[#This Row],[order_date]],"mmm")</f>
        <v>Oct</v>
      </c>
      <c r="P1384">
        <f>YEAR(Table1[[#This Row],[order_date]])</f>
        <v>2025</v>
      </c>
    </row>
    <row r="1385" spans="1:16" x14ac:dyDescent="0.3">
      <c r="A1385">
        <v>11384</v>
      </c>
      <c r="B1385" s="1">
        <v>45945</v>
      </c>
      <c r="C1385">
        <v>1318</v>
      </c>
      <c r="D1385" t="s">
        <v>12</v>
      </c>
      <c r="E1385" t="s">
        <v>13</v>
      </c>
      <c r="F1385">
        <v>4</v>
      </c>
      <c r="G1385">
        <v>105.91</v>
      </c>
      <c r="H1385">
        <v>0.27</v>
      </c>
      <c r="I1385" t="s">
        <v>14</v>
      </c>
      <c r="J1385">
        <v>6</v>
      </c>
      <c r="K1385">
        <v>4.8</v>
      </c>
      <c r="L1385">
        <v>309.26</v>
      </c>
      <c r="M1385">
        <f>(Table1[[#This Row],[unit_price]]*Table1[[#This Row],[quantity]])-(Table1[[#This Row],[unit_price]]*Table1[[#This Row],[discount]]*Table1[[#This Row],[quantity]])</f>
        <v>309.25720000000001</v>
      </c>
      <c r="N1385">
        <f>DAY(Table1[[#This Row],[order_date]])</f>
        <v>15</v>
      </c>
      <c r="O1385" t="str">
        <f>TEXT(Table1[[#This Row],[order_date]],"mmm")</f>
        <v>Oct</v>
      </c>
      <c r="P1385">
        <f>YEAR(Table1[[#This Row],[order_date]])</f>
        <v>2025</v>
      </c>
    </row>
    <row r="1386" spans="1:16" x14ac:dyDescent="0.3">
      <c r="A1386">
        <v>11385</v>
      </c>
      <c r="B1386" s="1">
        <v>45946</v>
      </c>
      <c r="C1386">
        <v>1612</v>
      </c>
      <c r="D1386" t="s">
        <v>19</v>
      </c>
      <c r="E1386" t="s">
        <v>17</v>
      </c>
      <c r="F1386">
        <v>7</v>
      </c>
      <c r="G1386">
        <v>395.13</v>
      </c>
      <c r="H1386">
        <v>0.25</v>
      </c>
      <c r="I1386" t="s">
        <v>18</v>
      </c>
      <c r="J1386">
        <v>4</v>
      </c>
      <c r="K1386">
        <v>3</v>
      </c>
      <c r="L1386">
        <v>2074.4299999999998</v>
      </c>
      <c r="M1386">
        <f>(Table1[[#This Row],[unit_price]]*Table1[[#This Row],[quantity]])-(Table1[[#This Row],[unit_price]]*Table1[[#This Row],[discount]]*Table1[[#This Row],[quantity]])</f>
        <v>2074.4324999999999</v>
      </c>
      <c r="N1386">
        <f>DAY(Table1[[#This Row],[order_date]])</f>
        <v>16</v>
      </c>
      <c r="O1386" t="str">
        <f>TEXT(Table1[[#This Row],[order_date]],"mmm")</f>
        <v>Oct</v>
      </c>
      <c r="P1386">
        <f>YEAR(Table1[[#This Row],[order_date]])</f>
        <v>2025</v>
      </c>
    </row>
    <row r="1387" spans="1:16" x14ac:dyDescent="0.3">
      <c r="A1387">
        <v>11386</v>
      </c>
      <c r="B1387" s="1">
        <v>45947</v>
      </c>
      <c r="C1387">
        <v>1328</v>
      </c>
      <c r="D1387" t="s">
        <v>19</v>
      </c>
      <c r="E1387" t="s">
        <v>17</v>
      </c>
      <c r="F1387">
        <v>1</v>
      </c>
      <c r="G1387">
        <v>64.2</v>
      </c>
      <c r="H1387">
        <v>0.35</v>
      </c>
      <c r="I1387" t="s">
        <v>14</v>
      </c>
      <c r="J1387">
        <v>6</v>
      </c>
      <c r="K1387">
        <v>2.2000000000000002</v>
      </c>
      <c r="L1387">
        <v>41.73</v>
      </c>
      <c r="M1387">
        <f>(Table1[[#This Row],[unit_price]]*Table1[[#This Row],[quantity]])-(Table1[[#This Row],[unit_price]]*Table1[[#This Row],[discount]]*Table1[[#This Row],[quantity]])</f>
        <v>41.730000000000004</v>
      </c>
      <c r="N1387">
        <f>DAY(Table1[[#This Row],[order_date]])</f>
        <v>17</v>
      </c>
      <c r="O1387" t="str">
        <f>TEXT(Table1[[#This Row],[order_date]],"mmm")</f>
        <v>Oct</v>
      </c>
      <c r="P1387">
        <f>YEAR(Table1[[#This Row],[order_date]])</f>
        <v>2025</v>
      </c>
    </row>
    <row r="1388" spans="1:16" x14ac:dyDescent="0.3">
      <c r="A1388">
        <v>11387</v>
      </c>
      <c r="B1388" s="1">
        <v>45948</v>
      </c>
      <c r="C1388">
        <v>1784</v>
      </c>
      <c r="D1388" t="s">
        <v>12</v>
      </c>
      <c r="E1388" t="s">
        <v>13</v>
      </c>
      <c r="F1388">
        <v>2</v>
      </c>
      <c r="G1388">
        <v>121.08</v>
      </c>
      <c r="H1388">
        <v>0.09</v>
      </c>
      <c r="I1388" t="s">
        <v>16</v>
      </c>
      <c r="J1388">
        <v>6</v>
      </c>
      <c r="K1388">
        <v>5</v>
      </c>
      <c r="L1388">
        <v>220.37</v>
      </c>
      <c r="M1388">
        <f>(Table1[[#This Row],[unit_price]]*Table1[[#This Row],[quantity]])-(Table1[[#This Row],[unit_price]]*Table1[[#This Row],[discount]]*Table1[[#This Row],[quantity]])</f>
        <v>220.3656</v>
      </c>
      <c r="N1388">
        <f>DAY(Table1[[#This Row],[order_date]])</f>
        <v>18</v>
      </c>
      <c r="O1388" t="str">
        <f>TEXT(Table1[[#This Row],[order_date]],"mmm")</f>
        <v>Oct</v>
      </c>
      <c r="P1388">
        <f>YEAR(Table1[[#This Row],[order_date]])</f>
        <v>2025</v>
      </c>
    </row>
    <row r="1389" spans="1:16" x14ac:dyDescent="0.3">
      <c r="A1389">
        <v>11388</v>
      </c>
      <c r="B1389" s="1">
        <v>45949</v>
      </c>
      <c r="C1389">
        <v>1776</v>
      </c>
      <c r="D1389" t="s">
        <v>12</v>
      </c>
      <c r="E1389" t="s">
        <v>20</v>
      </c>
      <c r="F1389">
        <v>3</v>
      </c>
      <c r="G1389">
        <v>293.33999999999997</v>
      </c>
      <c r="H1389">
        <v>0.26</v>
      </c>
      <c r="I1389" t="s">
        <v>18</v>
      </c>
      <c r="J1389">
        <v>9</v>
      </c>
      <c r="K1389">
        <v>4.5</v>
      </c>
      <c r="L1389">
        <v>651.21</v>
      </c>
      <c r="M1389">
        <f>(Table1[[#This Row],[unit_price]]*Table1[[#This Row],[quantity]])-(Table1[[#This Row],[unit_price]]*Table1[[#This Row],[discount]]*Table1[[#This Row],[quantity]])</f>
        <v>651.21479999999997</v>
      </c>
      <c r="N1389">
        <f>DAY(Table1[[#This Row],[order_date]])</f>
        <v>19</v>
      </c>
      <c r="O1389" t="str">
        <f>TEXT(Table1[[#This Row],[order_date]],"mmm")</f>
        <v>Oct</v>
      </c>
      <c r="P1389">
        <f>YEAR(Table1[[#This Row],[order_date]])</f>
        <v>2025</v>
      </c>
    </row>
    <row r="1390" spans="1:16" x14ac:dyDescent="0.3">
      <c r="A1390">
        <v>11389</v>
      </c>
      <c r="B1390" s="1">
        <v>45950</v>
      </c>
      <c r="C1390">
        <v>1970</v>
      </c>
      <c r="D1390" t="s">
        <v>15</v>
      </c>
      <c r="E1390" t="s">
        <v>20</v>
      </c>
      <c r="F1390">
        <v>2</v>
      </c>
      <c r="G1390">
        <v>397.34</v>
      </c>
      <c r="H1390">
        <v>0.19</v>
      </c>
      <c r="I1390" t="s">
        <v>16</v>
      </c>
      <c r="J1390">
        <v>4</v>
      </c>
      <c r="K1390">
        <v>3.8</v>
      </c>
      <c r="L1390">
        <v>643.69000000000005</v>
      </c>
      <c r="M1390">
        <f>(Table1[[#This Row],[unit_price]]*Table1[[#This Row],[quantity]])-(Table1[[#This Row],[unit_price]]*Table1[[#This Row],[discount]]*Table1[[#This Row],[quantity]])</f>
        <v>643.69079999999997</v>
      </c>
      <c r="N1390">
        <f>DAY(Table1[[#This Row],[order_date]])</f>
        <v>20</v>
      </c>
      <c r="O1390" t="str">
        <f>TEXT(Table1[[#This Row],[order_date]],"mmm")</f>
        <v>Oct</v>
      </c>
      <c r="P1390">
        <f>YEAR(Table1[[#This Row],[order_date]])</f>
        <v>2025</v>
      </c>
    </row>
    <row r="1391" spans="1:16" x14ac:dyDescent="0.3">
      <c r="A1391">
        <v>11390</v>
      </c>
      <c r="B1391" s="1">
        <v>45951</v>
      </c>
      <c r="C1391">
        <v>1910</v>
      </c>
      <c r="D1391" t="s">
        <v>19</v>
      </c>
      <c r="E1391" t="s">
        <v>17</v>
      </c>
      <c r="F1391">
        <v>5</v>
      </c>
      <c r="G1391">
        <v>100.33</v>
      </c>
      <c r="H1391">
        <v>0.11</v>
      </c>
      <c r="I1391" t="s">
        <v>16</v>
      </c>
      <c r="J1391">
        <v>6</v>
      </c>
      <c r="K1391">
        <v>4.5999999999999996</v>
      </c>
      <c r="L1391">
        <v>446.47</v>
      </c>
      <c r="M1391">
        <f>(Table1[[#This Row],[unit_price]]*Table1[[#This Row],[quantity]])-(Table1[[#This Row],[unit_price]]*Table1[[#This Row],[discount]]*Table1[[#This Row],[quantity]])</f>
        <v>446.46849999999995</v>
      </c>
      <c r="N1391">
        <f>DAY(Table1[[#This Row],[order_date]])</f>
        <v>21</v>
      </c>
      <c r="O1391" t="str">
        <f>TEXT(Table1[[#This Row],[order_date]],"mmm")</f>
        <v>Oct</v>
      </c>
      <c r="P1391">
        <f>YEAR(Table1[[#This Row],[order_date]])</f>
        <v>2025</v>
      </c>
    </row>
    <row r="1392" spans="1:16" x14ac:dyDescent="0.3">
      <c r="A1392">
        <v>11391</v>
      </c>
      <c r="B1392" s="1">
        <v>45952</v>
      </c>
      <c r="C1392">
        <v>1919</v>
      </c>
      <c r="D1392" t="s">
        <v>19</v>
      </c>
      <c r="E1392" t="s">
        <v>20</v>
      </c>
      <c r="F1392">
        <v>6</v>
      </c>
      <c r="G1392">
        <v>123.36</v>
      </c>
      <c r="H1392">
        <v>0.06</v>
      </c>
      <c r="I1392" t="s">
        <v>18</v>
      </c>
      <c r="J1392">
        <v>10</v>
      </c>
      <c r="K1392">
        <v>3.7</v>
      </c>
      <c r="L1392">
        <v>695.75</v>
      </c>
      <c r="M1392">
        <f>(Table1[[#This Row],[unit_price]]*Table1[[#This Row],[quantity]])-(Table1[[#This Row],[unit_price]]*Table1[[#This Row],[discount]]*Table1[[#This Row],[quantity]])</f>
        <v>695.75040000000001</v>
      </c>
      <c r="N1392">
        <f>DAY(Table1[[#This Row],[order_date]])</f>
        <v>22</v>
      </c>
      <c r="O1392" t="str">
        <f>TEXT(Table1[[#This Row],[order_date]],"mmm")</f>
        <v>Oct</v>
      </c>
      <c r="P1392">
        <f>YEAR(Table1[[#This Row],[order_date]])</f>
        <v>2025</v>
      </c>
    </row>
    <row r="1393" spans="1:16" x14ac:dyDescent="0.3">
      <c r="A1393">
        <v>11392</v>
      </c>
      <c r="B1393" s="1">
        <v>45953</v>
      </c>
      <c r="C1393">
        <v>1549</v>
      </c>
      <c r="D1393" t="s">
        <v>15</v>
      </c>
      <c r="E1393" t="s">
        <v>17</v>
      </c>
      <c r="F1393">
        <v>2</v>
      </c>
      <c r="G1393">
        <v>134.6</v>
      </c>
      <c r="H1393">
        <v>0.31</v>
      </c>
      <c r="I1393" t="s">
        <v>18</v>
      </c>
      <c r="J1393">
        <v>1</v>
      </c>
      <c r="K1393">
        <v>2.8</v>
      </c>
      <c r="L1393">
        <v>185.75</v>
      </c>
      <c r="M1393">
        <f>(Table1[[#This Row],[unit_price]]*Table1[[#This Row],[quantity]])-(Table1[[#This Row],[unit_price]]*Table1[[#This Row],[discount]]*Table1[[#This Row],[quantity]])</f>
        <v>185.74799999999999</v>
      </c>
      <c r="N1393">
        <f>DAY(Table1[[#This Row],[order_date]])</f>
        <v>23</v>
      </c>
      <c r="O1393" t="str">
        <f>TEXT(Table1[[#This Row],[order_date]],"mmm")</f>
        <v>Oct</v>
      </c>
      <c r="P1393">
        <f>YEAR(Table1[[#This Row],[order_date]])</f>
        <v>2025</v>
      </c>
    </row>
    <row r="1394" spans="1:16" x14ac:dyDescent="0.3">
      <c r="A1394">
        <v>11393</v>
      </c>
      <c r="B1394" s="1">
        <v>45954</v>
      </c>
      <c r="C1394">
        <v>1418</v>
      </c>
      <c r="D1394" t="s">
        <v>15</v>
      </c>
      <c r="E1394" t="s">
        <v>17</v>
      </c>
      <c r="F1394">
        <v>2</v>
      </c>
      <c r="G1394">
        <v>154.63999999999999</v>
      </c>
      <c r="H1394">
        <v>0.21</v>
      </c>
      <c r="I1394" t="s">
        <v>16</v>
      </c>
      <c r="J1394">
        <v>7</v>
      </c>
      <c r="K1394">
        <v>4.8</v>
      </c>
      <c r="L1394">
        <v>244.33</v>
      </c>
      <c r="M1394">
        <f>(Table1[[#This Row],[unit_price]]*Table1[[#This Row],[quantity]])-(Table1[[#This Row],[unit_price]]*Table1[[#This Row],[discount]]*Table1[[#This Row],[quantity]])</f>
        <v>244.33119999999997</v>
      </c>
      <c r="N1394">
        <f>DAY(Table1[[#This Row],[order_date]])</f>
        <v>24</v>
      </c>
      <c r="O1394" t="str">
        <f>TEXT(Table1[[#This Row],[order_date]],"mmm")</f>
        <v>Oct</v>
      </c>
      <c r="P1394">
        <f>YEAR(Table1[[#This Row],[order_date]])</f>
        <v>2025</v>
      </c>
    </row>
    <row r="1395" spans="1:16" x14ac:dyDescent="0.3">
      <c r="A1395">
        <v>11394</v>
      </c>
      <c r="B1395" s="1">
        <v>45955</v>
      </c>
      <c r="C1395">
        <v>1605</v>
      </c>
      <c r="D1395" t="s">
        <v>19</v>
      </c>
      <c r="E1395" t="s">
        <v>13</v>
      </c>
      <c r="F1395">
        <v>2</v>
      </c>
      <c r="G1395">
        <v>147.53</v>
      </c>
      <c r="H1395">
        <v>0.28999999999999998</v>
      </c>
      <c r="I1395" t="s">
        <v>18</v>
      </c>
      <c r="J1395">
        <v>7</v>
      </c>
      <c r="K1395">
        <v>4.9000000000000004</v>
      </c>
      <c r="L1395">
        <v>209.49</v>
      </c>
      <c r="M1395">
        <f>(Table1[[#This Row],[unit_price]]*Table1[[#This Row],[quantity]])-(Table1[[#This Row],[unit_price]]*Table1[[#This Row],[discount]]*Table1[[#This Row],[quantity]])</f>
        <v>209.49260000000001</v>
      </c>
      <c r="N1395">
        <f>DAY(Table1[[#This Row],[order_date]])</f>
        <v>25</v>
      </c>
      <c r="O1395" t="str">
        <f>TEXT(Table1[[#This Row],[order_date]],"mmm")</f>
        <v>Oct</v>
      </c>
      <c r="P1395">
        <f>YEAR(Table1[[#This Row],[order_date]])</f>
        <v>2025</v>
      </c>
    </row>
    <row r="1396" spans="1:16" x14ac:dyDescent="0.3">
      <c r="A1396">
        <v>11395</v>
      </c>
      <c r="B1396" s="1">
        <v>45956</v>
      </c>
      <c r="C1396">
        <v>1094</v>
      </c>
      <c r="D1396" t="s">
        <v>15</v>
      </c>
      <c r="E1396" t="s">
        <v>17</v>
      </c>
      <c r="F1396">
        <v>7</v>
      </c>
      <c r="G1396">
        <v>246.16</v>
      </c>
      <c r="H1396">
        <v>0.19</v>
      </c>
      <c r="I1396" t="s">
        <v>18</v>
      </c>
      <c r="J1396">
        <v>11</v>
      </c>
      <c r="K1396">
        <v>2.2999999999999998</v>
      </c>
      <c r="L1396">
        <v>1395.73</v>
      </c>
      <c r="M1396">
        <f>(Table1[[#This Row],[unit_price]]*Table1[[#This Row],[quantity]])-(Table1[[#This Row],[unit_price]]*Table1[[#This Row],[discount]]*Table1[[#This Row],[quantity]])</f>
        <v>1395.7271999999998</v>
      </c>
      <c r="N1396">
        <f>DAY(Table1[[#This Row],[order_date]])</f>
        <v>26</v>
      </c>
      <c r="O1396" t="str">
        <f>TEXT(Table1[[#This Row],[order_date]],"mmm")</f>
        <v>Oct</v>
      </c>
      <c r="P1396">
        <f>YEAR(Table1[[#This Row],[order_date]])</f>
        <v>2025</v>
      </c>
    </row>
    <row r="1397" spans="1:16" x14ac:dyDescent="0.3">
      <c r="A1397">
        <v>11396</v>
      </c>
      <c r="B1397" s="1">
        <v>45957</v>
      </c>
      <c r="C1397">
        <v>1816</v>
      </c>
      <c r="D1397" t="s">
        <v>19</v>
      </c>
      <c r="E1397" t="s">
        <v>20</v>
      </c>
      <c r="F1397">
        <v>1</v>
      </c>
      <c r="G1397">
        <v>397.47</v>
      </c>
      <c r="H1397">
        <v>0.08</v>
      </c>
      <c r="I1397" t="s">
        <v>16</v>
      </c>
      <c r="J1397">
        <v>1</v>
      </c>
      <c r="K1397">
        <v>2.4</v>
      </c>
      <c r="L1397">
        <v>365.67</v>
      </c>
      <c r="M1397">
        <f>(Table1[[#This Row],[unit_price]]*Table1[[#This Row],[quantity]])-(Table1[[#This Row],[unit_price]]*Table1[[#This Row],[discount]]*Table1[[#This Row],[quantity]])</f>
        <v>365.67240000000004</v>
      </c>
      <c r="N1397">
        <f>DAY(Table1[[#This Row],[order_date]])</f>
        <v>27</v>
      </c>
      <c r="O1397" t="str">
        <f>TEXT(Table1[[#This Row],[order_date]],"mmm")</f>
        <v>Oct</v>
      </c>
      <c r="P1397">
        <f>YEAR(Table1[[#This Row],[order_date]])</f>
        <v>2025</v>
      </c>
    </row>
    <row r="1398" spans="1:16" x14ac:dyDescent="0.3">
      <c r="A1398">
        <v>11397</v>
      </c>
      <c r="B1398" s="1">
        <v>45958</v>
      </c>
      <c r="C1398">
        <v>1580</v>
      </c>
      <c r="D1398" t="s">
        <v>22</v>
      </c>
      <c r="E1398" t="s">
        <v>20</v>
      </c>
      <c r="F1398">
        <v>7</v>
      </c>
      <c r="G1398">
        <v>271.25</v>
      </c>
      <c r="H1398">
        <v>0.12</v>
      </c>
      <c r="I1398" t="s">
        <v>16</v>
      </c>
      <c r="J1398">
        <v>8</v>
      </c>
      <c r="K1398">
        <v>2.5</v>
      </c>
      <c r="L1398">
        <v>1670.9</v>
      </c>
      <c r="M1398">
        <f>(Table1[[#This Row],[unit_price]]*Table1[[#This Row],[quantity]])-(Table1[[#This Row],[unit_price]]*Table1[[#This Row],[discount]]*Table1[[#This Row],[quantity]])</f>
        <v>1670.9</v>
      </c>
      <c r="N1398">
        <f>DAY(Table1[[#This Row],[order_date]])</f>
        <v>28</v>
      </c>
      <c r="O1398" t="str">
        <f>TEXT(Table1[[#This Row],[order_date]],"mmm")</f>
        <v>Oct</v>
      </c>
      <c r="P1398">
        <f>YEAR(Table1[[#This Row],[order_date]])</f>
        <v>2025</v>
      </c>
    </row>
    <row r="1399" spans="1:16" x14ac:dyDescent="0.3">
      <c r="A1399">
        <v>11398</v>
      </c>
      <c r="B1399" s="1">
        <v>45959</v>
      </c>
      <c r="C1399">
        <v>1317</v>
      </c>
      <c r="D1399" t="s">
        <v>19</v>
      </c>
      <c r="E1399" t="s">
        <v>21</v>
      </c>
      <c r="F1399">
        <v>4</v>
      </c>
      <c r="G1399">
        <v>468.94</v>
      </c>
      <c r="H1399">
        <v>0.13</v>
      </c>
      <c r="I1399" t="s">
        <v>16</v>
      </c>
      <c r="J1399">
        <v>5</v>
      </c>
      <c r="K1399">
        <v>4.3</v>
      </c>
      <c r="L1399">
        <v>1631.91</v>
      </c>
      <c r="M1399">
        <f>(Table1[[#This Row],[unit_price]]*Table1[[#This Row],[quantity]])-(Table1[[#This Row],[unit_price]]*Table1[[#This Row],[discount]]*Table1[[#This Row],[quantity]])</f>
        <v>1631.9112</v>
      </c>
      <c r="N1399">
        <f>DAY(Table1[[#This Row],[order_date]])</f>
        <v>29</v>
      </c>
      <c r="O1399" t="str">
        <f>TEXT(Table1[[#This Row],[order_date]],"mmm")</f>
        <v>Oct</v>
      </c>
      <c r="P1399">
        <f>YEAR(Table1[[#This Row],[order_date]])</f>
        <v>2025</v>
      </c>
    </row>
    <row r="1400" spans="1:16" x14ac:dyDescent="0.3">
      <c r="A1400">
        <v>11399</v>
      </c>
      <c r="B1400" s="1">
        <v>45960</v>
      </c>
      <c r="C1400">
        <v>1955</v>
      </c>
      <c r="D1400" t="s">
        <v>19</v>
      </c>
      <c r="E1400" t="s">
        <v>20</v>
      </c>
      <c r="F1400">
        <v>2</v>
      </c>
      <c r="G1400">
        <v>435.77</v>
      </c>
      <c r="H1400">
        <v>0.34</v>
      </c>
      <c r="I1400" t="s">
        <v>16</v>
      </c>
      <c r="J1400">
        <v>9</v>
      </c>
      <c r="K1400">
        <v>4.2</v>
      </c>
      <c r="L1400">
        <v>575.22</v>
      </c>
      <c r="M1400">
        <f>(Table1[[#This Row],[unit_price]]*Table1[[#This Row],[quantity]])-(Table1[[#This Row],[unit_price]]*Table1[[#This Row],[discount]]*Table1[[#This Row],[quantity]])</f>
        <v>575.21640000000002</v>
      </c>
      <c r="N1400">
        <f>DAY(Table1[[#This Row],[order_date]])</f>
        <v>30</v>
      </c>
      <c r="O1400" t="str">
        <f>TEXT(Table1[[#This Row],[order_date]],"mmm")</f>
        <v>Oct</v>
      </c>
      <c r="P1400">
        <f>YEAR(Table1[[#This Row],[order_date]])</f>
        <v>2025</v>
      </c>
    </row>
    <row r="1401" spans="1:16" x14ac:dyDescent="0.3">
      <c r="A1401">
        <v>11400</v>
      </c>
      <c r="B1401" s="1">
        <v>45961</v>
      </c>
      <c r="C1401">
        <v>1235</v>
      </c>
      <c r="D1401" t="s">
        <v>15</v>
      </c>
      <c r="E1401" t="s">
        <v>21</v>
      </c>
      <c r="F1401">
        <v>2</v>
      </c>
      <c r="G1401">
        <v>89.02</v>
      </c>
      <c r="H1401">
        <v>0</v>
      </c>
      <c r="I1401" t="s">
        <v>18</v>
      </c>
      <c r="J1401">
        <v>8</v>
      </c>
      <c r="K1401">
        <v>4.9000000000000004</v>
      </c>
      <c r="L1401">
        <v>178.04</v>
      </c>
      <c r="M1401">
        <f>(Table1[[#This Row],[unit_price]]*Table1[[#This Row],[quantity]])-(Table1[[#This Row],[unit_price]]*Table1[[#This Row],[discount]]*Table1[[#This Row],[quantity]])</f>
        <v>178.04</v>
      </c>
      <c r="N1401">
        <f>DAY(Table1[[#This Row],[order_date]])</f>
        <v>31</v>
      </c>
      <c r="O1401" t="str">
        <f>TEXT(Table1[[#This Row],[order_date]],"mmm")</f>
        <v>Oct</v>
      </c>
      <c r="P1401">
        <f>YEAR(Table1[[#This Row],[order_date]])</f>
        <v>2025</v>
      </c>
    </row>
    <row r="1402" spans="1:16" x14ac:dyDescent="0.3">
      <c r="A1402">
        <v>11401</v>
      </c>
      <c r="B1402" s="1">
        <v>45962</v>
      </c>
      <c r="C1402">
        <v>1945</v>
      </c>
      <c r="D1402" t="s">
        <v>15</v>
      </c>
      <c r="E1402" t="s">
        <v>17</v>
      </c>
      <c r="F1402">
        <v>5</v>
      </c>
      <c r="G1402">
        <v>43.57</v>
      </c>
      <c r="H1402">
        <v>0.34</v>
      </c>
      <c r="I1402" t="s">
        <v>16</v>
      </c>
      <c r="J1402">
        <v>3</v>
      </c>
      <c r="K1402">
        <v>2.9</v>
      </c>
      <c r="L1402">
        <v>143.78</v>
      </c>
      <c r="M1402">
        <f>(Table1[[#This Row],[unit_price]]*Table1[[#This Row],[quantity]])-(Table1[[#This Row],[unit_price]]*Table1[[#This Row],[discount]]*Table1[[#This Row],[quantity]])</f>
        <v>143.78100000000001</v>
      </c>
      <c r="N1402">
        <f>DAY(Table1[[#This Row],[order_date]])</f>
        <v>1</v>
      </c>
      <c r="O1402" t="str">
        <f>TEXT(Table1[[#This Row],[order_date]],"mmm")</f>
        <v>Nov</v>
      </c>
      <c r="P1402">
        <f>YEAR(Table1[[#This Row],[order_date]])</f>
        <v>2025</v>
      </c>
    </row>
    <row r="1403" spans="1:16" x14ac:dyDescent="0.3">
      <c r="A1403">
        <v>11402</v>
      </c>
      <c r="B1403" s="1">
        <v>45963</v>
      </c>
      <c r="C1403">
        <v>1333</v>
      </c>
      <c r="D1403" t="s">
        <v>12</v>
      </c>
      <c r="E1403" t="s">
        <v>20</v>
      </c>
      <c r="F1403">
        <v>5</v>
      </c>
      <c r="G1403">
        <v>528.6</v>
      </c>
      <c r="H1403">
        <v>0.34</v>
      </c>
      <c r="I1403" t="s">
        <v>16</v>
      </c>
      <c r="J1403">
        <v>1</v>
      </c>
      <c r="K1403">
        <v>3.9</v>
      </c>
      <c r="L1403">
        <v>1744.38</v>
      </c>
      <c r="M1403">
        <f>(Table1[[#This Row],[unit_price]]*Table1[[#This Row],[quantity]])-(Table1[[#This Row],[unit_price]]*Table1[[#This Row],[discount]]*Table1[[#This Row],[quantity]])</f>
        <v>1744.3799999999999</v>
      </c>
      <c r="N1403">
        <f>DAY(Table1[[#This Row],[order_date]])</f>
        <v>2</v>
      </c>
      <c r="O1403" t="str">
        <f>TEXT(Table1[[#This Row],[order_date]],"mmm")</f>
        <v>Nov</v>
      </c>
      <c r="P1403">
        <f>YEAR(Table1[[#This Row],[order_date]])</f>
        <v>2025</v>
      </c>
    </row>
    <row r="1404" spans="1:16" x14ac:dyDescent="0.3">
      <c r="A1404">
        <v>11403</v>
      </c>
      <c r="B1404" s="1">
        <v>45964</v>
      </c>
      <c r="C1404">
        <v>1884</v>
      </c>
      <c r="D1404" t="s">
        <v>15</v>
      </c>
      <c r="E1404" t="s">
        <v>13</v>
      </c>
      <c r="F1404">
        <v>3</v>
      </c>
      <c r="G1404">
        <v>61.7</v>
      </c>
      <c r="H1404">
        <v>0.35</v>
      </c>
      <c r="I1404" t="s">
        <v>18</v>
      </c>
      <c r="J1404">
        <v>3</v>
      </c>
      <c r="K1404">
        <v>4.4000000000000004</v>
      </c>
      <c r="L1404">
        <v>120.32</v>
      </c>
      <c r="M1404">
        <f>(Table1[[#This Row],[unit_price]]*Table1[[#This Row],[quantity]])-(Table1[[#This Row],[unit_price]]*Table1[[#This Row],[discount]]*Table1[[#This Row],[quantity]])</f>
        <v>120.31500000000003</v>
      </c>
      <c r="N1404">
        <f>DAY(Table1[[#This Row],[order_date]])</f>
        <v>3</v>
      </c>
      <c r="O1404" t="str">
        <f>TEXT(Table1[[#This Row],[order_date]],"mmm")</f>
        <v>Nov</v>
      </c>
      <c r="P1404">
        <f>YEAR(Table1[[#This Row],[order_date]])</f>
        <v>2025</v>
      </c>
    </row>
    <row r="1405" spans="1:16" x14ac:dyDescent="0.3">
      <c r="A1405">
        <v>11404</v>
      </c>
      <c r="B1405" s="1">
        <v>45965</v>
      </c>
      <c r="C1405">
        <v>1375</v>
      </c>
      <c r="D1405" t="s">
        <v>19</v>
      </c>
      <c r="E1405" t="s">
        <v>13</v>
      </c>
      <c r="F1405">
        <v>3</v>
      </c>
      <c r="G1405">
        <v>101.78</v>
      </c>
      <c r="H1405">
        <v>0.17</v>
      </c>
      <c r="I1405" t="s">
        <v>18</v>
      </c>
      <c r="J1405">
        <v>2</v>
      </c>
      <c r="K1405">
        <v>1.9</v>
      </c>
      <c r="L1405">
        <v>253.43</v>
      </c>
      <c r="M1405">
        <f>(Table1[[#This Row],[unit_price]]*Table1[[#This Row],[quantity]])-(Table1[[#This Row],[unit_price]]*Table1[[#This Row],[discount]]*Table1[[#This Row],[quantity]])</f>
        <v>253.43220000000002</v>
      </c>
      <c r="N1405">
        <f>DAY(Table1[[#This Row],[order_date]])</f>
        <v>4</v>
      </c>
      <c r="O1405" t="str">
        <f>TEXT(Table1[[#This Row],[order_date]],"mmm")</f>
        <v>Nov</v>
      </c>
      <c r="P1405">
        <f>YEAR(Table1[[#This Row],[order_date]])</f>
        <v>2025</v>
      </c>
    </row>
    <row r="1406" spans="1:16" x14ac:dyDescent="0.3">
      <c r="A1406">
        <v>11405</v>
      </c>
      <c r="B1406" s="1">
        <v>45966</v>
      </c>
      <c r="C1406">
        <v>1458</v>
      </c>
      <c r="D1406" t="s">
        <v>22</v>
      </c>
      <c r="E1406" t="s">
        <v>13</v>
      </c>
      <c r="F1406">
        <v>5</v>
      </c>
      <c r="G1406">
        <v>27.95</v>
      </c>
      <c r="H1406">
        <v>0.34</v>
      </c>
      <c r="I1406" t="s">
        <v>16</v>
      </c>
      <c r="J1406">
        <v>2</v>
      </c>
      <c r="K1406">
        <v>3.5</v>
      </c>
      <c r="L1406">
        <v>92.23</v>
      </c>
      <c r="M1406">
        <f>(Table1[[#This Row],[unit_price]]*Table1[[#This Row],[quantity]])-(Table1[[#This Row],[unit_price]]*Table1[[#This Row],[discount]]*Table1[[#This Row],[quantity]])</f>
        <v>92.234999999999999</v>
      </c>
      <c r="N1406">
        <f>DAY(Table1[[#This Row],[order_date]])</f>
        <v>5</v>
      </c>
      <c r="O1406" t="str">
        <f>TEXT(Table1[[#This Row],[order_date]],"mmm")</f>
        <v>Nov</v>
      </c>
      <c r="P1406">
        <f>YEAR(Table1[[#This Row],[order_date]])</f>
        <v>2025</v>
      </c>
    </row>
    <row r="1407" spans="1:16" x14ac:dyDescent="0.3">
      <c r="A1407">
        <v>11406</v>
      </c>
      <c r="B1407" s="1">
        <v>45967</v>
      </c>
      <c r="C1407">
        <v>1136</v>
      </c>
      <c r="D1407" t="s">
        <v>19</v>
      </c>
      <c r="E1407" t="s">
        <v>17</v>
      </c>
      <c r="F1407">
        <v>4</v>
      </c>
      <c r="G1407">
        <v>382.58</v>
      </c>
      <c r="H1407">
        <v>0.14000000000000001</v>
      </c>
      <c r="I1407" t="s">
        <v>16</v>
      </c>
      <c r="J1407">
        <v>11</v>
      </c>
      <c r="K1407">
        <v>3.2</v>
      </c>
      <c r="L1407">
        <v>1316.08</v>
      </c>
      <c r="M1407">
        <f>(Table1[[#This Row],[unit_price]]*Table1[[#This Row],[quantity]])-(Table1[[#This Row],[unit_price]]*Table1[[#This Row],[discount]]*Table1[[#This Row],[quantity]])</f>
        <v>1316.0752</v>
      </c>
      <c r="N1407">
        <f>DAY(Table1[[#This Row],[order_date]])</f>
        <v>6</v>
      </c>
      <c r="O1407" t="str">
        <f>TEXT(Table1[[#This Row],[order_date]],"mmm")</f>
        <v>Nov</v>
      </c>
      <c r="P1407">
        <f>YEAR(Table1[[#This Row],[order_date]])</f>
        <v>2025</v>
      </c>
    </row>
    <row r="1408" spans="1:16" x14ac:dyDescent="0.3">
      <c r="A1408">
        <v>11407</v>
      </c>
      <c r="B1408" s="1">
        <v>45968</v>
      </c>
      <c r="C1408">
        <v>1929</v>
      </c>
      <c r="D1408" t="s">
        <v>12</v>
      </c>
      <c r="E1408" t="s">
        <v>17</v>
      </c>
      <c r="F1408">
        <v>3</v>
      </c>
      <c r="G1408">
        <v>355.69</v>
      </c>
      <c r="H1408">
        <v>0.01</v>
      </c>
      <c r="I1408" t="s">
        <v>16</v>
      </c>
      <c r="J1408">
        <v>4</v>
      </c>
      <c r="K1408">
        <v>4</v>
      </c>
      <c r="L1408">
        <v>1056.4000000000001</v>
      </c>
      <c r="M1408">
        <f>(Table1[[#This Row],[unit_price]]*Table1[[#This Row],[quantity]])-(Table1[[#This Row],[unit_price]]*Table1[[#This Row],[discount]]*Table1[[#This Row],[quantity]])</f>
        <v>1056.3993</v>
      </c>
      <c r="N1408">
        <f>DAY(Table1[[#This Row],[order_date]])</f>
        <v>7</v>
      </c>
      <c r="O1408" t="str">
        <f>TEXT(Table1[[#This Row],[order_date]],"mmm")</f>
        <v>Nov</v>
      </c>
      <c r="P1408">
        <f>YEAR(Table1[[#This Row],[order_date]])</f>
        <v>2025</v>
      </c>
    </row>
    <row r="1409" spans="1:16" x14ac:dyDescent="0.3">
      <c r="A1409">
        <v>11408</v>
      </c>
      <c r="B1409" s="1">
        <v>45969</v>
      </c>
      <c r="C1409">
        <v>1587</v>
      </c>
      <c r="D1409" t="s">
        <v>15</v>
      </c>
      <c r="E1409" t="s">
        <v>21</v>
      </c>
      <c r="F1409">
        <v>6</v>
      </c>
      <c r="G1409">
        <v>592.34</v>
      </c>
      <c r="H1409">
        <v>0.08</v>
      </c>
      <c r="I1409" t="s">
        <v>18</v>
      </c>
      <c r="J1409">
        <v>2</v>
      </c>
      <c r="K1409">
        <v>3.8</v>
      </c>
      <c r="L1409">
        <v>3269.72</v>
      </c>
      <c r="M1409">
        <f>(Table1[[#This Row],[unit_price]]*Table1[[#This Row],[quantity]])-(Table1[[#This Row],[unit_price]]*Table1[[#This Row],[discount]]*Table1[[#This Row],[quantity]])</f>
        <v>3269.7168000000001</v>
      </c>
      <c r="N1409">
        <f>DAY(Table1[[#This Row],[order_date]])</f>
        <v>8</v>
      </c>
      <c r="O1409" t="str">
        <f>TEXT(Table1[[#This Row],[order_date]],"mmm")</f>
        <v>Nov</v>
      </c>
      <c r="P1409">
        <f>YEAR(Table1[[#This Row],[order_date]])</f>
        <v>2025</v>
      </c>
    </row>
    <row r="1410" spans="1:16" x14ac:dyDescent="0.3">
      <c r="A1410">
        <v>11409</v>
      </c>
      <c r="B1410" s="1">
        <v>45970</v>
      </c>
      <c r="C1410">
        <v>1994</v>
      </c>
      <c r="D1410" t="s">
        <v>15</v>
      </c>
      <c r="E1410" t="s">
        <v>13</v>
      </c>
      <c r="F1410">
        <v>6</v>
      </c>
      <c r="G1410">
        <v>533.86</v>
      </c>
      <c r="H1410">
        <v>0.33</v>
      </c>
      <c r="I1410" t="s">
        <v>14</v>
      </c>
      <c r="J1410">
        <v>8</v>
      </c>
      <c r="K1410">
        <v>4.3</v>
      </c>
      <c r="L1410">
        <v>2146.12</v>
      </c>
      <c r="M1410">
        <f>(Table1[[#This Row],[unit_price]]*Table1[[#This Row],[quantity]])-(Table1[[#This Row],[unit_price]]*Table1[[#This Row],[discount]]*Table1[[#This Row],[quantity]])</f>
        <v>2146.1171999999997</v>
      </c>
      <c r="N1410">
        <f>DAY(Table1[[#This Row],[order_date]])</f>
        <v>9</v>
      </c>
      <c r="O1410" t="str">
        <f>TEXT(Table1[[#This Row],[order_date]],"mmm")</f>
        <v>Nov</v>
      </c>
      <c r="P1410">
        <f>YEAR(Table1[[#This Row],[order_date]])</f>
        <v>2025</v>
      </c>
    </row>
    <row r="1411" spans="1:16" x14ac:dyDescent="0.3">
      <c r="A1411">
        <v>11410</v>
      </c>
      <c r="B1411" s="1">
        <v>45971</v>
      </c>
      <c r="C1411">
        <v>1546</v>
      </c>
      <c r="D1411" t="s">
        <v>19</v>
      </c>
      <c r="E1411" t="s">
        <v>21</v>
      </c>
      <c r="F1411">
        <v>4</v>
      </c>
      <c r="G1411">
        <v>255.34</v>
      </c>
      <c r="H1411">
        <v>0</v>
      </c>
      <c r="I1411" t="s">
        <v>18</v>
      </c>
      <c r="J1411">
        <v>5</v>
      </c>
      <c r="K1411">
        <v>2.2000000000000002</v>
      </c>
      <c r="L1411">
        <v>1021.36</v>
      </c>
      <c r="M1411">
        <f>(Table1[[#This Row],[unit_price]]*Table1[[#This Row],[quantity]])-(Table1[[#This Row],[unit_price]]*Table1[[#This Row],[discount]]*Table1[[#This Row],[quantity]])</f>
        <v>1021.36</v>
      </c>
      <c r="N1411">
        <f>DAY(Table1[[#This Row],[order_date]])</f>
        <v>10</v>
      </c>
      <c r="O1411" t="str">
        <f>TEXT(Table1[[#This Row],[order_date]],"mmm")</f>
        <v>Nov</v>
      </c>
      <c r="P1411">
        <f>YEAR(Table1[[#This Row],[order_date]])</f>
        <v>2025</v>
      </c>
    </row>
    <row r="1412" spans="1:16" x14ac:dyDescent="0.3">
      <c r="A1412">
        <v>11411</v>
      </c>
      <c r="B1412" s="1">
        <v>45972</v>
      </c>
      <c r="C1412">
        <v>1512</v>
      </c>
      <c r="D1412" t="s">
        <v>15</v>
      </c>
      <c r="E1412" t="s">
        <v>21</v>
      </c>
      <c r="F1412">
        <v>5</v>
      </c>
      <c r="G1412">
        <v>232.38</v>
      </c>
      <c r="H1412">
        <v>0.19</v>
      </c>
      <c r="I1412" t="s">
        <v>16</v>
      </c>
      <c r="J1412">
        <v>1</v>
      </c>
      <c r="K1412">
        <v>1.9</v>
      </c>
      <c r="L1412">
        <v>941.14</v>
      </c>
      <c r="M1412">
        <f>(Table1[[#This Row],[unit_price]]*Table1[[#This Row],[quantity]])-(Table1[[#This Row],[unit_price]]*Table1[[#This Row],[discount]]*Table1[[#This Row],[quantity]])</f>
        <v>941.13900000000012</v>
      </c>
      <c r="N1412">
        <f>DAY(Table1[[#This Row],[order_date]])</f>
        <v>11</v>
      </c>
      <c r="O1412" t="str">
        <f>TEXT(Table1[[#This Row],[order_date]],"mmm")</f>
        <v>Nov</v>
      </c>
      <c r="P1412">
        <f>YEAR(Table1[[#This Row],[order_date]])</f>
        <v>2025</v>
      </c>
    </row>
    <row r="1413" spans="1:16" x14ac:dyDescent="0.3">
      <c r="A1413">
        <v>11412</v>
      </c>
      <c r="B1413" s="1">
        <v>45973</v>
      </c>
      <c r="C1413">
        <v>1295</v>
      </c>
      <c r="D1413" t="s">
        <v>22</v>
      </c>
      <c r="E1413" t="s">
        <v>20</v>
      </c>
      <c r="F1413">
        <v>3</v>
      </c>
      <c r="G1413">
        <v>188.66</v>
      </c>
      <c r="H1413">
        <v>0.03</v>
      </c>
      <c r="I1413" t="s">
        <v>18</v>
      </c>
      <c r="J1413">
        <v>6</v>
      </c>
      <c r="K1413">
        <v>4.2</v>
      </c>
      <c r="L1413">
        <v>549</v>
      </c>
      <c r="M1413">
        <f>(Table1[[#This Row],[unit_price]]*Table1[[#This Row],[quantity]])-(Table1[[#This Row],[unit_price]]*Table1[[#This Row],[discount]]*Table1[[#This Row],[quantity]])</f>
        <v>549.00060000000008</v>
      </c>
      <c r="N1413">
        <f>DAY(Table1[[#This Row],[order_date]])</f>
        <v>12</v>
      </c>
      <c r="O1413" t="str">
        <f>TEXT(Table1[[#This Row],[order_date]],"mmm")</f>
        <v>Nov</v>
      </c>
      <c r="P1413">
        <f>YEAR(Table1[[#This Row],[order_date]])</f>
        <v>2025</v>
      </c>
    </row>
    <row r="1414" spans="1:16" x14ac:dyDescent="0.3">
      <c r="A1414">
        <v>11413</v>
      </c>
      <c r="B1414" s="1">
        <v>45974</v>
      </c>
      <c r="C1414">
        <v>1319</v>
      </c>
      <c r="D1414" t="s">
        <v>22</v>
      </c>
      <c r="E1414" t="s">
        <v>20</v>
      </c>
      <c r="F1414">
        <v>2</v>
      </c>
      <c r="G1414">
        <v>104.16</v>
      </c>
      <c r="H1414">
        <v>0.1</v>
      </c>
      <c r="I1414" t="s">
        <v>16</v>
      </c>
      <c r="J1414">
        <v>7</v>
      </c>
      <c r="K1414">
        <v>2.4</v>
      </c>
      <c r="L1414">
        <v>187.49</v>
      </c>
      <c r="M1414">
        <f>(Table1[[#This Row],[unit_price]]*Table1[[#This Row],[quantity]])-(Table1[[#This Row],[unit_price]]*Table1[[#This Row],[discount]]*Table1[[#This Row],[quantity]])</f>
        <v>187.488</v>
      </c>
      <c r="N1414">
        <f>DAY(Table1[[#This Row],[order_date]])</f>
        <v>13</v>
      </c>
      <c r="O1414" t="str">
        <f>TEXT(Table1[[#This Row],[order_date]],"mmm")</f>
        <v>Nov</v>
      </c>
      <c r="P1414">
        <f>YEAR(Table1[[#This Row],[order_date]])</f>
        <v>2025</v>
      </c>
    </row>
    <row r="1415" spans="1:16" x14ac:dyDescent="0.3">
      <c r="A1415">
        <v>11414</v>
      </c>
      <c r="B1415" s="1">
        <v>45975</v>
      </c>
      <c r="C1415">
        <v>1917</v>
      </c>
      <c r="D1415" t="s">
        <v>19</v>
      </c>
      <c r="E1415" t="s">
        <v>13</v>
      </c>
      <c r="F1415">
        <v>5</v>
      </c>
      <c r="G1415">
        <v>95.78</v>
      </c>
      <c r="H1415">
        <v>0.03</v>
      </c>
      <c r="I1415" t="s">
        <v>16</v>
      </c>
      <c r="J1415">
        <v>1</v>
      </c>
      <c r="K1415">
        <v>2.2000000000000002</v>
      </c>
      <c r="L1415">
        <v>464.53</v>
      </c>
      <c r="M1415">
        <f>(Table1[[#This Row],[unit_price]]*Table1[[#This Row],[quantity]])-(Table1[[#This Row],[unit_price]]*Table1[[#This Row],[discount]]*Table1[[#This Row],[quantity]])</f>
        <v>464.53299999999996</v>
      </c>
      <c r="N1415">
        <f>DAY(Table1[[#This Row],[order_date]])</f>
        <v>14</v>
      </c>
      <c r="O1415" t="str">
        <f>TEXT(Table1[[#This Row],[order_date]],"mmm")</f>
        <v>Nov</v>
      </c>
      <c r="P1415">
        <f>YEAR(Table1[[#This Row],[order_date]])</f>
        <v>2025</v>
      </c>
    </row>
    <row r="1416" spans="1:16" x14ac:dyDescent="0.3">
      <c r="A1416">
        <v>11415</v>
      </c>
      <c r="B1416" s="1">
        <v>45976</v>
      </c>
      <c r="C1416">
        <v>1571</v>
      </c>
      <c r="D1416" t="s">
        <v>19</v>
      </c>
      <c r="E1416" t="s">
        <v>17</v>
      </c>
      <c r="F1416">
        <v>3</v>
      </c>
      <c r="G1416">
        <v>92.39</v>
      </c>
      <c r="H1416">
        <v>0.3</v>
      </c>
      <c r="I1416" t="s">
        <v>16</v>
      </c>
      <c r="J1416">
        <v>3</v>
      </c>
      <c r="K1416">
        <v>2.2999999999999998</v>
      </c>
      <c r="L1416">
        <v>194.02</v>
      </c>
      <c r="M1416">
        <f>(Table1[[#This Row],[unit_price]]*Table1[[#This Row],[quantity]])-(Table1[[#This Row],[unit_price]]*Table1[[#This Row],[discount]]*Table1[[#This Row],[quantity]])</f>
        <v>194.01900000000001</v>
      </c>
      <c r="N1416">
        <f>DAY(Table1[[#This Row],[order_date]])</f>
        <v>15</v>
      </c>
      <c r="O1416" t="str">
        <f>TEXT(Table1[[#This Row],[order_date]],"mmm")</f>
        <v>Nov</v>
      </c>
      <c r="P1416">
        <f>YEAR(Table1[[#This Row],[order_date]])</f>
        <v>2025</v>
      </c>
    </row>
    <row r="1417" spans="1:16" x14ac:dyDescent="0.3">
      <c r="A1417">
        <v>11416</v>
      </c>
      <c r="B1417" s="1">
        <v>45977</v>
      </c>
      <c r="C1417">
        <v>1831</v>
      </c>
      <c r="D1417" t="s">
        <v>22</v>
      </c>
      <c r="E1417" t="s">
        <v>20</v>
      </c>
      <c r="F1417">
        <v>4</v>
      </c>
      <c r="G1417">
        <v>81.760000000000005</v>
      </c>
      <c r="H1417">
        <v>0.21</v>
      </c>
      <c r="I1417" t="s">
        <v>18</v>
      </c>
      <c r="J1417">
        <v>9</v>
      </c>
      <c r="K1417">
        <v>1.3</v>
      </c>
      <c r="L1417">
        <v>258.36</v>
      </c>
      <c r="M1417">
        <f>(Table1[[#This Row],[unit_price]]*Table1[[#This Row],[quantity]])-(Table1[[#This Row],[unit_price]]*Table1[[#This Row],[discount]]*Table1[[#This Row],[quantity]])</f>
        <v>258.36160000000001</v>
      </c>
      <c r="N1417">
        <f>DAY(Table1[[#This Row],[order_date]])</f>
        <v>16</v>
      </c>
      <c r="O1417" t="str">
        <f>TEXT(Table1[[#This Row],[order_date]],"mmm")</f>
        <v>Nov</v>
      </c>
      <c r="P1417">
        <f>YEAR(Table1[[#This Row],[order_date]])</f>
        <v>2025</v>
      </c>
    </row>
    <row r="1418" spans="1:16" x14ac:dyDescent="0.3">
      <c r="A1418">
        <v>11417</v>
      </c>
      <c r="B1418" s="1">
        <v>45978</v>
      </c>
      <c r="C1418">
        <v>1348</v>
      </c>
      <c r="D1418" t="s">
        <v>12</v>
      </c>
      <c r="E1418" t="s">
        <v>17</v>
      </c>
      <c r="F1418">
        <v>6</v>
      </c>
      <c r="G1418">
        <v>155.69999999999999</v>
      </c>
      <c r="H1418">
        <v>0.32</v>
      </c>
      <c r="I1418" t="s">
        <v>18</v>
      </c>
      <c r="J1418">
        <v>7</v>
      </c>
      <c r="K1418">
        <v>4.0999999999999996</v>
      </c>
      <c r="L1418">
        <v>635.26</v>
      </c>
      <c r="M1418">
        <f>(Table1[[#This Row],[unit_price]]*Table1[[#This Row],[quantity]])-(Table1[[#This Row],[unit_price]]*Table1[[#This Row],[discount]]*Table1[[#This Row],[quantity]])</f>
        <v>635.25599999999997</v>
      </c>
      <c r="N1418">
        <f>DAY(Table1[[#This Row],[order_date]])</f>
        <v>17</v>
      </c>
      <c r="O1418" t="str">
        <f>TEXT(Table1[[#This Row],[order_date]],"mmm")</f>
        <v>Nov</v>
      </c>
      <c r="P1418">
        <f>YEAR(Table1[[#This Row],[order_date]])</f>
        <v>2025</v>
      </c>
    </row>
    <row r="1419" spans="1:16" x14ac:dyDescent="0.3">
      <c r="A1419">
        <v>11418</v>
      </c>
      <c r="B1419" s="1">
        <v>45979</v>
      </c>
      <c r="C1419">
        <v>1839</v>
      </c>
      <c r="D1419" t="s">
        <v>19</v>
      </c>
      <c r="E1419" t="s">
        <v>21</v>
      </c>
      <c r="F1419">
        <v>4</v>
      </c>
      <c r="G1419">
        <v>194.4</v>
      </c>
      <c r="H1419">
        <v>0.24</v>
      </c>
      <c r="I1419" t="s">
        <v>18</v>
      </c>
      <c r="J1419">
        <v>4</v>
      </c>
      <c r="K1419">
        <v>3.9</v>
      </c>
      <c r="L1419">
        <v>590.98</v>
      </c>
      <c r="M1419">
        <f>(Table1[[#This Row],[unit_price]]*Table1[[#This Row],[quantity]])-(Table1[[#This Row],[unit_price]]*Table1[[#This Row],[discount]]*Table1[[#This Row],[quantity]])</f>
        <v>590.976</v>
      </c>
      <c r="N1419">
        <f>DAY(Table1[[#This Row],[order_date]])</f>
        <v>18</v>
      </c>
      <c r="O1419" t="str">
        <f>TEXT(Table1[[#This Row],[order_date]],"mmm")</f>
        <v>Nov</v>
      </c>
      <c r="P1419">
        <f>YEAR(Table1[[#This Row],[order_date]])</f>
        <v>2025</v>
      </c>
    </row>
    <row r="1420" spans="1:16" x14ac:dyDescent="0.3">
      <c r="A1420">
        <v>11419</v>
      </c>
      <c r="B1420" s="1">
        <v>45980</v>
      </c>
      <c r="C1420">
        <v>1778</v>
      </c>
      <c r="D1420" t="s">
        <v>15</v>
      </c>
      <c r="E1420" t="s">
        <v>21</v>
      </c>
      <c r="F1420">
        <v>3</v>
      </c>
      <c r="G1420">
        <v>577.52</v>
      </c>
      <c r="H1420">
        <v>0.34</v>
      </c>
      <c r="I1420" t="s">
        <v>18</v>
      </c>
      <c r="J1420">
        <v>6</v>
      </c>
      <c r="K1420">
        <v>3.2</v>
      </c>
      <c r="L1420">
        <v>1143.49</v>
      </c>
      <c r="M1420">
        <f>(Table1[[#This Row],[unit_price]]*Table1[[#This Row],[quantity]])-(Table1[[#This Row],[unit_price]]*Table1[[#This Row],[discount]]*Table1[[#This Row],[quantity]])</f>
        <v>1143.4895999999999</v>
      </c>
      <c r="N1420">
        <f>DAY(Table1[[#This Row],[order_date]])</f>
        <v>19</v>
      </c>
      <c r="O1420" t="str">
        <f>TEXT(Table1[[#This Row],[order_date]],"mmm")</f>
        <v>Nov</v>
      </c>
      <c r="P1420">
        <f>YEAR(Table1[[#This Row],[order_date]])</f>
        <v>2025</v>
      </c>
    </row>
    <row r="1421" spans="1:16" x14ac:dyDescent="0.3">
      <c r="A1421">
        <v>11420</v>
      </c>
      <c r="B1421" s="1">
        <v>45981</v>
      </c>
      <c r="C1421">
        <v>1872</v>
      </c>
      <c r="D1421" t="s">
        <v>19</v>
      </c>
      <c r="E1421" t="s">
        <v>21</v>
      </c>
      <c r="F1421">
        <v>4</v>
      </c>
      <c r="G1421">
        <v>353.41</v>
      </c>
      <c r="H1421">
        <v>0.18</v>
      </c>
      <c r="I1421" t="s">
        <v>16</v>
      </c>
      <c r="J1421">
        <v>6</v>
      </c>
      <c r="K1421">
        <v>3.9</v>
      </c>
      <c r="L1421">
        <v>1159.18</v>
      </c>
      <c r="M1421">
        <f>(Table1[[#This Row],[unit_price]]*Table1[[#This Row],[quantity]])-(Table1[[#This Row],[unit_price]]*Table1[[#This Row],[discount]]*Table1[[#This Row],[quantity]])</f>
        <v>1159.1848</v>
      </c>
      <c r="N1421">
        <f>DAY(Table1[[#This Row],[order_date]])</f>
        <v>20</v>
      </c>
      <c r="O1421" t="str">
        <f>TEXT(Table1[[#This Row],[order_date]],"mmm")</f>
        <v>Nov</v>
      </c>
      <c r="P1421">
        <f>YEAR(Table1[[#This Row],[order_date]])</f>
        <v>2025</v>
      </c>
    </row>
    <row r="1422" spans="1:16" x14ac:dyDescent="0.3">
      <c r="A1422">
        <v>11421</v>
      </c>
      <c r="B1422" s="1">
        <v>45982</v>
      </c>
      <c r="C1422">
        <v>1228</v>
      </c>
      <c r="D1422" t="s">
        <v>12</v>
      </c>
      <c r="E1422" t="s">
        <v>21</v>
      </c>
      <c r="F1422">
        <v>3</v>
      </c>
      <c r="G1422">
        <v>592.74</v>
      </c>
      <c r="H1422">
        <v>0.22</v>
      </c>
      <c r="I1422" t="s">
        <v>16</v>
      </c>
      <c r="J1422">
        <v>3</v>
      </c>
      <c r="K1422">
        <v>2.5</v>
      </c>
      <c r="L1422">
        <v>1387.01</v>
      </c>
      <c r="M1422">
        <f>(Table1[[#This Row],[unit_price]]*Table1[[#This Row],[quantity]])-(Table1[[#This Row],[unit_price]]*Table1[[#This Row],[discount]]*Table1[[#This Row],[quantity]])</f>
        <v>1387.0116</v>
      </c>
      <c r="N1422">
        <f>DAY(Table1[[#This Row],[order_date]])</f>
        <v>21</v>
      </c>
      <c r="O1422" t="str">
        <f>TEXT(Table1[[#This Row],[order_date]],"mmm")</f>
        <v>Nov</v>
      </c>
      <c r="P1422">
        <f>YEAR(Table1[[#This Row],[order_date]])</f>
        <v>2025</v>
      </c>
    </row>
    <row r="1423" spans="1:16" x14ac:dyDescent="0.3">
      <c r="A1423">
        <v>11422</v>
      </c>
      <c r="B1423" s="1">
        <v>45983</v>
      </c>
      <c r="C1423">
        <v>1269</v>
      </c>
      <c r="D1423" t="s">
        <v>19</v>
      </c>
      <c r="E1423" t="s">
        <v>13</v>
      </c>
      <c r="F1423">
        <v>3</v>
      </c>
      <c r="G1423">
        <v>232.89</v>
      </c>
      <c r="H1423">
        <v>0.2</v>
      </c>
      <c r="I1423" t="s">
        <v>18</v>
      </c>
      <c r="J1423">
        <v>2</v>
      </c>
      <c r="K1423">
        <v>2.2000000000000002</v>
      </c>
      <c r="L1423">
        <v>558.94000000000005</v>
      </c>
      <c r="M1423">
        <f>(Table1[[#This Row],[unit_price]]*Table1[[#This Row],[quantity]])-(Table1[[#This Row],[unit_price]]*Table1[[#This Row],[discount]]*Table1[[#This Row],[quantity]])</f>
        <v>558.93599999999992</v>
      </c>
      <c r="N1423">
        <f>DAY(Table1[[#This Row],[order_date]])</f>
        <v>22</v>
      </c>
      <c r="O1423" t="str">
        <f>TEXT(Table1[[#This Row],[order_date]],"mmm")</f>
        <v>Nov</v>
      </c>
      <c r="P1423">
        <f>YEAR(Table1[[#This Row],[order_date]])</f>
        <v>2025</v>
      </c>
    </row>
    <row r="1424" spans="1:16" x14ac:dyDescent="0.3">
      <c r="A1424">
        <v>11423</v>
      </c>
      <c r="B1424" s="1">
        <v>45984</v>
      </c>
      <c r="C1424">
        <v>1827</v>
      </c>
      <c r="D1424" t="s">
        <v>19</v>
      </c>
      <c r="E1424" t="s">
        <v>21</v>
      </c>
      <c r="F1424">
        <v>4</v>
      </c>
      <c r="G1424">
        <v>282.70999999999998</v>
      </c>
      <c r="H1424">
        <v>0.17</v>
      </c>
      <c r="I1424" t="s">
        <v>18</v>
      </c>
      <c r="J1424">
        <v>5</v>
      </c>
      <c r="K1424">
        <v>4.4000000000000004</v>
      </c>
      <c r="L1424">
        <v>938.6</v>
      </c>
      <c r="M1424">
        <f>(Table1[[#This Row],[unit_price]]*Table1[[#This Row],[quantity]])-(Table1[[#This Row],[unit_price]]*Table1[[#This Row],[discount]]*Table1[[#This Row],[quantity]])</f>
        <v>938.59719999999993</v>
      </c>
      <c r="N1424">
        <f>DAY(Table1[[#This Row],[order_date]])</f>
        <v>23</v>
      </c>
      <c r="O1424" t="str">
        <f>TEXT(Table1[[#This Row],[order_date]],"mmm")</f>
        <v>Nov</v>
      </c>
      <c r="P1424">
        <f>YEAR(Table1[[#This Row],[order_date]])</f>
        <v>2025</v>
      </c>
    </row>
    <row r="1425" spans="1:16" x14ac:dyDescent="0.3">
      <c r="A1425">
        <v>11424</v>
      </c>
      <c r="B1425" s="1">
        <v>45985</v>
      </c>
      <c r="C1425">
        <v>1797</v>
      </c>
      <c r="D1425" t="s">
        <v>22</v>
      </c>
      <c r="E1425" t="s">
        <v>20</v>
      </c>
      <c r="F1425">
        <v>1</v>
      </c>
      <c r="G1425">
        <v>204.88</v>
      </c>
      <c r="H1425">
        <v>0.3</v>
      </c>
      <c r="I1425" t="s">
        <v>18</v>
      </c>
      <c r="J1425">
        <v>8</v>
      </c>
      <c r="K1425">
        <v>2.7</v>
      </c>
      <c r="L1425">
        <v>143.41999999999999</v>
      </c>
      <c r="M1425">
        <f>(Table1[[#This Row],[unit_price]]*Table1[[#This Row],[quantity]])-(Table1[[#This Row],[unit_price]]*Table1[[#This Row],[discount]]*Table1[[#This Row],[quantity]])</f>
        <v>143.416</v>
      </c>
      <c r="N1425">
        <f>DAY(Table1[[#This Row],[order_date]])</f>
        <v>24</v>
      </c>
      <c r="O1425" t="str">
        <f>TEXT(Table1[[#This Row],[order_date]],"mmm")</f>
        <v>Nov</v>
      </c>
      <c r="P1425">
        <f>YEAR(Table1[[#This Row],[order_date]])</f>
        <v>2025</v>
      </c>
    </row>
    <row r="1426" spans="1:16" x14ac:dyDescent="0.3">
      <c r="A1426">
        <v>11425</v>
      </c>
      <c r="B1426" s="1">
        <v>45986</v>
      </c>
      <c r="C1426">
        <v>1290</v>
      </c>
      <c r="D1426" t="s">
        <v>19</v>
      </c>
      <c r="E1426" t="s">
        <v>21</v>
      </c>
      <c r="F1426">
        <v>2</v>
      </c>
      <c r="G1426">
        <v>121.99</v>
      </c>
      <c r="H1426">
        <v>0.23</v>
      </c>
      <c r="I1426" t="s">
        <v>16</v>
      </c>
      <c r="J1426">
        <v>3</v>
      </c>
      <c r="K1426">
        <v>1.8</v>
      </c>
      <c r="L1426">
        <v>187.86</v>
      </c>
      <c r="M1426">
        <f>(Table1[[#This Row],[unit_price]]*Table1[[#This Row],[quantity]])-(Table1[[#This Row],[unit_price]]*Table1[[#This Row],[discount]]*Table1[[#This Row],[quantity]])</f>
        <v>187.8646</v>
      </c>
      <c r="N1426">
        <f>DAY(Table1[[#This Row],[order_date]])</f>
        <v>25</v>
      </c>
      <c r="O1426" t="str">
        <f>TEXT(Table1[[#This Row],[order_date]],"mmm")</f>
        <v>Nov</v>
      </c>
      <c r="P1426">
        <f>YEAR(Table1[[#This Row],[order_date]])</f>
        <v>2025</v>
      </c>
    </row>
    <row r="1427" spans="1:16" x14ac:dyDescent="0.3">
      <c r="A1427">
        <v>11426</v>
      </c>
      <c r="B1427" s="1">
        <v>45987</v>
      </c>
      <c r="C1427">
        <v>1724</v>
      </c>
      <c r="D1427" t="s">
        <v>15</v>
      </c>
      <c r="E1427" t="s">
        <v>17</v>
      </c>
      <c r="F1427">
        <v>5</v>
      </c>
      <c r="G1427">
        <v>98.75</v>
      </c>
      <c r="H1427">
        <v>0.28000000000000003</v>
      </c>
      <c r="I1427" t="s">
        <v>18</v>
      </c>
      <c r="J1427">
        <v>5</v>
      </c>
      <c r="K1427">
        <v>4</v>
      </c>
      <c r="L1427">
        <v>355.5</v>
      </c>
      <c r="M1427">
        <f>(Table1[[#This Row],[unit_price]]*Table1[[#This Row],[quantity]])-(Table1[[#This Row],[unit_price]]*Table1[[#This Row],[discount]]*Table1[[#This Row],[quantity]])</f>
        <v>355.5</v>
      </c>
      <c r="N1427">
        <f>DAY(Table1[[#This Row],[order_date]])</f>
        <v>26</v>
      </c>
      <c r="O1427" t="str">
        <f>TEXT(Table1[[#This Row],[order_date]],"mmm")</f>
        <v>Nov</v>
      </c>
      <c r="P1427">
        <f>YEAR(Table1[[#This Row],[order_date]])</f>
        <v>2025</v>
      </c>
    </row>
    <row r="1428" spans="1:16" x14ac:dyDescent="0.3">
      <c r="A1428">
        <v>11427</v>
      </c>
      <c r="B1428" s="1">
        <v>45988</v>
      </c>
      <c r="C1428">
        <v>1164</v>
      </c>
      <c r="D1428" t="s">
        <v>15</v>
      </c>
      <c r="E1428" t="s">
        <v>20</v>
      </c>
      <c r="F1428">
        <v>6</v>
      </c>
      <c r="G1428">
        <v>567.87</v>
      </c>
      <c r="H1428">
        <v>0.28000000000000003</v>
      </c>
      <c r="I1428" t="s">
        <v>16</v>
      </c>
      <c r="J1428">
        <v>3</v>
      </c>
      <c r="K1428">
        <v>2.2999999999999998</v>
      </c>
      <c r="L1428">
        <v>2453.1999999999998</v>
      </c>
      <c r="M1428">
        <f>(Table1[[#This Row],[unit_price]]*Table1[[#This Row],[quantity]])-(Table1[[#This Row],[unit_price]]*Table1[[#This Row],[discount]]*Table1[[#This Row],[quantity]])</f>
        <v>2453.1984000000002</v>
      </c>
      <c r="N1428">
        <f>DAY(Table1[[#This Row],[order_date]])</f>
        <v>27</v>
      </c>
      <c r="O1428" t="str">
        <f>TEXT(Table1[[#This Row],[order_date]],"mmm")</f>
        <v>Nov</v>
      </c>
      <c r="P1428">
        <f>YEAR(Table1[[#This Row],[order_date]])</f>
        <v>2025</v>
      </c>
    </row>
    <row r="1429" spans="1:16" x14ac:dyDescent="0.3">
      <c r="A1429">
        <v>11428</v>
      </c>
      <c r="B1429" s="1">
        <v>45989</v>
      </c>
      <c r="C1429">
        <v>1004</v>
      </c>
      <c r="D1429" t="s">
        <v>19</v>
      </c>
      <c r="E1429" t="s">
        <v>17</v>
      </c>
      <c r="F1429">
        <v>2</v>
      </c>
      <c r="G1429">
        <v>592.28</v>
      </c>
      <c r="H1429">
        <v>7.0000000000000007E-2</v>
      </c>
      <c r="I1429" t="s">
        <v>18</v>
      </c>
      <c r="J1429">
        <v>7</v>
      </c>
      <c r="K1429">
        <v>1.8</v>
      </c>
      <c r="L1429">
        <v>1101.6400000000001</v>
      </c>
      <c r="M1429">
        <f>(Table1[[#This Row],[unit_price]]*Table1[[#This Row],[quantity]])-(Table1[[#This Row],[unit_price]]*Table1[[#This Row],[discount]]*Table1[[#This Row],[quantity]])</f>
        <v>1101.6407999999999</v>
      </c>
      <c r="N1429">
        <f>DAY(Table1[[#This Row],[order_date]])</f>
        <v>28</v>
      </c>
      <c r="O1429" t="str">
        <f>TEXT(Table1[[#This Row],[order_date]],"mmm")</f>
        <v>Nov</v>
      </c>
      <c r="P1429">
        <f>YEAR(Table1[[#This Row],[order_date]])</f>
        <v>2025</v>
      </c>
    </row>
    <row r="1430" spans="1:16" x14ac:dyDescent="0.3">
      <c r="A1430">
        <v>11429</v>
      </c>
      <c r="B1430" s="1">
        <v>45990</v>
      </c>
      <c r="C1430">
        <v>1850</v>
      </c>
      <c r="D1430" t="s">
        <v>15</v>
      </c>
      <c r="E1430" t="s">
        <v>17</v>
      </c>
      <c r="F1430">
        <v>5</v>
      </c>
      <c r="G1430">
        <v>41.27</v>
      </c>
      <c r="H1430">
        <v>0.23</v>
      </c>
      <c r="I1430" t="s">
        <v>18</v>
      </c>
      <c r="J1430">
        <v>6</v>
      </c>
      <c r="K1430">
        <v>1.1000000000000001</v>
      </c>
      <c r="L1430">
        <v>158.88999999999999</v>
      </c>
      <c r="M1430">
        <f>(Table1[[#This Row],[unit_price]]*Table1[[#This Row],[quantity]])-(Table1[[#This Row],[unit_price]]*Table1[[#This Row],[discount]]*Table1[[#This Row],[quantity]])</f>
        <v>158.88950000000003</v>
      </c>
      <c r="N1430">
        <f>DAY(Table1[[#This Row],[order_date]])</f>
        <v>29</v>
      </c>
      <c r="O1430" t="str">
        <f>TEXT(Table1[[#This Row],[order_date]],"mmm")</f>
        <v>Nov</v>
      </c>
      <c r="P1430">
        <f>YEAR(Table1[[#This Row],[order_date]])</f>
        <v>2025</v>
      </c>
    </row>
    <row r="1431" spans="1:16" x14ac:dyDescent="0.3">
      <c r="A1431">
        <v>11430</v>
      </c>
      <c r="B1431" s="1">
        <v>45991</v>
      </c>
      <c r="C1431">
        <v>1378</v>
      </c>
      <c r="D1431" t="s">
        <v>15</v>
      </c>
      <c r="E1431" t="s">
        <v>13</v>
      </c>
      <c r="F1431">
        <v>5</v>
      </c>
      <c r="G1431">
        <v>102.95</v>
      </c>
      <c r="H1431">
        <v>7.0000000000000007E-2</v>
      </c>
      <c r="I1431" t="s">
        <v>14</v>
      </c>
      <c r="J1431">
        <v>6</v>
      </c>
      <c r="K1431">
        <v>4.9000000000000004</v>
      </c>
      <c r="L1431">
        <v>478.72</v>
      </c>
      <c r="M1431">
        <f>(Table1[[#This Row],[unit_price]]*Table1[[#This Row],[quantity]])-(Table1[[#This Row],[unit_price]]*Table1[[#This Row],[discount]]*Table1[[#This Row],[quantity]])</f>
        <v>478.71749999999997</v>
      </c>
      <c r="N1431">
        <f>DAY(Table1[[#This Row],[order_date]])</f>
        <v>30</v>
      </c>
      <c r="O1431" t="str">
        <f>TEXT(Table1[[#This Row],[order_date]],"mmm")</f>
        <v>Nov</v>
      </c>
      <c r="P1431">
        <f>YEAR(Table1[[#This Row],[order_date]])</f>
        <v>2025</v>
      </c>
    </row>
    <row r="1432" spans="1:16" x14ac:dyDescent="0.3">
      <c r="A1432">
        <v>11431</v>
      </c>
      <c r="B1432" s="1">
        <v>45992</v>
      </c>
      <c r="C1432">
        <v>1077</v>
      </c>
      <c r="D1432" t="s">
        <v>19</v>
      </c>
      <c r="E1432" t="s">
        <v>13</v>
      </c>
      <c r="F1432">
        <v>6</v>
      </c>
      <c r="G1432">
        <v>262.76</v>
      </c>
      <c r="H1432">
        <v>0.2</v>
      </c>
      <c r="I1432" t="s">
        <v>16</v>
      </c>
      <c r="J1432">
        <v>1</v>
      </c>
      <c r="K1432">
        <v>2.9</v>
      </c>
      <c r="L1432">
        <v>1261.25</v>
      </c>
      <c r="M1432">
        <f>(Table1[[#This Row],[unit_price]]*Table1[[#This Row],[quantity]])-(Table1[[#This Row],[unit_price]]*Table1[[#This Row],[discount]]*Table1[[#This Row],[quantity]])</f>
        <v>1261.248</v>
      </c>
      <c r="N1432">
        <f>DAY(Table1[[#This Row],[order_date]])</f>
        <v>1</v>
      </c>
      <c r="O1432" t="str">
        <f>TEXT(Table1[[#This Row],[order_date]],"mmm")</f>
        <v>Dec</v>
      </c>
      <c r="P1432">
        <f>YEAR(Table1[[#This Row],[order_date]])</f>
        <v>2025</v>
      </c>
    </row>
    <row r="1433" spans="1:16" x14ac:dyDescent="0.3">
      <c r="A1433">
        <v>11432</v>
      </c>
      <c r="B1433" s="1">
        <v>45993</v>
      </c>
      <c r="C1433">
        <v>1409</v>
      </c>
      <c r="D1433" t="s">
        <v>15</v>
      </c>
      <c r="E1433" t="s">
        <v>17</v>
      </c>
      <c r="F1433">
        <v>2</v>
      </c>
      <c r="G1433">
        <v>124.01</v>
      </c>
      <c r="H1433">
        <v>0.24</v>
      </c>
      <c r="I1433" t="s">
        <v>18</v>
      </c>
      <c r="J1433">
        <v>2</v>
      </c>
      <c r="K1433">
        <v>1.6</v>
      </c>
      <c r="L1433">
        <v>188.5</v>
      </c>
      <c r="M1433">
        <f>(Table1[[#This Row],[unit_price]]*Table1[[#This Row],[quantity]])-(Table1[[#This Row],[unit_price]]*Table1[[#This Row],[discount]]*Table1[[#This Row],[quantity]])</f>
        <v>188.49520000000001</v>
      </c>
      <c r="N1433">
        <f>DAY(Table1[[#This Row],[order_date]])</f>
        <v>2</v>
      </c>
      <c r="O1433" t="str">
        <f>TEXT(Table1[[#This Row],[order_date]],"mmm")</f>
        <v>Dec</v>
      </c>
      <c r="P1433">
        <f>YEAR(Table1[[#This Row],[order_date]])</f>
        <v>2025</v>
      </c>
    </row>
    <row r="1434" spans="1:16" x14ac:dyDescent="0.3">
      <c r="A1434">
        <v>11433</v>
      </c>
      <c r="B1434" s="1">
        <v>45994</v>
      </c>
      <c r="C1434">
        <v>1573</v>
      </c>
      <c r="D1434" t="s">
        <v>22</v>
      </c>
      <c r="E1434" t="s">
        <v>17</v>
      </c>
      <c r="F1434">
        <v>6</v>
      </c>
      <c r="G1434">
        <v>227.87</v>
      </c>
      <c r="H1434">
        <v>0.35</v>
      </c>
      <c r="I1434" t="s">
        <v>18</v>
      </c>
      <c r="J1434">
        <v>6</v>
      </c>
      <c r="K1434">
        <v>4</v>
      </c>
      <c r="L1434">
        <v>888.69</v>
      </c>
      <c r="M1434">
        <f>(Table1[[#This Row],[unit_price]]*Table1[[#This Row],[quantity]])-(Table1[[#This Row],[unit_price]]*Table1[[#This Row],[discount]]*Table1[[#This Row],[quantity]])</f>
        <v>888.6930000000001</v>
      </c>
      <c r="N1434">
        <f>DAY(Table1[[#This Row],[order_date]])</f>
        <v>3</v>
      </c>
      <c r="O1434" t="str">
        <f>TEXT(Table1[[#This Row],[order_date]],"mmm")</f>
        <v>Dec</v>
      </c>
      <c r="P1434">
        <f>YEAR(Table1[[#This Row],[order_date]])</f>
        <v>2025</v>
      </c>
    </row>
    <row r="1435" spans="1:16" x14ac:dyDescent="0.3">
      <c r="A1435">
        <v>11434</v>
      </c>
      <c r="B1435" s="1">
        <v>45995</v>
      </c>
      <c r="C1435">
        <v>1131</v>
      </c>
      <c r="D1435" t="s">
        <v>22</v>
      </c>
      <c r="E1435" t="s">
        <v>21</v>
      </c>
      <c r="F1435">
        <v>3</v>
      </c>
      <c r="G1435">
        <v>90.52</v>
      </c>
      <c r="H1435">
        <v>0.01</v>
      </c>
      <c r="I1435" t="s">
        <v>16</v>
      </c>
      <c r="J1435">
        <v>8</v>
      </c>
      <c r="K1435">
        <v>4.5999999999999996</v>
      </c>
      <c r="L1435">
        <v>268.83999999999997</v>
      </c>
      <c r="M1435">
        <f>(Table1[[#This Row],[unit_price]]*Table1[[#This Row],[quantity]])-(Table1[[#This Row],[unit_price]]*Table1[[#This Row],[discount]]*Table1[[#This Row],[quantity]])</f>
        <v>268.84440000000001</v>
      </c>
      <c r="N1435">
        <f>DAY(Table1[[#This Row],[order_date]])</f>
        <v>4</v>
      </c>
      <c r="O1435" t="str">
        <f>TEXT(Table1[[#This Row],[order_date]],"mmm")</f>
        <v>Dec</v>
      </c>
      <c r="P1435">
        <f>YEAR(Table1[[#This Row],[order_date]])</f>
        <v>2025</v>
      </c>
    </row>
    <row r="1436" spans="1:16" x14ac:dyDescent="0.3">
      <c r="A1436">
        <v>11435</v>
      </c>
      <c r="B1436" s="1">
        <v>45996</v>
      </c>
      <c r="C1436">
        <v>1600</v>
      </c>
      <c r="D1436" t="s">
        <v>19</v>
      </c>
      <c r="E1436" t="s">
        <v>20</v>
      </c>
      <c r="F1436">
        <v>6</v>
      </c>
      <c r="G1436">
        <v>282.06</v>
      </c>
      <c r="H1436">
        <v>0.03</v>
      </c>
      <c r="I1436" t="s">
        <v>16</v>
      </c>
      <c r="J1436">
        <v>5</v>
      </c>
      <c r="K1436">
        <v>3.1</v>
      </c>
      <c r="L1436">
        <v>1641.59</v>
      </c>
      <c r="M1436">
        <f>(Table1[[#This Row],[unit_price]]*Table1[[#This Row],[quantity]])-(Table1[[#This Row],[unit_price]]*Table1[[#This Row],[discount]]*Table1[[#This Row],[quantity]])</f>
        <v>1641.5892000000001</v>
      </c>
      <c r="N1436">
        <f>DAY(Table1[[#This Row],[order_date]])</f>
        <v>5</v>
      </c>
      <c r="O1436" t="str">
        <f>TEXT(Table1[[#This Row],[order_date]],"mmm")</f>
        <v>Dec</v>
      </c>
      <c r="P1436">
        <f>YEAR(Table1[[#This Row],[order_date]])</f>
        <v>2025</v>
      </c>
    </row>
    <row r="1437" spans="1:16" x14ac:dyDescent="0.3">
      <c r="A1437">
        <v>11436</v>
      </c>
      <c r="B1437" s="1">
        <v>45997</v>
      </c>
      <c r="C1437">
        <v>1748</v>
      </c>
      <c r="D1437" t="s">
        <v>19</v>
      </c>
      <c r="E1437" t="s">
        <v>21</v>
      </c>
      <c r="F1437">
        <v>4</v>
      </c>
      <c r="G1437">
        <v>173.94</v>
      </c>
      <c r="H1437">
        <v>0.03</v>
      </c>
      <c r="I1437" t="s">
        <v>18</v>
      </c>
      <c r="J1437">
        <v>2</v>
      </c>
      <c r="K1437">
        <v>1.1000000000000001</v>
      </c>
      <c r="L1437">
        <v>674.89</v>
      </c>
      <c r="M1437">
        <f>(Table1[[#This Row],[unit_price]]*Table1[[#This Row],[quantity]])-(Table1[[#This Row],[unit_price]]*Table1[[#This Row],[discount]]*Table1[[#This Row],[quantity]])</f>
        <v>674.88720000000001</v>
      </c>
      <c r="N1437">
        <f>DAY(Table1[[#This Row],[order_date]])</f>
        <v>6</v>
      </c>
      <c r="O1437" t="str">
        <f>TEXT(Table1[[#This Row],[order_date]],"mmm")</f>
        <v>Dec</v>
      </c>
      <c r="P1437">
        <f>YEAR(Table1[[#This Row],[order_date]])</f>
        <v>2025</v>
      </c>
    </row>
    <row r="1438" spans="1:16" x14ac:dyDescent="0.3">
      <c r="A1438">
        <v>11437</v>
      </c>
      <c r="B1438" s="1">
        <v>45998</v>
      </c>
      <c r="C1438">
        <v>1041</v>
      </c>
      <c r="D1438" t="s">
        <v>19</v>
      </c>
      <c r="E1438" t="s">
        <v>13</v>
      </c>
      <c r="F1438">
        <v>1</v>
      </c>
      <c r="G1438">
        <v>220.86</v>
      </c>
      <c r="H1438">
        <v>0.14000000000000001</v>
      </c>
      <c r="I1438" t="s">
        <v>16</v>
      </c>
      <c r="J1438">
        <v>5</v>
      </c>
      <c r="K1438">
        <v>2.5</v>
      </c>
      <c r="L1438">
        <v>189.94</v>
      </c>
      <c r="M1438">
        <f>(Table1[[#This Row],[unit_price]]*Table1[[#This Row],[quantity]])-(Table1[[#This Row],[unit_price]]*Table1[[#This Row],[discount]]*Table1[[#This Row],[quantity]])</f>
        <v>189.93960000000001</v>
      </c>
      <c r="N1438">
        <f>DAY(Table1[[#This Row],[order_date]])</f>
        <v>7</v>
      </c>
      <c r="O1438" t="str">
        <f>TEXT(Table1[[#This Row],[order_date]],"mmm")</f>
        <v>Dec</v>
      </c>
      <c r="P1438">
        <f>YEAR(Table1[[#This Row],[order_date]])</f>
        <v>2025</v>
      </c>
    </row>
    <row r="1439" spans="1:16" x14ac:dyDescent="0.3">
      <c r="A1439">
        <v>11438</v>
      </c>
      <c r="B1439" s="1">
        <v>45999</v>
      </c>
      <c r="C1439">
        <v>1088</v>
      </c>
      <c r="D1439" t="s">
        <v>15</v>
      </c>
      <c r="E1439" t="s">
        <v>13</v>
      </c>
      <c r="F1439">
        <v>1</v>
      </c>
      <c r="G1439">
        <v>70.17</v>
      </c>
      <c r="H1439">
        <v>0.28999999999999998</v>
      </c>
      <c r="I1439" t="s">
        <v>16</v>
      </c>
      <c r="J1439">
        <v>9</v>
      </c>
      <c r="K1439">
        <v>2</v>
      </c>
      <c r="L1439">
        <v>49.82</v>
      </c>
      <c r="M1439">
        <f>(Table1[[#This Row],[unit_price]]*Table1[[#This Row],[quantity]])-(Table1[[#This Row],[unit_price]]*Table1[[#This Row],[discount]]*Table1[[#This Row],[quantity]])</f>
        <v>49.820700000000002</v>
      </c>
      <c r="N1439">
        <f>DAY(Table1[[#This Row],[order_date]])</f>
        <v>8</v>
      </c>
      <c r="O1439" t="str">
        <f>TEXT(Table1[[#This Row],[order_date]],"mmm")</f>
        <v>Dec</v>
      </c>
      <c r="P1439">
        <f>YEAR(Table1[[#This Row],[order_date]])</f>
        <v>2025</v>
      </c>
    </row>
    <row r="1440" spans="1:16" x14ac:dyDescent="0.3">
      <c r="A1440">
        <v>11439</v>
      </c>
      <c r="B1440" s="1">
        <v>46000</v>
      </c>
      <c r="C1440">
        <v>1401</v>
      </c>
      <c r="D1440" t="s">
        <v>15</v>
      </c>
      <c r="E1440" t="s">
        <v>21</v>
      </c>
      <c r="F1440">
        <v>1</v>
      </c>
      <c r="G1440">
        <v>265.45</v>
      </c>
      <c r="H1440">
        <v>0.3</v>
      </c>
      <c r="I1440" t="s">
        <v>14</v>
      </c>
      <c r="J1440">
        <v>6</v>
      </c>
      <c r="K1440">
        <v>3.5</v>
      </c>
      <c r="L1440">
        <v>185.81</v>
      </c>
      <c r="M1440">
        <f>(Table1[[#This Row],[unit_price]]*Table1[[#This Row],[quantity]])-(Table1[[#This Row],[unit_price]]*Table1[[#This Row],[discount]]*Table1[[#This Row],[quantity]])</f>
        <v>185.815</v>
      </c>
      <c r="N1440">
        <f>DAY(Table1[[#This Row],[order_date]])</f>
        <v>9</v>
      </c>
      <c r="O1440" t="str">
        <f>TEXT(Table1[[#This Row],[order_date]],"mmm")</f>
        <v>Dec</v>
      </c>
      <c r="P1440">
        <f>YEAR(Table1[[#This Row],[order_date]])</f>
        <v>2025</v>
      </c>
    </row>
    <row r="1441" spans="1:16" x14ac:dyDescent="0.3">
      <c r="A1441">
        <v>11440</v>
      </c>
      <c r="B1441" s="1">
        <v>46001</v>
      </c>
      <c r="C1441">
        <v>1295</v>
      </c>
      <c r="D1441" t="s">
        <v>22</v>
      </c>
      <c r="E1441" t="s">
        <v>20</v>
      </c>
      <c r="F1441">
        <v>2</v>
      </c>
      <c r="G1441">
        <v>590.21</v>
      </c>
      <c r="H1441">
        <v>0.26</v>
      </c>
      <c r="I1441" t="s">
        <v>18</v>
      </c>
      <c r="J1441">
        <v>5</v>
      </c>
      <c r="K1441">
        <v>3.1</v>
      </c>
      <c r="L1441">
        <v>873.51</v>
      </c>
      <c r="M1441">
        <f>(Table1[[#This Row],[unit_price]]*Table1[[#This Row],[quantity]])-(Table1[[#This Row],[unit_price]]*Table1[[#This Row],[discount]]*Table1[[#This Row],[quantity]])</f>
        <v>873.51080000000002</v>
      </c>
      <c r="N1441">
        <f>DAY(Table1[[#This Row],[order_date]])</f>
        <v>10</v>
      </c>
      <c r="O1441" t="str">
        <f>TEXT(Table1[[#This Row],[order_date]],"mmm")</f>
        <v>Dec</v>
      </c>
      <c r="P1441">
        <f>YEAR(Table1[[#This Row],[order_date]])</f>
        <v>2025</v>
      </c>
    </row>
    <row r="1442" spans="1:16" x14ac:dyDescent="0.3">
      <c r="A1442">
        <v>11441</v>
      </c>
      <c r="B1442" s="1">
        <v>46002</v>
      </c>
      <c r="C1442">
        <v>1839</v>
      </c>
      <c r="D1442" t="s">
        <v>19</v>
      </c>
      <c r="E1442" t="s">
        <v>17</v>
      </c>
      <c r="F1442">
        <v>2</v>
      </c>
      <c r="G1442">
        <v>207.37</v>
      </c>
      <c r="H1442">
        <v>0.31</v>
      </c>
      <c r="I1442" t="s">
        <v>16</v>
      </c>
      <c r="J1442">
        <v>10</v>
      </c>
      <c r="K1442">
        <v>2.4</v>
      </c>
      <c r="L1442">
        <v>286.17</v>
      </c>
      <c r="M1442">
        <f>(Table1[[#This Row],[unit_price]]*Table1[[#This Row],[quantity]])-(Table1[[#This Row],[unit_price]]*Table1[[#This Row],[discount]]*Table1[[#This Row],[quantity]])</f>
        <v>286.17060000000004</v>
      </c>
      <c r="N1442">
        <f>DAY(Table1[[#This Row],[order_date]])</f>
        <v>11</v>
      </c>
      <c r="O1442" t="str">
        <f>TEXT(Table1[[#This Row],[order_date]],"mmm")</f>
        <v>Dec</v>
      </c>
      <c r="P1442">
        <f>YEAR(Table1[[#This Row],[order_date]])</f>
        <v>2025</v>
      </c>
    </row>
    <row r="1443" spans="1:16" x14ac:dyDescent="0.3">
      <c r="A1443">
        <v>11442</v>
      </c>
      <c r="B1443" s="1">
        <v>46003</v>
      </c>
      <c r="C1443">
        <v>1294</v>
      </c>
      <c r="D1443" t="s">
        <v>19</v>
      </c>
      <c r="E1443" t="s">
        <v>21</v>
      </c>
      <c r="F1443">
        <v>3</v>
      </c>
      <c r="G1443">
        <v>527.71</v>
      </c>
      <c r="H1443">
        <v>0.11</v>
      </c>
      <c r="I1443" t="s">
        <v>18</v>
      </c>
      <c r="J1443">
        <v>6</v>
      </c>
      <c r="K1443">
        <v>3.6</v>
      </c>
      <c r="L1443">
        <v>1408.99</v>
      </c>
      <c r="M1443">
        <f>(Table1[[#This Row],[unit_price]]*Table1[[#This Row],[quantity]])-(Table1[[#This Row],[unit_price]]*Table1[[#This Row],[discount]]*Table1[[#This Row],[quantity]])</f>
        <v>1408.9857000000002</v>
      </c>
      <c r="N1443">
        <f>DAY(Table1[[#This Row],[order_date]])</f>
        <v>12</v>
      </c>
      <c r="O1443" t="str">
        <f>TEXT(Table1[[#This Row],[order_date]],"mmm")</f>
        <v>Dec</v>
      </c>
      <c r="P1443">
        <f>YEAR(Table1[[#This Row],[order_date]])</f>
        <v>2025</v>
      </c>
    </row>
    <row r="1444" spans="1:16" x14ac:dyDescent="0.3">
      <c r="A1444">
        <v>11443</v>
      </c>
      <c r="B1444" s="1">
        <v>46004</v>
      </c>
      <c r="C1444">
        <v>1615</v>
      </c>
      <c r="D1444" t="s">
        <v>15</v>
      </c>
      <c r="E1444" t="s">
        <v>13</v>
      </c>
      <c r="F1444">
        <v>7</v>
      </c>
      <c r="G1444">
        <v>508.27</v>
      </c>
      <c r="H1444">
        <v>0.03</v>
      </c>
      <c r="I1444" t="s">
        <v>18</v>
      </c>
      <c r="J1444">
        <v>11</v>
      </c>
      <c r="K1444">
        <v>3.3</v>
      </c>
      <c r="L1444">
        <v>3451.15</v>
      </c>
      <c r="M1444">
        <f>(Table1[[#This Row],[unit_price]]*Table1[[#This Row],[quantity]])-(Table1[[#This Row],[unit_price]]*Table1[[#This Row],[discount]]*Table1[[#This Row],[quantity]])</f>
        <v>3451.1532999999999</v>
      </c>
      <c r="N1444">
        <f>DAY(Table1[[#This Row],[order_date]])</f>
        <v>13</v>
      </c>
      <c r="O1444" t="str">
        <f>TEXT(Table1[[#This Row],[order_date]],"mmm")</f>
        <v>Dec</v>
      </c>
      <c r="P1444">
        <f>YEAR(Table1[[#This Row],[order_date]])</f>
        <v>2025</v>
      </c>
    </row>
    <row r="1445" spans="1:16" x14ac:dyDescent="0.3">
      <c r="A1445">
        <v>11444</v>
      </c>
      <c r="B1445" s="1">
        <v>46005</v>
      </c>
      <c r="C1445">
        <v>1525</v>
      </c>
      <c r="D1445" t="s">
        <v>22</v>
      </c>
      <c r="E1445" t="s">
        <v>20</v>
      </c>
      <c r="F1445">
        <v>1</v>
      </c>
      <c r="G1445">
        <v>571.95000000000005</v>
      </c>
      <c r="H1445">
        <v>0.02</v>
      </c>
      <c r="I1445" t="s">
        <v>14</v>
      </c>
      <c r="J1445">
        <v>9</v>
      </c>
      <c r="K1445">
        <v>4.5999999999999996</v>
      </c>
      <c r="L1445">
        <v>560.51</v>
      </c>
      <c r="M1445">
        <f>(Table1[[#This Row],[unit_price]]*Table1[[#This Row],[quantity]])-(Table1[[#This Row],[unit_price]]*Table1[[#This Row],[discount]]*Table1[[#This Row],[quantity]])</f>
        <v>560.51100000000008</v>
      </c>
      <c r="N1445">
        <f>DAY(Table1[[#This Row],[order_date]])</f>
        <v>14</v>
      </c>
      <c r="O1445" t="str">
        <f>TEXT(Table1[[#This Row],[order_date]],"mmm")</f>
        <v>Dec</v>
      </c>
      <c r="P1445">
        <f>YEAR(Table1[[#This Row],[order_date]])</f>
        <v>2025</v>
      </c>
    </row>
    <row r="1446" spans="1:16" x14ac:dyDescent="0.3">
      <c r="A1446">
        <v>11445</v>
      </c>
      <c r="B1446" s="1">
        <v>46006</v>
      </c>
      <c r="C1446">
        <v>1799</v>
      </c>
      <c r="D1446" t="s">
        <v>19</v>
      </c>
      <c r="E1446" t="s">
        <v>13</v>
      </c>
      <c r="F1446">
        <v>3</v>
      </c>
      <c r="G1446">
        <v>477.21</v>
      </c>
      <c r="H1446">
        <v>0.3</v>
      </c>
      <c r="I1446" t="s">
        <v>18</v>
      </c>
      <c r="J1446">
        <v>7</v>
      </c>
      <c r="K1446">
        <v>3.4</v>
      </c>
      <c r="L1446">
        <v>1002.14</v>
      </c>
      <c r="M1446">
        <f>(Table1[[#This Row],[unit_price]]*Table1[[#This Row],[quantity]])-(Table1[[#This Row],[unit_price]]*Table1[[#This Row],[discount]]*Table1[[#This Row],[quantity]])</f>
        <v>1002.141</v>
      </c>
      <c r="N1446">
        <f>DAY(Table1[[#This Row],[order_date]])</f>
        <v>15</v>
      </c>
      <c r="O1446" t="str">
        <f>TEXT(Table1[[#This Row],[order_date]],"mmm")</f>
        <v>Dec</v>
      </c>
      <c r="P1446">
        <f>YEAR(Table1[[#This Row],[order_date]])</f>
        <v>2025</v>
      </c>
    </row>
    <row r="1447" spans="1:16" x14ac:dyDescent="0.3">
      <c r="A1447">
        <v>11446</v>
      </c>
      <c r="B1447" s="1">
        <v>46007</v>
      </c>
      <c r="C1447">
        <v>1690</v>
      </c>
      <c r="D1447" t="s">
        <v>15</v>
      </c>
      <c r="E1447" t="s">
        <v>20</v>
      </c>
      <c r="F1447">
        <v>7</v>
      </c>
      <c r="G1447">
        <v>400.86</v>
      </c>
      <c r="H1447">
        <v>0.26</v>
      </c>
      <c r="I1447" t="s">
        <v>14</v>
      </c>
      <c r="J1447">
        <v>10</v>
      </c>
      <c r="K1447">
        <v>3</v>
      </c>
      <c r="L1447">
        <v>2076.4499999999998</v>
      </c>
      <c r="M1447">
        <f>(Table1[[#This Row],[unit_price]]*Table1[[#This Row],[quantity]])-(Table1[[#This Row],[unit_price]]*Table1[[#This Row],[discount]]*Table1[[#This Row],[quantity]])</f>
        <v>2076.4548</v>
      </c>
      <c r="N1447">
        <f>DAY(Table1[[#This Row],[order_date]])</f>
        <v>16</v>
      </c>
      <c r="O1447" t="str">
        <f>TEXT(Table1[[#This Row],[order_date]],"mmm")</f>
        <v>Dec</v>
      </c>
      <c r="P1447">
        <f>YEAR(Table1[[#This Row],[order_date]])</f>
        <v>2025</v>
      </c>
    </row>
    <row r="1448" spans="1:16" x14ac:dyDescent="0.3">
      <c r="A1448">
        <v>11447</v>
      </c>
      <c r="B1448" s="1">
        <v>46008</v>
      </c>
      <c r="C1448">
        <v>1636</v>
      </c>
      <c r="D1448" t="s">
        <v>19</v>
      </c>
      <c r="E1448" t="s">
        <v>20</v>
      </c>
      <c r="F1448">
        <v>1</v>
      </c>
      <c r="G1448">
        <v>516.1</v>
      </c>
      <c r="H1448">
        <v>0.24</v>
      </c>
      <c r="I1448" t="s">
        <v>16</v>
      </c>
      <c r="J1448">
        <v>3</v>
      </c>
      <c r="K1448">
        <v>4.3</v>
      </c>
      <c r="L1448">
        <v>392.24</v>
      </c>
      <c r="M1448">
        <f>(Table1[[#This Row],[unit_price]]*Table1[[#This Row],[quantity]])-(Table1[[#This Row],[unit_price]]*Table1[[#This Row],[discount]]*Table1[[#This Row],[quantity]])</f>
        <v>392.23599999999999</v>
      </c>
      <c r="N1448">
        <f>DAY(Table1[[#This Row],[order_date]])</f>
        <v>17</v>
      </c>
      <c r="O1448" t="str">
        <f>TEXT(Table1[[#This Row],[order_date]],"mmm")</f>
        <v>Dec</v>
      </c>
      <c r="P1448">
        <f>YEAR(Table1[[#This Row],[order_date]])</f>
        <v>2025</v>
      </c>
    </row>
    <row r="1449" spans="1:16" x14ac:dyDescent="0.3">
      <c r="A1449">
        <v>11448</v>
      </c>
      <c r="B1449" s="1">
        <v>46009</v>
      </c>
      <c r="C1449">
        <v>1421</v>
      </c>
      <c r="D1449" t="s">
        <v>12</v>
      </c>
      <c r="E1449" t="s">
        <v>20</v>
      </c>
      <c r="F1449">
        <v>2</v>
      </c>
      <c r="G1449">
        <v>59.25</v>
      </c>
      <c r="H1449">
        <v>0.12</v>
      </c>
      <c r="I1449" t="s">
        <v>18</v>
      </c>
      <c r="J1449">
        <v>10</v>
      </c>
      <c r="K1449">
        <v>1.8</v>
      </c>
      <c r="L1449">
        <v>104.28</v>
      </c>
      <c r="M1449">
        <f>(Table1[[#This Row],[unit_price]]*Table1[[#This Row],[quantity]])-(Table1[[#This Row],[unit_price]]*Table1[[#This Row],[discount]]*Table1[[#This Row],[quantity]])</f>
        <v>104.28</v>
      </c>
      <c r="N1449">
        <f>DAY(Table1[[#This Row],[order_date]])</f>
        <v>18</v>
      </c>
      <c r="O1449" t="str">
        <f>TEXT(Table1[[#This Row],[order_date]],"mmm")</f>
        <v>Dec</v>
      </c>
      <c r="P1449">
        <f>YEAR(Table1[[#This Row],[order_date]])</f>
        <v>2025</v>
      </c>
    </row>
    <row r="1450" spans="1:16" x14ac:dyDescent="0.3">
      <c r="A1450">
        <v>11449</v>
      </c>
      <c r="B1450" s="1">
        <v>46010</v>
      </c>
      <c r="C1450">
        <v>1864</v>
      </c>
      <c r="D1450" t="s">
        <v>12</v>
      </c>
      <c r="E1450" t="s">
        <v>21</v>
      </c>
      <c r="F1450">
        <v>7</v>
      </c>
      <c r="G1450">
        <v>285.76</v>
      </c>
      <c r="H1450">
        <v>0.13</v>
      </c>
      <c r="I1450" t="s">
        <v>16</v>
      </c>
      <c r="J1450">
        <v>10</v>
      </c>
      <c r="K1450">
        <v>2</v>
      </c>
      <c r="L1450">
        <v>1740.28</v>
      </c>
      <c r="M1450">
        <f>(Table1[[#This Row],[unit_price]]*Table1[[#This Row],[quantity]])-(Table1[[#This Row],[unit_price]]*Table1[[#This Row],[discount]]*Table1[[#This Row],[quantity]])</f>
        <v>1740.2783999999999</v>
      </c>
      <c r="N1450">
        <f>DAY(Table1[[#This Row],[order_date]])</f>
        <v>19</v>
      </c>
      <c r="O1450" t="str">
        <f>TEXT(Table1[[#This Row],[order_date]],"mmm")</f>
        <v>Dec</v>
      </c>
      <c r="P1450">
        <f>YEAR(Table1[[#This Row],[order_date]])</f>
        <v>2025</v>
      </c>
    </row>
    <row r="1451" spans="1:16" x14ac:dyDescent="0.3">
      <c r="A1451">
        <v>11450</v>
      </c>
      <c r="B1451" s="1">
        <v>46011</v>
      </c>
      <c r="C1451">
        <v>1022</v>
      </c>
      <c r="D1451" t="s">
        <v>19</v>
      </c>
      <c r="E1451" t="s">
        <v>21</v>
      </c>
      <c r="F1451">
        <v>4</v>
      </c>
      <c r="G1451">
        <v>593.71</v>
      </c>
      <c r="H1451">
        <v>0.34</v>
      </c>
      <c r="I1451" t="s">
        <v>16</v>
      </c>
      <c r="J1451">
        <v>5</v>
      </c>
      <c r="K1451">
        <v>4.0999999999999996</v>
      </c>
      <c r="L1451">
        <v>1567.39</v>
      </c>
      <c r="M1451">
        <f>(Table1[[#This Row],[unit_price]]*Table1[[#This Row],[quantity]])-(Table1[[#This Row],[unit_price]]*Table1[[#This Row],[discount]]*Table1[[#This Row],[quantity]])</f>
        <v>1567.3944000000001</v>
      </c>
      <c r="N1451">
        <f>DAY(Table1[[#This Row],[order_date]])</f>
        <v>20</v>
      </c>
      <c r="O1451" t="str">
        <f>TEXT(Table1[[#This Row],[order_date]],"mmm")</f>
        <v>Dec</v>
      </c>
      <c r="P1451">
        <f>YEAR(Table1[[#This Row],[order_date]])</f>
        <v>2025</v>
      </c>
    </row>
    <row r="1452" spans="1:16" x14ac:dyDescent="0.3">
      <c r="A1452">
        <v>11451</v>
      </c>
      <c r="B1452" s="1">
        <v>46012</v>
      </c>
      <c r="C1452">
        <v>1574</v>
      </c>
      <c r="D1452" t="s">
        <v>19</v>
      </c>
      <c r="E1452" t="s">
        <v>21</v>
      </c>
      <c r="F1452">
        <v>4</v>
      </c>
      <c r="G1452">
        <v>465.22</v>
      </c>
      <c r="H1452">
        <v>0.02</v>
      </c>
      <c r="I1452" t="s">
        <v>18</v>
      </c>
      <c r="J1452">
        <v>4</v>
      </c>
      <c r="K1452">
        <v>2.8</v>
      </c>
      <c r="L1452">
        <v>1823.66</v>
      </c>
      <c r="M1452">
        <f>(Table1[[#This Row],[unit_price]]*Table1[[#This Row],[quantity]])-(Table1[[#This Row],[unit_price]]*Table1[[#This Row],[discount]]*Table1[[#This Row],[quantity]])</f>
        <v>1823.6624000000002</v>
      </c>
      <c r="N1452">
        <f>DAY(Table1[[#This Row],[order_date]])</f>
        <v>21</v>
      </c>
      <c r="O1452" t="str">
        <f>TEXT(Table1[[#This Row],[order_date]],"mmm")</f>
        <v>Dec</v>
      </c>
      <c r="P1452">
        <f>YEAR(Table1[[#This Row],[order_date]])</f>
        <v>2025</v>
      </c>
    </row>
    <row r="1453" spans="1:16" x14ac:dyDescent="0.3">
      <c r="A1453">
        <v>11452</v>
      </c>
      <c r="B1453" s="1">
        <v>46013</v>
      </c>
      <c r="C1453">
        <v>1142</v>
      </c>
      <c r="D1453" t="s">
        <v>15</v>
      </c>
      <c r="E1453" t="s">
        <v>20</v>
      </c>
      <c r="F1453">
        <v>4</v>
      </c>
      <c r="G1453">
        <v>577.80999999999995</v>
      </c>
      <c r="H1453">
        <v>0.27</v>
      </c>
      <c r="I1453" t="s">
        <v>16</v>
      </c>
      <c r="J1453">
        <v>11</v>
      </c>
      <c r="K1453">
        <v>2.6</v>
      </c>
      <c r="L1453">
        <v>1687.21</v>
      </c>
      <c r="M1453">
        <f>(Table1[[#This Row],[unit_price]]*Table1[[#This Row],[quantity]])-(Table1[[#This Row],[unit_price]]*Table1[[#This Row],[discount]]*Table1[[#This Row],[quantity]])</f>
        <v>1687.2051999999999</v>
      </c>
      <c r="N1453">
        <f>DAY(Table1[[#This Row],[order_date]])</f>
        <v>22</v>
      </c>
      <c r="O1453" t="str">
        <f>TEXT(Table1[[#This Row],[order_date]],"mmm")</f>
        <v>Dec</v>
      </c>
      <c r="P1453">
        <f>YEAR(Table1[[#This Row],[order_date]])</f>
        <v>2025</v>
      </c>
    </row>
    <row r="1454" spans="1:16" x14ac:dyDescent="0.3">
      <c r="A1454">
        <v>11453</v>
      </c>
      <c r="B1454" s="1">
        <v>46014</v>
      </c>
      <c r="C1454">
        <v>1992</v>
      </c>
      <c r="D1454" t="s">
        <v>19</v>
      </c>
      <c r="E1454" t="s">
        <v>20</v>
      </c>
      <c r="F1454">
        <v>6</v>
      </c>
      <c r="G1454">
        <v>471.09</v>
      </c>
      <c r="H1454">
        <v>0.11</v>
      </c>
      <c r="I1454" t="s">
        <v>18</v>
      </c>
      <c r="J1454">
        <v>5</v>
      </c>
      <c r="K1454">
        <v>4.5</v>
      </c>
      <c r="L1454">
        <v>2515.62</v>
      </c>
      <c r="M1454">
        <f>(Table1[[#This Row],[unit_price]]*Table1[[#This Row],[quantity]])-(Table1[[#This Row],[unit_price]]*Table1[[#This Row],[discount]]*Table1[[#This Row],[quantity]])</f>
        <v>2515.6206000000002</v>
      </c>
      <c r="N1454">
        <f>DAY(Table1[[#This Row],[order_date]])</f>
        <v>23</v>
      </c>
      <c r="O1454" t="str">
        <f>TEXT(Table1[[#This Row],[order_date]],"mmm")</f>
        <v>Dec</v>
      </c>
      <c r="P1454">
        <f>YEAR(Table1[[#This Row],[order_date]])</f>
        <v>2025</v>
      </c>
    </row>
    <row r="1455" spans="1:16" x14ac:dyDescent="0.3">
      <c r="A1455">
        <v>11454</v>
      </c>
      <c r="B1455" s="1">
        <v>46015</v>
      </c>
      <c r="C1455">
        <v>1664</v>
      </c>
      <c r="D1455" t="s">
        <v>22</v>
      </c>
      <c r="E1455" t="s">
        <v>13</v>
      </c>
      <c r="F1455">
        <v>4</v>
      </c>
      <c r="G1455">
        <v>526.80999999999995</v>
      </c>
      <c r="H1455">
        <v>0.01</v>
      </c>
      <c r="I1455" t="s">
        <v>14</v>
      </c>
      <c r="J1455">
        <v>8</v>
      </c>
      <c r="K1455">
        <v>3.4</v>
      </c>
      <c r="L1455">
        <v>2086.17</v>
      </c>
      <c r="M1455">
        <f>(Table1[[#This Row],[unit_price]]*Table1[[#This Row],[quantity]])-(Table1[[#This Row],[unit_price]]*Table1[[#This Row],[discount]]*Table1[[#This Row],[quantity]])</f>
        <v>2086.1675999999998</v>
      </c>
      <c r="N1455">
        <f>DAY(Table1[[#This Row],[order_date]])</f>
        <v>24</v>
      </c>
      <c r="O1455" t="str">
        <f>TEXT(Table1[[#This Row],[order_date]],"mmm")</f>
        <v>Dec</v>
      </c>
      <c r="P1455">
        <f>YEAR(Table1[[#This Row],[order_date]])</f>
        <v>2025</v>
      </c>
    </row>
    <row r="1456" spans="1:16" x14ac:dyDescent="0.3">
      <c r="A1456">
        <v>11455</v>
      </c>
      <c r="B1456" s="1">
        <v>46016</v>
      </c>
      <c r="C1456">
        <v>1144</v>
      </c>
      <c r="D1456" t="s">
        <v>22</v>
      </c>
      <c r="E1456" t="s">
        <v>17</v>
      </c>
      <c r="F1456">
        <v>5</v>
      </c>
      <c r="G1456">
        <v>428.32</v>
      </c>
      <c r="H1456">
        <v>0.26</v>
      </c>
      <c r="I1456" t="s">
        <v>16</v>
      </c>
      <c r="J1456">
        <v>11</v>
      </c>
      <c r="K1456">
        <v>4.2</v>
      </c>
      <c r="L1456">
        <v>1584.78</v>
      </c>
      <c r="M1456">
        <f>(Table1[[#This Row],[unit_price]]*Table1[[#This Row],[quantity]])-(Table1[[#This Row],[unit_price]]*Table1[[#This Row],[discount]]*Table1[[#This Row],[quantity]])</f>
        <v>1584.7839999999999</v>
      </c>
      <c r="N1456">
        <f>DAY(Table1[[#This Row],[order_date]])</f>
        <v>25</v>
      </c>
      <c r="O1456" t="str">
        <f>TEXT(Table1[[#This Row],[order_date]],"mmm")</f>
        <v>Dec</v>
      </c>
      <c r="P1456">
        <f>YEAR(Table1[[#This Row],[order_date]])</f>
        <v>2025</v>
      </c>
    </row>
    <row r="1457" spans="1:16" x14ac:dyDescent="0.3">
      <c r="A1457">
        <v>11456</v>
      </c>
      <c r="B1457" s="1">
        <v>46017</v>
      </c>
      <c r="C1457">
        <v>1224</v>
      </c>
      <c r="D1457" t="s">
        <v>22</v>
      </c>
      <c r="E1457" t="s">
        <v>21</v>
      </c>
      <c r="F1457">
        <v>1</v>
      </c>
      <c r="G1457">
        <v>459.89</v>
      </c>
      <c r="H1457">
        <v>0.12</v>
      </c>
      <c r="I1457" t="s">
        <v>16</v>
      </c>
      <c r="J1457">
        <v>6</v>
      </c>
      <c r="K1457">
        <v>4.2</v>
      </c>
      <c r="L1457">
        <v>404.7</v>
      </c>
      <c r="M1457">
        <f>(Table1[[#This Row],[unit_price]]*Table1[[#This Row],[quantity]])-(Table1[[#This Row],[unit_price]]*Table1[[#This Row],[discount]]*Table1[[#This Row],[quantity]])</f>
        <v>404.70319999999998</v>
      </c>
      <c r="N1457">
        <f>DAY(Table1[[#This Row],[order_date]])</f>
        <v>26</v>
      </c>
      <c r="O1457" t="str">
        <f>TEXT(Table1[[#This Row],[order_date]],"mmm")</f>
        <v>Dec</v>
      </c>
      <c r="P1457">
        <f>YEAR(Table1[[#This Row],[order_date]])</f>
        <v>2025</v>
      </c>
    </row>
    <row r="1458" spans="1:16" x14ac:dyDescent="0.3">
      <c r="A1458">
        <v>11457</v>
      </c>
      <c r="B1458" s="1">
        <v>46018</v>
      </c>
      <c r="C1458">
        <v>1502</v>
      </c>
      <c r="D1458" t="s">
        <v>22</v>
      </c>
      <c r="E1458" t="s">
        <v>20</v>
      </c>
      <c r="F1458">
        <v>4</v>
      </c>
      <c r="G1458">
        <v>321.06</v>
      </c>
      <c r="H1458">
        <v>0.25</v>
      </c>
      <c r="I1458" t="s">
        <v>18</v>
      </c>
      <c r="J1458">
        <v>4</v>
      </c>
      <c r="K1458">
        <v>1.5</v>
      </c>
      <c r="L1458">
        <v>963.18</v>
      </c>
      <c r="M1458">
        <f>(Table1[[#This Row],[unit_price]]*Table1[[#This Row],[quantity]])-(Table1[[#This Row],[unit_price]]*Table1[[#This Row],[discount]]*Table1[[#This Row],[quantity]])</f>
        <v>963.18000000000006</v>
      </c>
      <c r="N1458">
        <f>DAY(Table1[[#This Row],[order_date]])</f>
        <v>27</v>
      </c>
      <c r="O1458" t="str">
        <f>TEXT(Table1[[#This Row],[order_date]],"mmm")</f>
        <v>Dec</v>
      </c>
      <c r="P1458">
        <f>YEAR(Table1[[#This Row],[order_date]])</f>
        <v>2025</v>
      </c>
    </row>
    <row r="1459" spans="1:16" x14ac:dyDescent="0.3">
      <c r="A1459">
        <v>11458</v>
      </c>
      <c r="B1459" s="1">
        <v>46019</v>
      </c>
      <c r="C1459">
        <v>1961</v>
      </c>
      <c r="D1459" t="s">
        <v>15</v>
      </c>
      <c r="E1459" t="s">
        <v>13</v>
      </c>
      <c r="F1459">
        <v>7</v>
      </c>
      <c r="G1459">
        <v>555.67999999999995</v>
      </c>
      <c r="H1459">
        <v>0.25</v>
      </c>
      <c r="I1459" t="s">
        <v>14</v>
      </c>
      <c r="J1459">
        <v>5</v>
      </c>
      <c r="K1459">
        <v>3.6</v>
      </c>
      <c r="L1459">
        <v>2917.32</v>
      </c>
      <c r="M1459">
        <f>(Table1[[#This Row],[unit_price]]*Table1[[#This Row],[quantity]])-(Table1[[#This Row],[unit_price]]*Table1[[#This Row],[discount]]*Table1[[#This Row],[quantity]])</f>
        <v>2917.3199999999997</v>
      </c>
      <c r="N1459">
        <f>DAY(Table1[[#This Row],[order_date]])</f>
        <v>28</v>
      </c>
      <c r="O1459" t="str">
        <f>TEXT(Table1[[#This Row],[order_date]],"mmm")</f>
        <v>Dec</v>
      </c>
      <c r="P1459">
        <f>YEAR(Table1[[#This Row],[order_date]])</f>
        <v>2025</v>
      </c>
    </row>
    <row r="1460" spans="1:16" x14ac:dyDescent="0.3">
      <c r="A1460">
        <v>11459</v>
      </c>
      <c r="B1460" s="1">
        <v>46020</v>
      </c>
      <c r="C1460">
        <v>1973</v>
      </c>
      <c r="D1460" t="s">
        <v>19</v>
      </c>
      <c r="E1460" t="s">
        <v>13</v>
      </c>
      <c r="F1460">
        <v>5</v>
      </c>
      <c r="G1460">
        <v>497.65</v>
      </c>
      <c r="H1460">
        <v>0.19</v>
      </c>
      <c r="I1460" t="s">
        <v>18</v>
      </c>
      <c r="J1460">
        <v>11</v>
      </c>
      <c r="K1460">
        <v>4.8</v>
      </c>
      <c r="L1460">
        <v>2015.48</v>
      </c>
      <c r="M1460">
        <f>(Table1[[#This Row],[unit_price]]*Table1[[#This Row],[quantity]])-(Table1[[#This Row],[unit_price]]*Table1[[#This Row],[discount]]*Table1[[#This Row],[quantity]])</f>
        <v>2015.4825000000001</v>
      </c>
      <c r="N1460">
        <f>DAY(Table1[[#This Row],[order_date]])</f>
        <v>29</v>
      </c>
      <c r="O1460" t="str">
        <f>TEXT(Table1[[#This Row],[order_date]],"mmm")</f>
        <v>Dec</v>
      </c>
      <c r="P1460">
        <f>YEAR(Table1[[#This Row],[order_date]])</f>
        <v>2025</v>
      </c>
    </row>
    <row r="1461" spans="1:16" x14ac:dyDescent="0.3">
      <c r="A1461">
        <v>11460</v>
      </c>
      <c r="B1461" s="1">
        <v>46021</v>
      </c>
      <c r="C1461">
        <v>1820</v>
      </c>
      <c r="D1461" t="s">
        <v>22</v>
      </c>
      <c r="E1461" t="s">
        <v>13</v>
      </c>
      <c r="F1461">
        <v>5</v>
      </c>
      <c r="G1461">
        <v>508.67</v>
      </c>
      <c r="H1461">
        <v>0.27</v>
      </c>
      <c r="I1461" t="s">
        <v>18</v>
      </c>
      <c r="J1461">
        <v>7</v>
      </c>
      <c r="K1461">
        <v>2.9</v>
      </c>
      <c r="L1461">
        <v>1856.65</v>
      </c>
      <c r="M1461">
        <f>(Table1[[#This Row],[unit_price]]*Table1[[#This Row],[quantity]])-(Table1[[#This Row],[unit_price]]*Table1[[#This Row],[discount]]*Table1[[#This Row],[quantity]])</f>
        <v>1856.6454999999999</v>
      </c>
      <c r="N1461">
        <f>DAY(Table1[[#This Row],[order_date]])</f>
        <v>30</v>
      </c>
      <c r="O1461" t="str">
        <f>TEXT(Table1[[#This Row],[order_date]],"mmm")</f>
        <v>Dec</v>
      </c>
      <c r="P1461">
        <f>YEAR(Table1[[#This Row],[order_date]])</f>
        <v>2025</v>
      </c>
    </row>
    <row r="1462" spans="1:16" x14ac:dyDescent="0.3">
      <c r="A1462">
        <v>11461</v>
      </c>
      <c r="B1462" s="1">
        <v>46022</v>
      </c>
      <c r="C1462">
        <v>1615</v>
      </c>
      <c r="D1462" t="s">
        <v>15</v>
      </c>
      <c r="E1462" t="s">
        <v>21</v>
      </c>
      <c r="F1462">
        <v>5</v>
      </c>
      <c r="G1462">
        <v>408.71</v>
      </c>
      <c r="H1462">
        <v>0.2</v>
      </c>
      <c r="I1462" t="s">
        <v>16</v>
      </c>
      <c r="J1462">
        <v>8</v>
      </c>
      <c r="K1462">
        <v>3.9</v>
      </c>
      <c r="L1462">
        <v>1634.84</v>
      </c>
      <c r="M1462">
        <f>(Table1[[#This Row],[unit_price]]*Table1[[#This Row],[quantity]])-(Table1[[#This Row],[unit_price]]*Table1[[#This Row],[discount]]*Table1[[#This Row],[quantity]])</f>
        <v>1634.84</v>
      </c>
      <c r="N1462">
        <f>DAY(Table1[[#This Row],[order_date]])</f>
        <v>31</v>
      </c>
      <c r="O1462" t="str">
        <f>TEXT(Table1[[#This Row],[order_date]],"mmm")</f>
        <v>Dec</v>
      </c>
      <c r="P1462">
        <f>YEAR(Table1[[#This Row],[order_date]])</f>
        <v>2025</v>
      </c>
    </row>
    <row r="1463" spans="1:16" x14ac:dyDescent="0.3">
      <c r="A1463">
        <v>11462</v>
      </c>
      <c r="B1463" s="1">
        <v>46023</v>
      </c>
      <c r="C1463">
        <v>1103</v>
      </c>
      <c r="D1463" t="s">
        <v>22</v>
      </c>
      <c r="E1463" t="s">
        <v>21</v>
      </c>
      <c r="F1463">
        <v>3</v>
      </c>
      <c r="G1463">
        <v>193.18</v>
      </c>
      <c r="H1463">
        <v>0.1</v>
      </c>
      <c r="I1463" t="s">
        <v>16</v>
      </c>
      <c r="J1463">
        <v>5</v>
      </c>
      <c r="K1463">
        <v>3.3</v>
      </c>
      <c r="L1463">
        <v>521.59</v>
      </c>
      <c r="M1463">
        <f>(Table1[[#This Row],[unit_price]]*Table1[[#This Row],[quantity]])-(Table1[[#This Row],[unit_price]]*Table1[[#This Row],[discount]]*Table1[[#This Row],[quantity]])</f>
        <v>521.58600000000001</v>
      </c>
      <c r="N1463">
        <f>DAY(Table1[[#This Row],[order_date]])</f>
        <v>1</v>
      </c>
      <c r="O1463" t="str">
        <f>TEXT(Table1[[#This Row],[order_date]],"mmm")</f>
        <v>Jan</v>
      </c>
      <c r="P1463">
        <f>YEAR(Table1[[#This Row],[order_date]])</f>
        <v>2026</v>
      </c>
    </row>
    <row r="1464" spans="1:16" x14ac:dyDescent="0.3">
      <c r="A1464">
        <v>11463</v>
      </c>
      <c r="B1464" s="1">
        <v>46024</v>
      </c>
      <c r="C1464">
        <v>1946</v>
      </c>
      <c r="D1464" t="s">
        <v>19</v>
      </c>
      <c r="E1464" t="s">
        <v>17</v>
      </c>
      <c r="F1464">
        <v>7</v>
      </c>
      <c r="G1464">
        <v>35.840000000000003</v>
      </c>
      <c r="H1464">
        <v>0.26</v>
      </c>
      <c r="I1464" t="s">
        <v>18</v>
      </c>
      <c r="J1464">
        <v>2</v>
      </c>
      <c r="K1464">
        <v>1.8</v>
      </c>
      <c r="L1464">
        <v>185.65</v>
      </c>
      <c r="M1464">
        <f>(Table1[[#This Row],[unit_price]]*Table1[[#This Row],[quantity]])-(Table1[[#This Row],[unit_price]]*Table1[[#This Row],[discount]]*Table1[[#This Row],[quantity]])</f>
        <v>185.65120000000002</v>
      </c>
      <c r="N1464">
        <f>DAY(Table1[[#This Row],[order_date]])</f>
        <v>2</v>
      </c>
      <c r="O1464" t="str">
        <f>TEXT(Table1[[#This Row],[order_date]],"mmm")</f>
        <v>Jan</v>
      </c>
      <c r="P1464">
        <f>YEAR(Table1[[#This Row],[order_date]])</f>
        <v>2026</v>
      </c>
    </row>
    <row r="1465" spans="1:16" x14ac:dyDescent="0.3">
      <c r="A1465">
        <v>11464</v>
      </c>
      <c r="B1465" s="1">
        <v>46025</v>
      </c>
      <c r="C1465">
        <v>1038</v>
      </c>
      <c r="D1465" t="s">
        <v>19</v>
      </c>
      <c r="E1465" t="s">
        <v>13</v>
      </c>
      <c r="F1465">
        <v>3</v>
      </c>
      <c r="G1465">
        <v>562.36</v>
      </c>
      <c r="H1465">
        <v>0.21</v>
      </c>
      <c r="I1465" t="s">
        <v>16</v>
      </c>
      <c r="J1465">
        <v>6</v>
      </c>
      <c r="K1465">
        <v>1.8</v>
      </c>
      <c r="L1465">
        <v>1332.79</v>
      </c>
      <c r="M1465">
        <f>(Table1[[#This Row],[unit_price]]*Table1[[#This Row],[quantity]])-(Table1[[#This Row],[unit_price]]*Table1[[#This Row],[discount]]*Table1[[#This Row],[quantity]])</f>
        <v>1332.7931999999998</v>
      </c>
      <c r="N1465">
        <f>DAY(Table1[[#This Row],[order_date]])</f>
        <v>3</v>
      </c>
      <c r="O1465" t="str">
        <f>TEXT(Table1[[#This Row],[order_date]],"mmm")</f>
        <v>Jan</v>
      </c>
      <c r="P1465">
        <f>YEAR(Table1[[#This Row],[order_date]])</f>
        <v>2026</v>
      </c>
    </row>
    <row r="1466" spans="1:16" x14ac:dyDescent="0.3">
      <c r="A1466">
        <v>11465</v>
      </c>
      <c r="B1466" s="1">
        <v>46026</v>
      </c>
      <c r="C1466">
        <v>1946</v>
      </c>
      <c r="D1466" t="s">
        <v>12</v>
      </c>
      <c r="E1466" t="s">
        <v>21</v>
      </c>
      <c r="F1466">
        <v>5</v>
      </c>
      <c r="G1466">
        <v>357.88</v>
      </c>
      <c r="H1466">
        <v>0</v>
      </c>
      <c r="I1466" t="s">
        <v>14</v>
      </c>
      <c r="J1466">
        <v>9</v>
      </c>
      <c r="K1466">
        <v>2.7</v>
      </c>
      <c r="L1466">
        <v>1789.4</v>
      </c>
      <c r="M1466">
        <f>(Table1[[#This Row],[unit_price]]*Table1[[#This Row],[quantity]])-(Table1[[#This Row],[unit_price]]*Table1[[#This Row],[discount]]*Table1[[#This Row],[quantity]])</f>
        <v>1789.4</v>
      </c>
      <c r="N1466">
        <f>DAY(Table1[[#This Row],[order_date]])</f>
        <v>4</v>
      </c>
      <c r="O1466" t="str">
        <f>TEXT(Table1[[#This Row],[order_date]],"mmm")</f>
        <v>Jan</v>
      </c>
      <c r="P1466">
        <f>YEAR(Table1[[#This Row],[order_date]])</f>
        <v>2026</v>
      </c>
    </row>
    <row r="1467" spans="1:16" x14ac:dyDescent="0.3">
      <c r="A1467">
        <v>11466</v>
      </c>
      <c r="B1467" s="1">
        <v>46027</v>
      </c>
      <c r="C1467">
        <v>1197</v>
      </c>
      <c r="D1467" t="s">
        <v>19</v>
      </c>
      <c r="E1467" t="s">
        <v>13</v>
      </c>
      <c r="F1467">
        <v>6</v>
      </c>
      <c r="G1467">
        <v>189.41</v>
      </c>
      <c r="H1467">
        <v>0.32</v>
      </c>
      <c r="I1467" t="s">
        <v>18</v>
      </c>
      <c r="J1467">
        <v>3</v>
      </c>
      <c r="K1467">
        <v>2.9</v>
      </c>
      <c r="L1467">
        <v>772.79</v>
      </c>
      <c r="M1467">
        <f>(Table1[[#This Row],[unit_price]]*Table1[[#This Row],[quantity]])-(Table1[[#This Row],[unit_price]]*Table1[[#This Row],[discount]]*Table1[[#This Row],[quantity]])</f>
        <v>772.79280000000006</v>
      </c>
      <c r="N1467">
        <f>DAY(Table1[[#This Row],[order_date]])</f>
        <v>5</v>
      </c>
      <c r="O1467" t="str">
        <f>TEXT(Table1[[#This Row],[order_date]],"mmm")</f>
        <v>Jan</v>
      </c>
      <c r="P1467">
        <f>YEAR(Table1[[#This Row],[order_date]])</f>
        <v>2026</v>
      </c>
    </row>
    <row r="1468" spans="1:16" x14ac:dyDescent="0.3">
      <c r="A1468">
        <v>11467</v>
      </c>
      <c r="B1468" s="1">
        <v>46028</v>
      </c>
      <c r="C1468">
        <v>1645</v>
      </c>
      <c r="D1468" t="s">
        <v>12</v>
      </c>
      <c r="E1468" t="s">
        <v>20</v>
      </c>
      <c r="F1468">
        <v>4</v>
      </c>
      <c r="G1468">
        <v>102.24</v>
      </c>
      <c r="H1468">
        <v>0.19</v>
      </c>
      <c r="I1468" t="s">
        <v>18</v>
      </c>
      <c r="J1468">
        <v>7</v>
      </c>
      <c r="K1468">
        <v>3</v>
      </c>
      <c r="L1468">
        <v>331.26</v>
      </c>
      <c r="M1468">
        <f>(Table1[[#This Row],[unit_price]]*Table1[[#This Row],[quantity]])-(Table1[[#This Row],[unit_price]]*Table1[[#This Row],[discount]]*Table1[[#This Row],[quantity]])</f>
        <v>331.25759999999997</v>
      </c>
      <c r="N1468">
        <f>DAY(Table1[[#This Row],[order_date]])</f>
        <v>6</v>
      </c>
      <c r="O1468" t="str">
        <f>TEXT(Table1[[#This Row],[order_date]],"mmm")</f>
        <v>Jan</v>
      </c>
      <c r="P1468">
        <f>YEAR(Table1[[#This Row],[order_date]])</f>
        <v>2026</v>
      </c>
    </row>
    <row r="1469" spans="1:16" x14ac:dyDescent="0.3">
      <c r="A1469">
        <v>11468</v>
      </c>
      <c r="B1469" s="1">
        <v>46029</v>
      </c>
      <c r="C1469">
        <v>1578</v>
      </c>
      <c r="D1469" t="s">
        <v>12</v>
      </c>
      <c r="E1469" t="s">
        <v>13</v>
      </c>
      <c r="F1469">
        <v>1</v>
      </c>
      <c r="G1469">
        <v>500.27</v>
      </c>
      <c r="H1469">
        <v>0.3</v>
      </c>
      <c r="I1469" t="s">
        <v>18</v>
      </c>
      <c r="J1469">
        <v>8</v>
      </c>
      <c r="K1469">
        <v>4.8</v>
      </c>
      <c r="L1469">
        <v>350.19</v>
      </c>
      <c r="M1469">
        <f>(Table1[[#This Row],[unit_price]]*Table1[[#This Row],[quantity]])-(Table1[[#This Row],[unit_price]]*Table1[[#This Row],[discount]]*Table1[[#This Row],[quantity]])</f>
        <v>350.18899999999996</v>
      </c>
      <c r="N1469">
        <f>DAY(Table1[[#This Row],[order_date]])</f>
        <v>7</v>
      </c>
      <c r="O1469" t="str">
        <f>TEXT(Table1[[#This Row],[order_date]],"mmm")</f>
        <v>Jan</v>
      </c>
      <c r="P1469">
        <f>YEAR(Table1[[#This Row],[order_date]])</f>
        <v>2026</v>
      </c>
    </row>
    <row r="1470" spans="1:16" x14ac:dyDescent="0.3">
      <c r="A1470">
        <v>11469</v>
      </c>
      <c r="B1470" s="1">
        <v>46030</v>
      </c>
      <c r="C1470">
        <v>1390</v>
      </c>
      <c r="D1470" t="s">
        <v>22</v>
      </c>
      <c r="E1470" t="s">
        <v>17</v>
      </c>
      <c r="F1470">
        <v>7</v>
      </c>
      <c r="G1470">
        <v>504.36</v>
      </c>
      <c r="H1470">
        <v>0.31</v>
      </c>
      <c r="I1470" t="s">
        <v>18</v>
      </c>
      <c r="J1470">
        <v>6</v>
      </c>
      <c r="K1470">
        <v>1.4</v>
      </c>
      <c r="L1470">
        <v>2436.06</v>
      </c>
      <c r="M1470">
        <f>(Table1[[#This Row],[unit_price]]*Table1[[#This Row],[quantity]])-(Table1[[#This Row],[unit_price]]*Table1[[#This Row],[discount]]*Table1[[#This Row],[quantity]])</f>
        <v>2436.0587999999998</v>
      </c>
      <c r="N1470">
        <f>DAY(Table1[[#This Row],[order_date]])</f>
        <v>8</v>
      </c>
      <c r="O1470" t="str">
        <f>TEXT(Table1[[#This Row],[order_date]],"mmm")</f>
        <v>Jan</v>
      </c>
      <c r="P1470">
        <f>YEAR(Table1[[#This Row],[order_date]])</f>
        <v>2026</v>
      </c>
    </row>
    <row r="1471" spans="1:16" x14ac:dyDescent="0.3">
      <c r="A1471">
        <v>11470</v>
      </c>
      <c r="B1471" s="1">
        <v>46031</v>
      </c>
      <c r="C1471">
        <v>1178</v>
      </c>
      <c r="D1471" t="s">
        <v>22</v>
      </c>
      <c r="E1471" t="s">
        <v>21</v>
      </c>
      <c r="F1471">
        <v>6</v>
      </c>
      <c r="G1471">
        <v>491.49</v>
      </c>
      <c r="H1471">
        <v>0.16</v>
      </c>
      <c r="I1471" t="s">
        <v>18</v>
      </c>
      <c r="J1471">
        <v>3</v>
      </c>
      <c r="K1471">
        <v>2.5</v>
      </c>
      <c r="L1471">
        <v>2477.11</v>
      </c>
      <c r="M1471">
        <f>(Table1[[#This Row],[unit_price]]*Table1[[#This Row],[quantity]])-(Table1[[#This Row],[unit_price]]*Table1[[#This Row],[discount]]*Table1[[#This Row],[quantity]])</f>
        <v>2477.1095999999998</v>
      </c>
      <c r="N1471">
        <f>DAY(Table1[[#This Row],[order_date]])</f>
        <v>9</v>
      </c>
      <c r="O1471" t="str">
        <f>TEXT(Table1[[#This Row],[order_date]],"mmm")</f>
        <v>Jan</v>
      </c>
      <c r="P1471">
        <f>YEAR(Table1[[#This Row],[order_date]])</f>
        <v>2026</v>
      </c>
    </row>
    <row r="1472" spans="1:16" x14ac:dyDescent="0.3">
      <c r="A1472">
        <v>11471</v>
      </c>
      <c r="B1472" s="1">
        <v>46032</v>
      </c>
      <c r="C1472">
        <v>1967</v>
      </c>
      <c r="D1472" t="s">
        <v>15</v>
      </c>
      <c r="E1472" t="s">
        <v>20</v>
      </c>
      <c r="F1472">
        <v>2</v>
      </c>
      <c r="G1472">
        <v>392.37</v>
      </c>
      <c r="H1472">
        <v>0.18</v>
      </c>
      <c r="I1472" t="s">
        <v>14</v>
      </c>
      <c r="J1472">
        <v>1</v>
      </c>
      <c r="K1472">
        <v>3.1</v>
      </c>
      <c r="L1472">
        <v>643.49</v>
      </c>
      <c r="M1472">
        <f>(Table1[[#This Row],[unit_price]]*Table1[[#This Row],[quantity]])-(Table1[[#This Row],[unit_price]]*Table1[[#This Row],[discount]]*Table1[[#This Row],[quantity]])</f>
        <v>643.48680000000002</v>
      </c>
      <c r="N1472">
        <f>DAY(Table1[[#This Row],[order_date]])</f>
        <v>10</v>
      </c>
      <c r="O1472" t="str">
        <f>TEXT(Table1[[#This Row],[order_date]],"mmm")</f>
        <v>Jan</v>
      </c>
      <c r="P1472">
        <f>YEAR(Table1[[#This Row],[order_date]])</f>
        <v>2026</v>
      </c>
    </row>
    <row r="1473" spans="1:16" x14ac:dyDescent="0.3">
      <c r="A1473">
        <v>11472</v>
      </c>
      <c r="B1473" s="1">
        <v>46033</v>
      </c>
      <c r="C1473">
        <v>1553</v>
      </c>
      <c r="D1473" t="s">
        <v>12</v>
      </c>
      <c r="E1473" t="s">
        <v>21</v>
      </c>
      <c r="F1473">
        <v>3</v>
      </c>
      <c r="G1473">
        <v>229.12</v>
      </c>
      <c r="H1473">
        <v>0.15</v>
      </c>
      <c r="I1473" t="s">
        <v>14</v>
      </c>
      <c r="J1473">
        <v>3</v>
      </c>
      <c r="K1473">
        <v>4.9000000000000004</v>
      </c>
      <c r="L1473">
        <v>584.26</v>
      </c>
      <c r="M1473">
        <f>(Table1[[#This Row],[unit_price]]*Table1[[#This Row],[quantity]])-(Table1[[#This Row],[unit_price]]*Table1[[#This Row],[discount]]*Table1[[#This Row],[quantity]])</f>
        <v>584.25599999999997</v>
      </c>
      <c r="N1473">
        <f>DAY(Table1[[#This Row],[order_date]])</f>
        <v>11</v>
      </c>
      <c r="O1473" t="str">
        <f>TEXT(Table1[[#This Row],[order_date]],"mmm")</f>
        <v>Jan</v>
      </c>
      <c r="P1473">
        <f>YEAR(Table1[[#This Row],[order_date]])</f>
        <v>2026</v>
      </c>
    </row>
    <row r="1474" spans="1:16" x14ac:dyDescent="0.3">
      <c r="A1474">
        <v>11473</v>
      </c>
      <c r="B1474" s="1">
        <v>46034</v>
      </c>
      <c r="C1474">
        <v>1447</v>
      </c>
      <c r="D1474" t="s">
        <v>19</v>
      </c>
      <c r="E1474" t="s">
        <v>20</v>
      </c>
      <c r="F1474">
        <v>4</v>
      </c>
      <c r="G1474">
        <v>192.88</v>
      </c>
      <c r="H1474">
        <v>0.16</v>
      </c>
      <c r="I1474" t="s">
        <v>14</v>
      </c>
      <c r="J1474">
        <v>11</v>
      </c>
      <c r="K1474">
        <v>3</v>
      </c>
      <c r="L1474">
        <v>648.08000000000004</v>
      </c>
      <c r="M1474">
        <f>(Table1[[#This Row],[unit_price]]*Table1[[#This Row],[quantity]])-(Table1[[#This Row],[unit_price]]*Table1[[#This Row],[discount]]*Table1[[#This Row],[quantity]])</f>
        <v>648.07679999999993</v>
      </c>
      <c r="N1474">
        <f>DAY(Table1[[#This Row],[order_date]])</f>
        <v>12</v>
      </c>
      <c r="O1474" t="str">
        <f>TEXT(Table1[[#This Row],[order_date]],"mmm")</f>
        <v>Jan</v>
      </c>
      <c r="P1474">
        <f>YEAR(Table1[[#This Row],[order_date]])</f>
        <v>2026</v>
      </c>
    </row>
    <row r="1475" spans="1:16" x14ac:dyDescent="0.3">
      <c r="A1475">
        <v>11474</v>
      </c>
      <c r="B1475" s="1">
        <v>46035</v>
      </c>
      <c r="C1475">
        <v>1499</v>
      </c>
      <c r="D1475" t="s">
        <v>15</v>
      </c>
      <c r="E1475" t="s">
        <v>13</v>
      </c>
      <c r="F1475">
        <v>4</v>
      </c>
      <c r="G1475">
        <v>20</v>
      </c>
      <c r="H1475">
        <v>0.31</v>
      </c>
      <c r="I1475" t="s">
        <v>14</v>
      </c>
      <c r="J1475">
        <v>6</v>
      </c>
      <c r="K1475">
        <v>4.0999999999999996</v>
      </c>
      <c r="L1475">
        <v>55.2</v>
      </c>
      <c r="M1475">
        <f>(Table1[[#This Row],[unit_price]]*Table1[[#This Row],[quantity]])-(Table1[[#This Row],[unit_price]]*Table1[[#This Row],[discount]]*Table1[[#This Row],[quantity]])</f>
        <v>55.2</v>
      </c>
      <c r="N1475">
        <f>DAY(Table1[[#This Row],[order_date]])</f>
        <v>13</v>
      </c>
      <c r="O1475" t="str">
        <f>TEXT(Table1[[#This Row],[order_date]],"mmm")</f>
        <v>Jan</v>
      </c>
      <c r="P1475">
        <f>YEAR(Table1[[#This Row],[order_date]])</f>
        <v>2026</v>
      </c>
    </row>
    <row r="1476" spans="1:16" x14ac:dyDescent="0.3">
      <c r="A1476">
        <v>11475</v>
      </c>
      <c r="B1476" s="1">
        <v>46036</v>
      </c>
      <c r="C1476">
        <v>1014</v>
      </c>
      <c r="D1476" t="s">
        <v>15</v>
      </c>
      <c r="E1476" t="s">
        <v>13</v>
      </c>
      <c r="F1476">
        <v>2</v>
      </c>
      <c r="G1476">
        <v>502.66</v>
      </c>
      <c r="H1476">
        <v>0.28000000000000003</v>
      </c>
      <c r="I1476" t="s">
        <v>18</v>
      </c>
      <c r="J1476">
        <v>11</v>
      </c>
      <c r="K1476">
        <v>4</v>
      </c>
      <c r="L1476">
        <v>723.83</v>
      </c>
      <c r="M1476">
        <f>(Table1[[#This Row],[unit_price]]*Table1[[#This Row],[quantity]])-(Table1[[#This Row],[unit_price]]*Table1[[#This Row],[discount]]*Table1[[#This Row],[quantity]])</f>
        <v>723.83040000000005</v>
      </c>
      <c r="N1476">
        <f>DAY(Table1[[#This Row],[order_date]])</f>
        <v>14</v>
      </c>
      <c r="O1476" t="str">
        <f>TEXT(Table1[[#This Row],[order_date]],"mmm")</f>
        <v>Jan</v>
      </c>
      <c r="P1476">
        <f>YEAR(Table1[[#This Row],[order_date]])</f>
        <v>2026</v>
      </c>
    </row>
    <row r="1477" spans="1:16" x14ac:dyDescent="0.3">
      <c r="A1477">
        <v>11476</v>
      </c>
      <c r="B1477" s="1">
        <v>46037</v>
      </c>
      <c r="C1477">
        <v>1622</v>
      </c>
      <c r="D1477" t="s">
        <v>15</v>
      </c>
      <c r="E1477" t="s">
        <v>17</v>
      </c>
      <c r="F1477">
        <v>2</v>
      </c>
      <c r="G1477">
        <v>66.150000000000006</v>
      </c>
      <c r="H1477">
        <v>0.04</v>
      </c>
      <c r="I1477" t="s">
        <v>18</v>
      </c>
      <c r="J1477">
        <v>4</v>
      </c>
      <c r="K1477">
        <v>3.3</v>
      </c>
      <c r="L1477">
        <v>127.01</v>
      </c>
      <c r="M1477">
        <f>(Table1[[#This Row],[unit_price]]*Table1[[#This Row],[quantity]])-(Table1[[#This Row],[unit_price]]*Table1[[#This Row],[discount]]*Table1[[#This Row],[quantity]])</f>
        <v>127.00800000000001</v>
      </c>
      <c r="N1477">
        <f>DAY(Table1[[#This Row],[order_date]])</f>
        <v>15</v>
      </c>
      <c r="O1477" t="str">
        <f>TEXT(Table1[[#This Row],[order_date]],"mmm")</f>
        <v>Jan</v>
      </c>
      <c r="P1477">
        <f>YEAR(Table1[[#This Row],[order_date]])</f>
        <v>2026</v>
      </c>
    </row>
    <row r="1478" spans="1:16" x14ac:dyDescent="0.3">
      <c r="A1478">
        <v>11477</v>
      </c>
      <c r="B1478" s="1">
        <v>46038</v>
      </c>
      <c r="C1478">
        <v>1668</v>
      </c>
      <c r="D1478" t="s">
        <v>15</v>
      </c>
      <c r="E1478" t="s">
        <v>17</v>
      </c>
      <c r="F1478">
        <v>7</v>
      </c>
      <c r="G1478">
        <v>383.99</v>
      </c>
      <c r="H1478">
        <v>0.21</v>
      </c>
      <c r="I1478" t="s">
        <v>16</v>
      </c>
      <c r="J1478">
        <v>1</v>
      </c>
      <c r="K1478">
        <v>1.5</v>
      </c>
      <c r="L1478">
        <v>2123.46</v>
      </c>
      <c r="M1478">
        <f>(Table1[[#This Row],[unit_price]]*Table1[[#This Row],[quantity]])-(Table1[[#This Row],[unit_price]]*Table1[[#This Row],[discount]]*Table1[[#This Row],[quantity]])</f>
        <v>2123.4647000000004</v>
      </c>
      <c r="N1478">
        <f>DAY(Table1[[#This Row],[order_date]])</f>
        <v>16</v>
      </c>
      <c r="O1478" t="str">
        <f>TEXT(Table1[[#This Row],[order_date]],"mmm")</f>
        <v>Jan</v>
      </c>
      <c r="P1478">
        <f>YEAR(Table1[[#This Row],[order_date]])</f>
        <v>2026</v>
      </c>
    </row>
    <row r="1479" spans="1:16" x14ac:dyDescent="0.3">
      <c r="A1479">
        <v>11478</v>
      </c>
      <c r="B1479" s="1">
        <v>46039</v>
      </c>
      <c r="C1479">
        <v>1288</v>
      </c>
      <c r="D1479" t="s">
        <v>19</v>
      </c>
      <c r="E1479" t="s">
        <v>20</v>
      </c>
      <c r="F1479">
        <v>4</v>
      </c>
      <c r="G1479">
        <v>309.88</v>
      </c>
      <c r="H1479">
        <v>0.35</v>
      </c>
      <c r="I1479" t="s">
        <v>16</v>
      </c>
      <c r="J1479">
        <v>6</v>
      </c>
      <c r="K1479">
        <v>1.9</v>
      </c>
      <c r="L1479">
        <v>805.69</v>
      </c>
      <c r="M1479">
        <f>(Table1[[#This Row],[unit_price]]*Table1[[#This Row],[quantity]])-(Table1[[#This Row],[unit_price]]*Table1[[#This Row],[discount]]*Table1[[#This Row],[quantity]])</f>
        <v>805.68799999999999</v>
      </c>
      <c r="N1479">
        <f>DAY(Table1[[#This Row],[order_date]])</f>
        <v>17</v>
      </c>
      <c r="O1479" t="str">
        <f>TEXT(Table1[[#This Row],[order_date]],"mmm")</f>
        <v>Jan</v>
      </c>
      <c r="P1479">
        <f>YEAR(Table1[[#This Row],[order_date]])</f>
        <v>2026</v>
      </c>
    </row>
    <row r="1480" spans="1:16" x14ac:dyDescent="0.3">
      <c r="A1480">
        <v>11479</v>
      </c>
      <c r="B1480" s="1">
        <v>46040</v>
      </c>
      <c r="C1480">
        <v>1477</v>
      </c>
      <c r="D1480" t="s">
        <v>15</v>
      </c>
      <c r="E1480" t="s">
        <v>17</v>
      </c>
      <c r="F1480">
        <v>2</v>
      </c>
      <c r="G1480">
        <v>323.11</v>
      </c>
      <c r="H1480">
        <v>0.21</v>
      </c>
      <c r="I1480" t="s">
        <v>16</v>
      </c>
      <c r="J1480">
        <v>1</v>
      </c>
      <c r="K1480">
        <v>2</v>
      </c>
      <c r="L1480">
        <v>510.51</v>
      </c>
      <c r="M1480">
        <f>(Table1[[#This Row],[unit_price]]*Table1[[#This Row],[quantity]])-(Table1[[#This Row],[unit_price]]*Table1[[#This Row],[discount]]*Table1[[#This Row],[quantity]])</f>
        <v>510.51380000000006</v>
      </c>
      <c r="N1480">
        <f>DAY(Table1[[#This Row],[order_date]])</f>
        <v>18</v>
      </c>
      <c r="O1480" t="str">
        <f>TEXT(Table1[[#This Row],[order_date]],"mmm")</f>
        <v>Jan</v>
      </c>
      <c r="P1480">
        <f>YEAR(Table1[[#This Row],[order_date]])</f>
        <v>2026</v>
      </c>
    </row>
    <row r="1481" spans="1:16" x14ac:dyDescent="0.3">
      <c r="A1481">
        <v>11480</v>
      </c>
      <c r="B1481" s="1">
        <v>46041</v>
      </c>
      <c r="C1481">
        <v>1230</v>
      </c>
      <c r="D1481" t="s">
        <v>12</v>
      </c>
      <c r="E1481" t="s">
        <v>17</v>
      </c>
      <c r="F1481">
        <v>4</v>
      </c>
      <c r="G1481">
        <v>557.13</v>
      </c>
      <c r="H1481">
        <v>0.28000000000000003</v>
      </c>
      <c r="I1481" t="s">
        <v>16</v>
      </c>
      <c r="J1481">
        <v>8</v>
      </c>
      <c r="K1481">
        <v>1.2</v>
      </c>
      <c r="L1481">
        <v>1604.53</v>
      </c>
      <c r="M1481">
        <f>(Table1[[#This Row],[unit_price]]*Table1[[#This Row],[quantity]])-(Table1[[#This Row],[unit_price]]*Table1[[#This Row],[discount]]*Table1[[#This Row],[quantity]])</f>
        <v>1604.5344</v>
      </c>
      <c r="N1481">
        <f>DAY(Table1[[#This Row],[order_date]])</f>
        <v>19</v>
      </c>
      <c r="O1481" t="str">
        <f>TEXT(Table1[[#This Row],[order_date]],"mmm")</f>
        <v>Jan</v>
      </c>
      <c r="P1481">
        <f>YEAR(Table1[[#This Row],[order_date]])</f>
        <v>2026</v>
      </c>
    </row>
    <row r="1482" spans="1:16" x14ac:dyDescent="0.3">
      <c r="A1482">
        <v>11481</v>
      </c>
      <c r="B1482" s="1">
        <v>46042</v>
      </c>
      <c r="C1482">
        <v>1922</v>
      </c>
      <c r="D1482" t="s">
        <v>19</v>
      </c>
      <c r="E1482" t="s">
        <v>17</v>
      </c>
      <c r="F1482">
        <v>6</v>
      </c>
      <c r="G1482">
        <v>33.49</v>
      </c>
      <c r="H1482">
        <v>0.27</v>
      </c>
      <c r="I1482" t="s">
        <v>16</v>
      </c>
      <c r="J1482">
        <v>3</v>
      </c>
      <c r="K1482">
        <v>2.5</v>
      </c>
      <c r="L1482">
        <v>146.69</v>
      </c>
      <c r="M1482">
        <f>(Table1[[#This Row],[unit_price]]*Table1[[#This Row],[quantity]])-(Table1[[#This Row],[unit_price]]*Table1[[#This Row],[discount]]*Table1[[#This Row],[quantity]])</f>
        <v>146.68619999999999</v>
      </c>
      <c r="N1482">
        <f>DAY(Table1[[#This Row],[order_date]])</f>
        <v>20</v>
      </c>
      <c r="O1482" t="str">
        <f>TEXT(Table1[[#This Row],[order_date]],"mmm")</f>
        <v>Jan</v>
      </c>
      <c r="P1482">
        <f>YEAR(Table1[[#This Row],[order_date]])</f>
        <v>2026</v>
      </c>
    </row>
    <row r="1483" spans="1:16" x14ac:dyDescent="0.3">
      <c r="A1483">
        <v>11482</v>
      </c>
      <c r="B1483" s="1">
        <v>46043</v>
      </c>
      <c r="C1483">
        <v>1419</v>
      </c>
      <c r="D1483" t="s">
        <v>12</v>
      </c>
      <c r="E1483" t="s">
        <v>17</v>
      </c>
      <c r="F1483">
        <v>7</v>
      </c>
      <c r="G1483">
        <v>467.43</v>
      </c>
      <c r="H1483">
        <v>0.12</v>
      </c>
      <c r="I1483" t="s">
        <v>16</v>
      </c>
      <c r="J1483">
        <v>3</v>
      </c>
      <c r="K1483">
        <v>3.4</v>
      </c>
      <c r="L1483">
        <v>2879.37</v>
      </c>
      <c r="M1483">
        <f>(Table1[[#This Row],[unit_price]]*Table1[[#This Row],[quantity]])-(Table1[[#This Row],[unit_price]]*Table1[[#This Row],[discount]]*Table1[[#This Row],[quantity]])</f>
        <v>2879.3688000000002</v>
      </c>
      <c r="N1483">
        <f>DAY(Table1[[#This Row],[order_date]])</f>
        <v>21</v>
      </c>
      <c r="O1483" t="str">
        <f>TEXT(Table1[[#This Row],[order_date]],"mmm")</f>
        <v>Jan</v>
      </c>
      <c r="P1483">
        <f>YEAR(Table1[[#This Row],[order_date]])</f>
        <v>2026</v>
      </c>
    </row>
    <row r="1484" spans="1:16" x14ac:dyDescent="0.3">
      <c r="A1484">
        <v>11483</v>
      </c>
      <c r="B1484" s="1">
        <v>46044</v>
      </c>
      <c r="C1484">
        <v>1156</v>
      </c>
      <c r="D1484" t="s">
        <v>22</v>
      </c>
      <c r="E1484" t="s">
        <v>13</v>
      </c>
      <c r="F1484">
        <v>2</v>
      </c>
      <c r="G1484">
        <v>45.45</v>
      </c>
      <c r="H1484">
        <v>0.13</v>
      </c>
      <c r="I1484" t="s">
        <v>14</v>
      </c>
      <c r="J1484">
        <v>1</v>
      </c>
      <c r="K1484">
        <v>1.6</v>
      </c>
      <c r="L1484">
        <v>79.08</v>
      </c>
      <c r="M1484">
        <f>(Table1[[#This Row],[unit_price]]*Table1[[#This Row],[quantity]])-(Table1[[#This Row],[unit_price]]*Table1[[#This Row],[discount]]*Table1[[#This Row],[quantity]])</f>
        <v>79.082999999999998</v>
      </c>
      <c r="N1484">
        <f>DAY(Table1[[#This Row],[order_date]])</f>
        <v>22</v>
      </c>
      <c r="O1484" t="str">
        <f>TEXT(Table1[[#This Row],[order_date]],"mmm")</f>
        <v>Jan</v>
      </c>
      <c r="P1484">
        <f>YEAR(Table1[[#This Row],[order_date]])</f>
        <v>2026</v>
      </c>
    </row>
    <row r="1485" spans="1:16" x14ac:dyDescent="0.3">
      <c r="A1485">
        <v>11484</v>
      </c>
      <c r="B1485" s="1">
        <v>46045</v>
      </c>
      <c r="C1485">
        <v>1549</v>
      </c>
      <c r="D1485" t="s">
        <v>22</v>
      </c>
      <c r="E1485" t="s">
        <v>17</v>
      </c>
      <c r="F1485">
        <v>6</v>
      </c>
      <c r="G1485">
        <v>37.32</v>
      </c>
      <c r="H1485">
        <v>0.25</v>
      </c>
      <c r="I1485" t="s">
        <v>14</v>
      </c>
      <c r="J1485">
        <v>3</v>
      </c>
      <c r="K1485">
        <v>1.7</v>
      </c>
      <c r="L1485">
        <v>167.94</v>
      </c>
      <c r="M1485">
        <f>(Table1[[#This Row],[unit_price]]*Table1[[#This Row],[quantity]])-(Table1[[#This Row],[unit_price]]*Table1[[#This Row],[discount]]*Table1[[#This Row],[quantity]])</f>
        <v>167.94</v>
      </c>
      <c r="N1485">
        <f>DAY(Table1[[#This Row],[order_date]])</f>
        <v>23</v>
      </c>
      <c r="O1485" t="str">
        <f>TEXT(Table1[[#This Row],[order_date]],"mmm")</f>
        <v>Jan</v>
      </c>
      <c r="P1485">
        <f>YEAR(Table1[[#This Row],[order_date]])</f>
        <v>2026</v>
      </c>
    </row>
    <row r="1486" spans="1:16" x14ac:dyDescent="0.3">
      <c r="A1486">
        <v>11485</v>
      </c>
      <c r="B1486" s="1">
        <v>46046</v>
      </c>
      <c r="C1486">
        <v>1440</v>
      </c>
      <c r="D1486" t="s">
        <v>15</v>
      </c>
      <c r="E1486" t="s">
        <v>13</v>
      </c>
      <c r="F1486">
        <v>6</v>
      </c>
      <c r="G1486">
        <v>266.44</v>
      </c>
      <c r="H1486">
        <v>0.17</v>
      </c>
      <c r="I1486" t="s">
        <v>16</v>
      </c>
      <c r="J1486">
        <v>7</v>
      </c>
      <c r="K1486">
        <v>3.8</v>
      </c>
      <c r="L1486">
        <v>1326.87</v>
      </c>
      <c r="M1486">
        <f>(Table1[[#This Row],[unit_price]]*Table1[[#This Row],[quantity]])-(Table1[[#This Row],[unit_price]]*Table1[[#This Row],[discount]]*Table1[[#This Row],[quantity]])</f>
        <v>1326.8711999999998</v>
      </c>
      <c r="N1486">
        <f>DAY(Table1[[#This Row],[order_date]])</f>
        <v>24</v>
      </c>
      <c r="O1486" t="str">
        <f>TEXT(Table1[[#This Row],[order_date]],"mmm")</f>
        <v>Jan</v>
      </c>
      <c r="P1486">
        <f>YEAR(Table1[[#This Row],[order_date]])</f>
        <v>2026</v>
      </c>
    </row>
    <row r="1487" spans="1:16" x14ac:dyDescent="0.3">
      <c r="A1487">
        <v>11486</v>
      </c>
      <c r="B1487" s="1">
        <v>46047</v>
      </c>
      <c r="C1487">
        <v>1096</v>
      </c>
      <c r="D1487" t="s">
        <v>22</v>
      </c>
      <c r="E1487" t="s">
        <v>13</v>
      </c>
      <c r="F1487">
        <v>2</v>
      </c>
      <c r="G1487">
        <v>51.9</v>
      </c>
      <c r="H1487">
        <v>0.2</v>
      </c>
      <c r="I1487" t="s">
        <v>16</v>
      </c>
      <c r="J1487">
        <v>10</v>
      </c>
      <c r="K1487">
        <v>1.7</v>
      </c>
      <c r="L1487">
        <v>83.04</v>
      </c>
      <c r="M1487">
        <f>(Table1[[#This Row],[unit_price]]*Table1[[#This Row],[quantity]])-(Table1[[#This Row],[unit_price]]*Table1[[#This Row],[discount]]*Table1[[#This Row],[quantity]])</f>
        <v>83.039999999999992</v>
      </c>
      <c r="N1487">
        <f>DAY(Table1[[#This Row],[order_date]])</f>
        <v>25</v>
      </c>
      <c r="O1487" t="str">
        <f>TEXT(Table1[[#This Row],[order_date]],"mmm")</f>
        <v>Jan</v>
      </c>
      <c r="P1487">
        <f>YEAR(Table1[[#This Row],[order_date]])</f>
        <v>2026</v>
      </c>
    </row>
    <row r="1488" spans="1:16" x14ac:dyDescent="0.3">
      <c r="A1488">
        <v>11487</v>
      </c>
      <c r="B1488" s="1">
        <v>46048</v>
      </c>
      <c r="C1488">
        <v>1996</v>
      </c>
      <c r="D1488" t="s">
        <v>19</v>
      </c>
      <c r="E1488" t="s">
        <v>21</v>
      </c>
      <c r="F1488">
        <v>7</v>
      </c>
      <c r="G1488">
        <v>476.65</v>
      </c>
      <c r="H1488">
        <v>0.25</v>
      </c>
      <c r="I1488" t="s">
        <v>14</v>
      </c>
      <c r="J1488">
        <v>8</v>
      </c>
      <c r="K1488">
        <v>1.5</v>
      </c>
      <c r="L1488">
        <v>2502.41</v>
      </c>
      <c r="M1488">
        <f>(Table1[[#This Row],[unit_price]]*Table1[[#This Row],[quantity]])-(Table1[[#This Row],[unit_price]]*Table1[[#This Row],[discount]]*Table1[[#This Row],[quantity]])</f>
        <v>2502.4124999999999</v>
      </c>
      <c r="N1488">
        <f>DAY(Table1[[#This Row],[order_date]])</f>
        <v>26</v>
      </c>
      <c r="O1488" t="str">
        <f>TEXT(Table1[[#This Row],[order_date]],"mmm")</f>
        <v>Jan</v>
      </c>
      <c r="P1488">
        <f>YEAR(Table1[[#This Row],[order_date]])</f>
        <v>2026</v>
      </c>
    </row>
    <row r="1489" spans="1:16" x14ac:dyDescent="0.3">
      <c r="A1489">
        <v>11488</v>
      </c>
      <c r="B1489" s="1">
        <v>46049</v>
      </c>
      <c r="C1489">
        <v>1410</v>
      </c>
      <c r="D1489" t="s">
        <v>22</v>
      </c>
      <c r="E1489" t="s">
        <v>13</v>
      </c>
      <c r="F1489">
        <v>4</v>
      </c>
      <c r="G1489">
        <v>324.79000000000002</v>
      </c>
      <c r="H1489">
        <v>0.27</v>
      </c>
      <c r="I1489" t="s">
        <v>14</v>
      </c>
      <c r="J1489">
        <v>11</v>
      </c>
      <c r="K1489">
        <v>4.9000000000000004</v>
      </c>
      <c r="L1489">
        <v>948.39</v>
      </c>
      <c r="M1489">
        <f>(Table1[[#This Row],[unit_price]]*Table1[[#This Row],[quantity]])-(Table1[[#This Row],[unit_price]]*Table1[[#This Row],[discount]]*Table1[[#This Row],[quantity]])</f>
        <v>948.38679999999999</v>
      </c>
      <c r="N1489">
        <f>DAY(Table1[[#This Row],[order_date]])</f>
        <v>27</v>
      </c>
      <c r="O1489" t="str">
        <f>TEXT(Table1[[#This Row],[order_date]],"mmm")</f>
        <v>Jan</v>
      </c>
      <c r="P1489">
        <f>YEAR(Table1[[#This Row],[order_date]])</f>
        <v>2026</v>
      </c>
    </row>
    <row r="1490" spans="1:16" x14ac:dyDescent="0.3">
      <c r="A1490">
        <v>11489</v>
      </c>
      <c r="B1490" s="1">
        <v>46050</v>
      </c>
      <c r="C1490">
        <v>1950</v>
      </c>
      <c r="D1490" t="s">
        <v>19</v>
      </c>
      <c r="E1490" t="s">
        <v>13</v>
      </c>
      <c r="F1490">
        <v>5</v>
      </c>
      <c r="G1490">
        <v>31.99</v>
      </c>
      <c r="H1490">
        <v>0.1</v>
      </c>
      <c r="I1490" t="s">
        <v>14</v>
      </c>
      <c r="J1490">
        <v>8</v>
      </c>
      <c r="K1490">
        <v>1.1000000000000001</v>
      </c>
      <c r="L1490">
        <v>143.94999999999999</v>
      </c>
      <c r="M1490">
        <f>(Table1[[#This Row],[unit_price]]*Table1[[#This Row],[quantity]])-(Table1[[#This Row],[unit_price]]*Table1[[#This Row],[discount]]*Table1[[#This Row],[quantity]])</f>
        <v>143.95499999999998</v>
      </c>
      <c r="N1490">
        <f>DAY(Table1[[#This Row],[order_date]])</f>
        <v>28</v>
      </c>
      <c r="O1490" t="str">
        <f>TEXT(Table1[[#This Row],[order_date]],"mmm")</f>
        <v>Jan</v>
      </c>
      <c r="P1490">
        <f>YEAR(Table1[[#This Row],[order_date]])</f>
        <v>2026</v>
      </c>
    </row>
    <row r="1491" spans="1:16" x14ac:dyDescent="0.3">
      <c r="A1491">
        <v>11490</v>
      </c>
      <c r="B1491" s="1">
        <v>46051</v>
      </c>
      <c r="C1491">
        <v>1288</v>
      </c>
      <c r="D1491" t="s">
        <v>12</v>
      </c>
      <c r="E1491" t="s">
        <v>17</v>
      </c>
      <c r="F1491">
        <v>4</v>
      </c>
      <c r="G1491">
        <v>38.69</v>
      </c>
      <c r="H1491">
        <v>0.05</v>
      </c>
      <c r="I1491" t="s">
        <v>14</v>
      </c>
      <c r="J1491">
        <v>3</v>
      </c>
      <c r="K1491">
        <v>2.2999999999999998</v>
      </c>
      <c r="L1491">
        <v>147.02000000000001</v>
      </c>
      <c r="M1491">
        <f>(Table1[[#This Row],[unit_price]]*Table1[[#This Row],[quantity]])-(Table1[[#This Row],[unit_price]]*Table1[[#This Row],[discount]]*Table1[[#This Row],[quantity]])</f>
        <v>147.02199999999999</v>
      </c>
      <c r="N1491">
        <f>DAY(Table1[[#This Row],[order_date]])</f>
        <v>29</v>
      </c>
      <c r="O1491" t="str">
        <f>TEXT(Table1[[#This Row],[order_date]],"mmm")</f>
        <v>Jan</v>
      </c>
      <c r="P1491">
        <f>YEAR(Table1[[#This Row],[order_date]])</f>
        <v>2026</v>
      </c>
    </row>
    <row r="1492" spans="1:16" x14ac:dyDescent="0.3">
      <c r="A1492">
        <v>11491</v>
      </c>
      <c r="B1492" s="1">
        <v>46052</v>
      </c>
      <c r="C1492">
        <v>1253</v>
      </c>
      <c r="D1492" t="s">
        <v>12</v>
      </c>
      <c r="E1492" t="s">
        <v>13</v>
      </c>
      <c r="F1492">
        <v>1</v>
      </c>
      <c r="G1492">
        <v>373.41</v>
      </c>
      <c r="H1492">
        <v>0.1</v>
      </c>
      <c r="I1492" t="s">
        <v>14</v>
      </c>
      <c r="J1492">
        <v>5</v>
      </c>
      <c r="K1492">
        <v>1.1000000000000001</v>
      </c>
      <c r="L1492">
        <v>336.07</v>
      </c>
      <c r="M1492">
        <f>(Table1[[#This Row],[unit_price]]*Table1[[#This Row],[quantity]])-(Table1[[#This Row],[unit_price]]*Table1[[#This Row],[discount]]*Table1[[#This Row],[quantity]])</f>
        <v>336.06900000000002</v>
      </c>
      <c r="N1492">
        <f>DAY(Table1[[#This Row],[order_date]])</f>
        <v>30</v>
      </c>
      <c r="O1492" t="str">
        <f>TEXT(Table1[[#This Row],[order_date]],"mmm")</f>
        <v>Jan</v>
      </c>
      <c r="P1492">
        <f>YEAR(Table1[[#This Row],[order_date]])</f>
        <v>2026</v>
      </c>
    </row>
    <row r="1493" spans="1:16" x14ac:dyDescent="0.3">
      <c r="A1493">
        <v>11492</v>
      </c>
      <c r="B1493" s="1">
        <v>46053</v>
      </c>
      <c r="C1493">
        <v>1195</v>
      </c>
      <c r="D1493" t="s">
        <v>19</v>
      </c>
      <c r="E1493" t="s">
        <v>20</v>
      </c>
      <c r="F1493">
        <v>2</v>
      </c>
      <c r="G1493">
        <v>486.58</v>
      </c>
      <c r="H1493">
        <v>0.18</v>
      </c>
      <c r="I1493" t="s">
        <v>16</v>
      </c>
      <c r="J1493">
        <v>1</v>
      </c>
      <c r="K1493">
        <v>4.4000000000000004</v>
      </c>
      <c r="L1493">
        <v>797.99</v>
      </c>
      <c r="M1493">
        <f>(Table1[[#This Row],[unit_price]]*Table1[[#This Row],[quantity]])-(Table1[[#This Row],[unit_price]]*Table1[[#This Row],[discount]]*Table1[[#This Row],[quantity]])</f>
        <v>797.99119999999994</v>
      </c>
      <c r="N1493">
        <f>DAY(Table1[[#This Row],[order_date]])</f>
        <v>31</v>
      </c>
      <c r="O1493" t="str">
        <f>TEXT(Table1[[#This Row],[order_date]],"mmm")</f>
        <v>Jan</v>
      </c>
      <c r="P1493">
        <f>YEAR(Table1[[#This Row],[order_date]])</f>
        <v>2026</v>
      </c>
    </row>
    <row r="1494" spans="1:16" x14ac:dyDescent="0.3">
      <c r="A1494">
        <v>11493</v>
      </c>
      <c r="B1494" s="1">
        <v>46054</v>
      </c>
      <c r="C1494">
        <v>1597</v>
      </c>
      <c r="D1494" t="s">
        <v>19</v>
      </c>
      <c r="E1494" t="s">
        <v>17</v>
      </c>
      <c r="F1494">
        <v>3</v>
      </c>
      <c r="G1494">
        <v>271.11</v>
      </c>
      <c r="H1494">
        <v>0.12</v>
      </c>
      <c r="I1494" t="s">
        <v>16</v>
      </c>
      <c r="J1494">
        <v>9</v>
      </c>
      <c r="K1494">
        <v>3.3</v>
      </c>
      <c r="L1494">
        <v>715.73</v>
      </c>
      <c r="M1494">
        <f>(Table1[[#This Row],[unit_price]]*Table1[[#This Row],[quantity]])-(Table1[[#This Row],[unit_price]]*Table1[[#This Row],[discount]]*Table1[[#This Row],[quantity]])</f>
        <v>715.73040000000003</v>
      </c>
      <c r="N1494">
        <f>DAY(Table1[[#This Row],[order_date]])</f>
        <v>1</v>
      </c>
      <c r="O1494" t="str">
        <f>TEXT(Table1[[#This Row],[order_date]],"mmm")</f>
        <v>Feb</v>
      </c>
      <c r="P1494">
        <f>YEAR(Table1[[#This Row],[order_date]])</f>
        <v>2026</v>
      </c>
    </row>
    <row r="1495" spans="1:16" x14ac:dyDescent="0.3">
      <c r="A1495">
        <v>11494</v>
      </c>
      <c r="B1495" s="1">
        <v>46055</v>
      </c>
      <c r="C1495">
        <v>1833</v>
      </c>
      <c r="D1495" t="s">
        <v>22</v>
      </c>
      <c r="E1495" t="s">
        <v>17</v>
      </c>
      <c r="F1495">
        <v>7</v>
      </c>
      <c r="G1495">
        <v>339.43</v>
      </c>
      <c r="H1495">
        <v>0.2</v>
      </c>
      <c r="I1495" t="s">
        <v>18</v>
      </c>
      <c r="J1495">
        <v>8</v>
      </c>
      <c r="K1495">
        <v>1.2</v>
      </c>
      <c r="L1495">
        <v>1900.81</v>
      </c>
      <c r="M1495">
        <f>(Table1[[#This Row],[unit_price]]*Table1[[#This Row],[quantity]])-(Table1[[#This Row],[unit_price]]*Table1[[#This Row],[discount]]*Table1[[#This Row],[quantity]])</f>
        <v>1900.8080000000002</v>
      </c>
      <c r="N1495">
        <f>DAY(Table1[[#This Row],[order_date]])</f>
        <v>2</v>
      </c>
      <c r="O1495" t="str">
        <f>TEXT(Table1[[#This Row],[order_date]],"mmm")</f>
        <v>Feb</v>
      </c>
      <c r="P1495">
        <f>YEAR(Table1[[#This Row],[order_date]])</f>
        <v>2026</v>
      </c>
    </row>
    <row r="1496" spans="1:16" x14ac:dyDescent="0.3">
      <c r="A1496">
        <v>11495</v>
      </c>
      <c r="B1496" s="1">
        <v>46056</v>
      </c>
      <c r="C1496">
        <v>1521</v>
      </c>
      <c r="D1496" t="s">
        <v>19</v>
      </c>
      <c r="E1496" t="s">
        <v>17</v>
      </c>
      <c r="F1496">
        <v>2</v>
      </c>
      <c r="G1496">
        <v>482.9</v>
      </c>
      <c r="H1496">
        <v>0.02</v>
      </c>
      <c r="I1496" t="s">
        <v>16</v>
      </c>
      <c r="J1496">
        <v>10</v>
      </c>
      <c r="K1496">
        <v>3.5</v>
      </c>
      <c r="L1496">
        <v>946.48</v>
      </c>
      <c r="M1496">
        <f>(Table1[[#This Row],[unit_price]]*Table1[[#This Row],[quantity]])-(Table1[[#This Row],[unit_price]]*Table1[[#This Row],[discount]]*Table1[[#This Row],[quantity]])</f>
        <v>946.48399999999992</v>
      </c>
      <c r="N1496">
        <f>DAY(Table1[[#This Row],[order_date]])</f>
        <v>3</v>
      </c>
      <c r="O1496" t="str">
        <f>TEXT(Table1[[#This Row],[order_date]],"mmm")</f>
        <v>Feb</v>
      </c>
      <c r="P1496">
        <f>YEAR(Table1[[#This Row],[order_date]])</f>
        <v>2026</v>
      </c>
    </row>
    <row r="1497" spans="1:16" x14ac:dyDescent="0.3">
      <c r="A1497">
        <v>11496</v>
      </c>
      <c r="B1497" s="1">
        <v>46057</v>
      </c>
      <c r="C1497">
        <v>1516</v>
      </c>
      <c r="D1497" t="s">
        <v>12</v>
      </c>
      <c r="E1497" t="s">
        <v>21</v>
      </c>
      <c r="F1497">
        <v>1</v>
      </c>
      <c r="G1497">
        <v>372.15</v>
      </c>
      <c r="H1497">
        <v>0.18</v>
      </c>
      <c r="I1497" t="s">
        <v>14</v>
      </c>
      <c r="J1497">
        <v>2</v>
      </c>
      <c r="K1497">
        <v>1.5</v>
      </c>
      <c r="L1497">
        <v>305.16000000000003</v>
      </c>
      <c r="M1497">
        <f>(Table1[[#This Row],[unit_price]]*Table1[[#This Row],[quantity]])-(Table1[[#This Row],[unit_price]]*Table1[[#This Row],[discount]]*Table1[[#This Row],[quantity]])</f>
        <v>305.16300000000001</v>
      </c>
      <c r="N1497">
        <f>DAY(Table1[[#This Row],[order_date]])</f>
        <v>4</v>
      </c>
      <c r="O1497" t="str">
        <f>TEXT(Table1[[#This Row],[order_date]],"mmm")</f>
        <v>Feb</v>
      </c>
      <c r="P1497">
        <f>YEAR(Table1[[#This Row],[order_date]])</f>
        <v>2026</v>
      </c>
    </row>
    <row r="1498" spans="1:16" x14ac:dyDescent="0.3">
      <c r="A1498">
        <v>11497</v>
      </c>
      <c r="B1498" s="1">
        <v>46058</v>
      </c>
      <c r="C1498">
        <v>1634</v>
      </c>
      <c r="D1498" t="s">
        <v>19</v>
      </c>
      <c r="E1498" t="s">
        <v>17</v>
      </c>
      <c r="F1498">
        <v>6</v>
      </c>
      <c r="G1498">
        <v>146.47999999999999</v>
      </c>
      <c r="H1498">
        <v>0.13</v>
      </c>
      <c r="I1498" t="s">
        <v>18</v>
      </c>
      <c r="J1498">
        <v>10</v>
      </c>
      <c r="K1498">
        <v>3</v>
      </c>
      <c r="L1498">
        <v>764.63</v>
      </c>
      <c r="M1498">
        <f>(Table1[[#This Row],[unit_price]]*Table1[[#This Row],[quantity]])-(Table1[[#This Row],[unit_price]]*Table1[[#This Row],[discount]]*Table1[[#This Row],[quantity]])</f>
        <v>764.62559999999985</v>
      </c>
      <c r="N1498">
        <f>DAY(Table1[[#This Row],[order_date]])</f>
        <v>5</v>
      </c>
      <c r="O1498" t="str">
        <f>TEXT(Table1[[#This Row],[order_date]],"mmm")</f>
        <v>Feb</v>
      </c>
      <c r="P1498">
        <f>YEAR(Table1[[#This Row],[order_date]])</f>
        <v>2026</v>
      </c>
    </row>
    <row r="1499" spans="1:16" x14ac:dyDescent="0.3">
      <c r="A1499">
        <v>11498</v>
      </c>
      <c r="B1499" s="1">
        <v>46059</v>
      </c>
      <c r="C1499">
        <v>1841</v>
      </c>
      <c r="D1499" t="s">
        <v>19</v>
      </c>
      <c r="E1499" t="s">
        <v>13</v>
      </c>
      <c r="F1499">
        <v>3</v>
      </c>
      <c r="G1499">
        <v>373.64</v>
      </c>
      <c r="H1499">
        <v>0.19</v>
      </c>
      <c r="I1499" t="s">
        <v>18</v>
      </c>
      <c r="J1499">
        <v>1</v>
      </c>
      <c r="K1499">
        <v>3.7</v>
      </c>
      <c r="L1499">
        <v>907.95</v>
      </c>
      <c r="M1499">
        <f>(Table1[[#This Row],[unit_price]]*Table1[[#This Row],[quantity]])-(Table1[[#This Row],[unit_price]]*Table1[[#This Row],[discount]]*Table1[[#This Row],[quantity]])</f>
        <v>907.94520000000011</v>
      </c>
      <c r="N1499">
        <f>DAY(Table1[[#This Row],[order_date]])</f>
        <v>6</v>
      </c>
      <c r="O1499" t="str">
        <f>TEXT(Table1[[#This Row],[order_date]],"mmm")</f>
        <v>Feb</v>
      </c>
      <c r="P1499">
        <f>YEAR(Table1[[#This Row],[order_date]])</f>
        <v>2026</v>
      </c>
    </row>
    <row r="1500" spans="1:16" x14ac:dyDescent="0.3">
      <c r="A1500">
        <v>11499</v>
      </c>
      <c r="B1500" s="1">
        <v>46060</v>
      </c>
      <c r="C1500">
        <v>1864</v>
      </c>
      <c r="D1500" t="s">
        <v>12</v>
      </c>
      <c r="E1500" t="s">
        <v>20</v>
      </c>
      <c r="F1500">
        <v>3</v>
      </c>
      <c r="G1500">
        <v>382.54</v>
      </c>
      <c r="H1500">
        <v>0.15</v>
      </c>
      <c r="I1500" t="s">
        <v>16</v>
      </c>
      <c r="J1500">
        <v>4</v>
      </c>
      <c r="K1500">
        <v>1.6</v>
      </c>
      <c r="L1500">
        <v>975.48</v>
      </c>
      <c r="M1500">
        <f>(Table1[[#This Row],[unit_price]]*Table1[[#This Row],[quantity]])-(Table1[[#This Row],[unit_price]]*Table1[[#This Row],[discount]]*Table1[[#This Row],[quantity]])</f>
        <v>975.47700000000009</v>
      </c>
      <c r="N1500">
        <f>DAY(Table1[[#This Row],[order_date]])</f>
        <v>7</v>
      </c>
      <c r="O1500" t="str">
        <f>TEXT(Table1[[#This Row],[order_date]],"mmm")</f>
        <v>Feb</v>
      </c>
      <c r="P1500">
        <f>YEAR(Table1[[#This Row],[order_date]])</f>
        <v>2026</v>
      </c>
    </row>
    <row r="1501" spans="1:16" x14ac:dyDescent="0.3">
      <c r="A1501">
        <v>11500</v>
      </c>
      <c r="B1501" s="1">
        <v>46061</v>
      </c>
      <c r="C1501">
        <v>1117</v>
      </c>
      <c r="D1501" t="s">
        <v>22</v>
      </c>
      <c r="E1501" t="s">
        <v>17</v>
      </c>
      <c r="F1501">
        <v>4</v>
      </c>
      <c r="G1501">
        <v>444.45</v>
      </c>
      <c r="H1501">
        <v>0.1</v>
      </c>
      <c r="I1501" t="s">
        <v>18</v>
      </c>
      <c r="J1501">
        <v>9</v>
      </c>
      <c r="K1501">
        <v>3</v>
      </c>
      <c r="L1501">
        <v>1600.02</v>
      </c>
      <c r="M1501">
        <f>(Table1[[#This Row],[unit_price]]*Table1[[#This Row],[quantity]])-(Table1[[#This Row],[unit_price]]*Table1[[#This Row],[discount]]*Table1[[#This Row],[quantity]])</f>
        <v>1600.02</v>
      </c>
      <c r="N1501">
        <f>DAY(Table1[[#This Row],[order_date]])</f>
        <v>8</v>
      </c>
      <c r="O1501" t="str">
        <f>TEXT(Table1[[#This Row],[order_date]],"mmm")</f>
        <v>Feb</v>
      </c>
      <c r="P1501">
        <f>YEAR(Table1[[#This Row],[order_date]])</f>
        <v>2026</v>
      </c>
    </row>
    <row r="1502" spans="1:16" x14ac:dyDescent="0.3">
      <c r="A1502">
        <v>11501</v>
      </c>
      <c r="B1502" s="1">
        <v>46062</v>
      </c>
      <c r="C1502">
        <v>1805</v>
      </c>
      <c r="D1502" t="s">
        <v>22</v>
      </c>
      <c r="E1502" t="s">
        <v>17</v>
      </c>
      <c r="F1502">
        <v>5</v>
      </c>
      <c r="G1502">
        <v>378.21</v>
      </c>
      <c r="H1502">
        <v>0.32</v>
      </c>
      <c r="I1502" t="s">
        <v>18</v>
      </c>
      <c r="J1502">
        <v>8</v>
      </c>
      <c r="K1502">
        <v>2.8</v>
      </c>
      <c r="L1502">
        <v>1285.9100000000001</v>
      </c>
      <c r="M1502">
        <f>(Table1[[#This Row],[unit_price]]*Table1[[#This Row],[quantity]])-(Table1[[#This Row],[unit_price]]*Table1[[#This Row],[discount]]*Table1[[#This Row],[quantity]])</f>
        <v>1285.914</v>
      </c>
      <c r="N1502">
        <f>DAY(Table1[[#This Row],[order_date]])</f>
        <v>9</v>
      </c>
      <c r="O1502" t="str">
        <f>TEXT(Table1[[#This Row],[order_date]],"mmm")</f>
        <v>Feb</v>
      </c>
      <c r="P1502">
        <f>YEAR(Table1[[#This Row],[order_date]])</f>
        <v>2026</v>
      </c>
    </row>
    <row r="1503" spans="1:16" x14ac:dyDescent="0.3">
      <c r="A1503">
        <v>11502</v>
      </c>
      <c r="B1503" s="1">
        <v>46063</v>
      </c>
      <c r="C1503">
        <v>1908</v>
      </c>
      <c r="D1503" t="s">
        <v>19</v>
      </c>
      <c r="E1503" t="s">
        <v>20</v>
      </c>
      <c r="F1503">
        <v>4</v>
      </c>
      <c r="G1503">
        <v>582.01</v>
      </c>
      <c r="H1503">
        <v>0.06</v>
      </c>
      <c r="I1503" t="s">
        <v>14</v>
      </c>
      <c r="J1503">
        <v>3</v>
      </c>
      <c r="K1503">
        <v>4.7</v>
      </c>
      <c r="L1503">
        <v>2188.36</v>
      </c>
      <c r="M1503">
        <f>(Table1[[#This Row],[unit_price]]*Table1[[#This Row],[quantity]])-(Table1[[#This Row],[unit_price]]*Table1[[#This Row],[discount]]*Table1[[#This Row],[quantity]])</f>
        <v>2188.3575999999998</v>
      </c>
      <c r="N1503">
        <f>DAY(Table1[[#This Row],[order_date]])</f>
        <v>10</v>
      </c>
      <c r="O1503" t="str">
        <f>TEXT(Table1[[#This Row],[order_date]],"mmm")</f>
        <v>Feb</v>
      </c>
      <c r="P1503">
        <f>YEAR(Table1[[#This Row],[order_date]])</f>
        <v>2026</v>
      </c>
    </row>
    <row r="1504" spans="1:16" x14ac:dyDescent="0.3">
      <c r="A1504">
        <v>11503</v>
      </c>
      <c r="B1504" s="1">
        <v>46064</v>
      </c>
      <c r="C1504">
        <v>1158</v>
      </c>
      <c r="D1504" t="s">
        <v>22</v>
      </c>
      <c r="E1504" t="s">
        <v>17</v>
      </c>
      <c r="F1504">
        <v>7</v>
      </c>
      <c r="G1504">
        <v>130.41</v>
      </c>
      <c r="H1504">
        <v>0.24</v>
      </c>
      <c r="I1504" t="s">
        <v>16</v>
      </c>
      <c r="J1504">
        <v>10</v>
      </c>
      <c r="K1504">
        <v>5</v>
      </c>
      <c r="L1504">
        <v>693.78</v>
      </c>
      <c r="M1504">
        <f>(Table1[[#This Row],[unit_price]]*Table1[[#This Row],[quantity]])-(Table1[[#This Row],[unit_price]]*Table1[[#This Row],[discount]]*Table1[[#This Row],[quantity]])</f>
        <v>693.78120000000001</v>
      </c>
      <c r="N1504">
        <f>DAY(Table1[[#This Row],[order_date]])</f>
        <v>11</v>
      </c>
      <c r="O1504" t="str">
        <f>TEXT(Table1[[#This Row],[order_date]],"mmm")</f>
        <v>Feb</v>
      </c>
      <c r="P1504">
        <f>YEAR(Table1[[#This Row],[order_date]])</f>
        <v>2026</v>
      </c>
    </row>
    <row r="1505" spans="1:16" x14ac:dyDescent="0.3">
      <c r="A1505">
        <v>11504</v>
      </c>
      <c r="B1505" s="1">
        <v>46065</v>
      </c>
      <c r="C1505">
        <v>1814</v>
      </c>
      <c r="D1505" t="s">
        <v>15</v>
      </c>
      <c r="E1505" t="s">
        <v>21</v>
      </c>
      <c r="F1505">
        <v>3</v>
      </c>
      <c r="G1505">
        <v>571.39</v>
      </c>
      <c r="H1505">
        <v>0.32</v>
      </c>
      <c r="I1505" t="s">
        <v>14</v>
      </c>
      <c r="J1505">
        <v>6</v>
      </c>
      <c r="K1505">
        <v>3.6</v>
      </c>
      <c r="L1505">
        <v>1165.6400000000001</v>
      </c>
      <c r="M1505">
        <f>(Table1[[#This Row],[unit_price]]*Table1[[#This Row],[quantity]])-(Table1[[#This Row],[unit_price]]*Table1[[#This Row],[discount]]*Table1[[#This Row],[quantity]])</f>
        <v>1165.6356000000001</v>
      </c>
      <c r="N1505">
        <f>DAY(Table1[[#This Row],[order_date]])</f>
        <v>12</v>
      </c>
      <c r="O1505" t="str">
        <f>TEXT(Table1[[#This Row],[order_date]],"mmm")</f>
        <v>Feb</v>
      </c>
      <c r="P1505">
        <f>YEAR(Table1[[#This Row],[order_date]])</f>
        <v>2026</v>
      </c>
    </row>
    <row r="1506" spans="1:16" x14ac:dyDescent="0.3">
      <c r="A1506">
        <v>11505</v>
      </c>
      <c r="B1506" s="1">
        <v>46066</v>
      </c>
      <c r="C1506">
        <v>1227</v>
      </c>
      <c r="D1506" t="s">
        <v>15</v>
      </c>
      <c r="E1506" t="s">
        <v>13</v>
      </c>
      <c r="F1506">
        <v>3</v>
      </c>
      <c r="G1506">
        <v>329.93</v>
      </c>
      <c r="H1506">
        <v>0.19</v>
      </c>
      <c r="I1506" t="s">
        <v>14</v>
      </c>
      <c r="J1506">
        <v>9</v>
      </c>
      <c r="K1506">
        <v>4.4000000000000004</v>
      </c>
      <c r="L1506">
        <v>801.73</v>
      </c>
      <c r="M1506">
        <f>(Table1[[#This Row],[unit_price]]*Table1[[#This Row],[quantity]])-(Table1[[#This Row],[unit_price]]*Table1[[#This Row],[discount]]*Table1[[#This Row],[quantity]])</f>
        <v>801.72989999999993</v>
      </c>
      <c r="N1506">
        <f>DAY(Table1[[#This Row],[order_date]])</f>
        <v>13</v>
      </c>
      <c r="O1506" t="str">
        <f>TEXT(Table1[[#This Row],[order_date]],"mmm")</f>
        <v>Feb</v>
      </c>
      <c r="P1506">
        <f>YEAR(Table1[[#This Row],[order_date]])</f>
        <v>2026</v>
      </c>
    </row>
    <row r="1507" spans="1:16" x14ac:dyDescent="0.3">
      <c r="A1507">
        <v>11506</v>
      </c>
      <c r="B1507" s="1">
        <v>46067</v>
      </c>
      <c r="C1507">
        <v>1876</v>
      </c>
      <c r="D1507" t="s">
        <v>22</v>
      </c>
      <c r="E1507" t="s">
        <v>20</v>
      </c>
      <c r="F1507">
        <v>5</v>
      </c>
      <c r="G1507">
        <v>408.09</v>
      </c>
      <c r="H1507">
        <v>0.31</v>
      </c>
      <c r="I1507" t="s">
        <v>18</v>
      </c>
      <c r="J1507">
        <v>10</v>
      </c>
      <c r="K1507">
        <v>3.6</v>
      </c>
      <c r="L1507">
        <v>1407.91</v>
      </c>
      <c r="M1507">
        <f>(Table1[[#This Row],[unit_price]]*Table1[[#This Row],[quantity]])-(Table1[[#This Row],[unit_price]]*Table1[[#This Row],[discount]]*Table1[[#This Row],[quantity]])</f>
        <v>1407.9105</v>
      </c>
      <c r="N1507">
        <f>DAY(Table1[[#This Row],[order_date]])</f>
        <v>14</v>
      </c>
      <c r="O1507" t="str">
        <f>TEXT(Table1[[#This Row],[order_date]],"mmm")</f>
        <v>Feb</v>
      </c>
      <c r="P1507">
        <f>YEAR(Table1[[#This Row],[order_date]])</f>
        <v>2026</v>
      </c>
    </row>
    <row r="1508" spans="1:16" x14ac:dyDescent="0.3">
      <c r="A1508">
        <v>11507</v>
      </c>
      <c r="B1508" s="1">
        <v>46068</v>
      </c>
      <c r="C1508">
        <v>1215</v>
      </c>
      <c r="D1508" t="s">
        <v>15</v>
      </c>
      <c r="E1508" t="s">
        <v>20</v>
      </c>
      <c r="F1508">
        <v>7</v>
      </c>
      <c r="G1508">
        <v>73.19</v>
      </c>
      <c r="H1508">
        <v>0.04</v>
      </c>
      <c r="I1508" t="s">
        <v>18</v>
      </c>
      <c r="J1508">
        <v>8</v>
      </c>
      <c r="K1508">
        <v>4.5</v>
      </c>
      <c r="L1508">
        <v>491.84</v>
      </c>
      <c r="M1508">
        <f>(Table1[[#This Row],[unit_price]]*Table1[[#This Row],[quantity]])-(Table1[[#This Row],[unit_price]]*Table1[[#This Row],[discount]]*Table1[[#This Row],[quantity]])</f>
        <v>491.83679999999993</v>
      </c>
      <c r="N1508">
        <f>DAY(Table1[[#This Row],[order_date]])</f>
        <v>15</v>
      </c>
      <c r="O1508" t="str">
        <f>TEXT(Table1[[#This Row],[order_date]],"mmm")</f>
        <v>Feb</v>
      </c>
      <c r="P1508">
        <f>YEAR(Table1[[#This Row],[order_date]])</f>
        <v>2026</v>
      </c>
    </row>
    <row r="1509" spans="1:16" x14ac:dyDescent="0.3">
      <c r="A1509">
        <v>11508</v>
      </c>
      <c r="B1509" s="1">
        <v>46069</v>
      </c>
      <c r="C1509">
        <v>1947</v>
      </c>
      <c r="D1509" t="s">
        <v>15</v>
      </c>
      <c r="E1509" t="s">
        <v>21</v>
      </c>
      <c r="F1509">
        <v>2</v>
      </c>
      <c r="G1509">
        <v>237.64</v>
      </c>
      <c r="H1509">
        <v>0.17</v>
      </c>
      <c r="I1509" t="s">
        <v>18</v>
      </c>
      <c r="J1509">
        <v>10</v>
      </c>
      <c r="K1509">
        <v>2.7</v>
      </c>
      <c r="L1509">
        <v>394.48</v>
      </c>
      <c r="M1509">
        <f>(Table1[[#This Row],[unit_price]]*Table1[[#This Row],[quantity]])-(Table1[[#This Row],[unit_price]]*Table1[[#This Row],[discount]]*Table1[[#This Row],[quantity]])</f>
        <v>394.48239999999998</v>
      </c>
      <c r="N1509">
        <f>DAY(Table1[[#This Row],[order_date]])</f>
        <v>16</v>
      </c>
      <c r="O1509" t="str">
        <f>TEXT(Table1[[#This Row],[order_date]],"mmm")</f>
        <v>Feb</v>
      </c>
      <c r="P1509">
        <f>YEAR(Table1[[#This Row],[order_date]])</f>
        <v>2026</v>
      </c>
    </row>
    <row r="1510" spans="1:16" x14ac:dyDescent="0.3">
      <c r="A1510">
        <v>11509</v>
      </c>
      <c r="B1510" s="1">
        <v>46070</v>
      </c>
      <c r="C1510">
        <v>1695</v>
      </c>
      <c r="D1510" t="s">
        <v>19</v>
      </c>
      <c r="E1510" t="s">
        <v>13</v>
      </c>
      <c r="F1510">
        <v>5</v>
      </c>
      <c r="G1510">
        <v>465.09</v>
      </c>
      <c r="H1510">
        <v>0.16</v>
      </c>
      <c r="I1510" t="s">
        <v>16</v>
      </c>
      <c r="J1510">
        <v>5</v>
      </c>
      <c r="K1510">
        <v>3.4</v>
      </c>
      <c r="L1510">
        <v>1953.38</v>
      </c>
      <c r="M1510">
        <f>(Table1[[#This Row],[unit_price]]*Table1[[#This Row],[quantity]])-(Table1[[#This Row],[unit_price]]*Table1[[#This Row],[discount]]*Table1[[#This Row],[quantity]])</f>
        <v>1953.3779999999997</v>
      </c>
      <c r="N1510">
        <f>DAY(Table1[[#This Row],[order_date]])</f>
        <v>17</v>
      </c>
      <c r="O1510" t="str">
        <f>TEXT(Table1[[#This Row],[order_date]],"mmm")</f>
        <v>Feb</v>
      </c>
      <c r="P1510">
        <f>YEAR(Table1[[#This Row],[order_date]])</f>
        <v>2026</v>
      </c>
    </row>
    <row r="1511" spans="1:16" x14ac:dyDescent="0.3">
      <c r="A1511">
        <v>11510</v>
      </c>
      <c r="B1511" s="1">
        <v>46071</v>
      </c>
      <c r="C1511">
        <v>1014</v>
      </c>
      <c r="D1511" t="s">
        <v>22</v>
      </c>
      <c r="E1511" t="s">
        <v>21</v>
      </c>
      <c r="F1511">
        <v>6</v>
      </c>
      <c r="G1511">
        <v>428.54</v>
      </c>
      <c r="H1511">
        <v>0</v>
      </c>
      <c r="I1511" t="s">
        <v>16</v>
      </c>
      <c r="J1511">
        <v>9</v>
      </c>
      <c r="K1511">
        <v>4.4000000000000004</v>
      </c>
      <c r="L1511">
        <v>2571.2399999999998</v>
      </c>
      <c r="M1511">
        <f>(Table1[[#This Row],[unit_price]]*Table1[[#This Row],[quantity]])-(Table1[[#This Row],[unit_price]]*Table1[[#This Row],[discount]]*Table1[[#This Row],[quantity]])</f>
        <v>2571.2400000000002</v>
      </c>
      <c r="N1511">
        <f>DAY(Table1[[#This Row],[order_date]])</f>
        <v>18</v>
      </c>
      <c r="O1511" t="str">
        <f>TEXT(Table1[[#This Row],[order_date]],"mmm")</f>
        <v>Feb</v>
      </c>
      <c r="P1511">
        <f>YEAR(Table1[[#This Row],[order_date]])</f>
        <v>2026</v>
      </c>
    </row>
    <row r="1512" spans="1:16" x14ac:dyDescent="0.3">
      <c r="A1512">
        <v>11511</v>
      </c>
      <c r="B1512" s="1">
        <v>46072</v>
      </c>
      <c r="C1512">
        <v>1156</v>
      </c>
      <c r="D1512" t="s">
        <v>19</v>
      </c>
      <c r="E1512" t="s">
        <v>13</v>
      </c>
      <c r="F1512">
        <v>4</v>
      </c>
      <c r="G1512">
        <v>38.479999999999997</v>
      </c>
      <c r="H1512">
        <v>0.16</v>
      </c>
      <c r="I1512" t="s">
        <v>14</v>
      </c>
      <c r="J1512">
        <v>9</v>
      </c>
      <c r="K1512">
        <v>4.7</v>
      </c>
      <c r="L1512">
        <v>129.29</v>
      </c>
      <c r="M1512">
        <f>(Table1[[#This Row],[unit_price]]*Table1[[#This Row],[quantity]])-(Table1[[#This Row],[unit_price]]*Table1[[#This Row],[discount]]*Table1[[#This Row],[quantity]])</f>
        <v>129.2928</v>
      </c>
      <c r="N1512">
        <f>DAY(Table1[[#This Row],[order_date]])</f>
        <v>19</v>
      </c>
      <c r="O1512" t="str">
        <f>TEXT(Table1[[#This Row],[order_date]],"mmm")</f>
        <v>Feb</v>
      </c>
      <c r="P1512">
        <f>YEAR(Table1[[#This Row],[order_date]])</f>
        <v>2026</v>
      </c>
    </row>
    <row r="1513" spans="1:16" x14ac:dyDescent="0.3">
      <c r="A1513">
        <v>11512</v>
      </c>
      <c r="B1513" s="1">
        <v>46073</v>
      </c>
      <c r="C1513">
        <v>1647</v>
      </c>
      <c r="D1513" t="s">
        <v>22</v>
      </c>
      <c r="E1513" t="s">
        <v>21</v>
      </c>
      <c r="F1513">
        <v>2</v>
      </c>
      <c r="G1513">
        <v>334.76</v>
      </c>
      <c r="H1513">
        <v>0.13</v>
      </c>
      <c r="I1513" t="s">
        <v>18</v>
      </c>
      <c r="J1513">
        <v>3</v>
      </c>
      <c r="K1513">
        <v>1.1000000000000001</v>
      </c>
      <c r="L1513">
        <v>582.48</v>
      </c>
      <c r="M1513">
        <f>(Table1[[#This Row],[unit_price]]*Table1[[#This Row],[quantity]])-(Table1[[#This Row],[unit_price]]*Table1[[#This Row],[discount]]*Table1[[#This Row],[quantity]])</f>
        <v>582.48239999999998</v>
      </c>
      <c r="N1513">
        <f>DAY(Table1[[#This Row],[order_date]])</f>
        <v>20</v>
      </c>
      <c r="O1513" t="str">
        <f>TEXT(Table1[[#This Row],[order_date]],"mmm")</f>
        <v>Feb</v>
      </c>
      <c r="P1513">
        <f>YEAR(Table1[[#This Row],[order_date]])</f>
        <v>2026</v>
      </c>
    </row>
    <row r="1514" spans="1:16" x14ac:dyDescent="0.3">
      <c r="A1514">
        <v>11513</v>
      </c>
      <c r="B1514" s="1">
        <v>46074</v>
      </c>
      <c r="C1514">
        <v>1260</v>
      </c>
      <c r="D1514" t="s">
        <v>19</v>
      </c>
      <c r="E1514" t="s">
        <v>17</v>
      </c>
      <c r="F1514">
        <v>4</v>
      </c>
      <c r="G1514">
        <v>66.64</v>
      </c>
      <c r="H1514">
        <v>0.23</v>
      </c>
      <c r="I1514" t="s">
        <v>16</v>
      </c>
      <c r="J1514">
        <v>8</v>
      </c>
      <c r="K1514">
        <v>1.4</v>
      </c>
      <c r="L1514">
        <v>205.25</v>
      </c>
      <c r="M1514">
        <f>(Table1[[#This Row],[unit_price]]*Table1[[#This Row],[quantity]])-(Table1[[#This Row],[unit_price]]*Table1[[#This Row],[discount]]*Table1[[#This Row],[quantity]])</f>
        <v>205.25119999999998</v>
      </c>
      <c r="N1514">
        <f>DAY(Table1[[#This Row],[order_date]])</f>
        <v>21</v>
      </c>
      <c r="O1514" t="str">
        <f>TEXT(Table1[[#This Row],[order_date]],"mmm")</f>
        <v>Feb</v>
      </c>
      <c r="P1514">
        <f>YEAR(Table1[[#This Row],[order_date]])</f>
        <v>2026</v>
      </c>
    </row>
    <row r="1515" spans="1:16" x14ac:dyDescent="0.3">
      <c r="A1515">
        <v>11514</v>
      </c>
      <c r="B1515" s="1">
        <v>46075</v>
      </c>
      <c r="C1515">
        <v>1156</v>
      </c>
      <c r="D1515" t="s">
        <v>15</v>
      </c>
      <c r="E1515" t="s">
        <v>21</v>
      </c>
      <c r="F1515">
        <v>5</v>
      </c>
      <c r="G1515">
        <v>597.58000000000004</v>
      </c>
      <c r="H1515">
        <v>0.33</v>
      </c>
      <c r="I1515" t="s">
        <v>18</v>
      </c>
      <c r="J1515">
        <v>4</v>
      </c>
      <c r="K1515">
        <v>4.7</v>
      </c>
      <c r="L1515">
        <v>2001.89</v>
      </c>
      <c r="M1515">
        <f>(Table1[[#This Row],[unit_price]]*Table1[[#This Row],[quantity]])-(Table1[[#This Row],[unit_price]]*Table1[[#This Row],[discount]]*Table1[[#This Row],[quantity]])</f>
        <v>2001.893</v>
      </c>
      <c r="N1515">
        <f>DAY(Table1[[#This Row],[order_date]])</f>
        <v>22</v>
      </c>
      <c r="O1515" t="str">
        <f>TEXT(Table1[[#This Row],[order_date]],"mmm")</f>
        <v>Feb</v>
      </c>
      <c r="P1515">
        <f>YEAR(Table1[[#This Row],[order_date]])</f>
        <v>2026</v>
      </c>
    </row>
    <row r="1516" spans="1:16" x14ac:dyDescent="0.3">
      <c r="A1516">
        <v>11515</v>
      </c>
      <c r="B1516" s="1">
        <v>46076</v>
      </c>
      <c r="C1516">
        <v>1046</v>
      </c>
      <c r="D1516" t="s">
        <v>22</v>
      </c>
      <c r="E1516" t="s">
        <v>20</v>
      </c>
      <c r="F1516">
        <v>2</v>
      </c>
      <c r="G1516">
        <v>539.91999999999996</v>
      </c>
      <c r="H1516">
        <v>0.03</v>
      </c>
      <c r="I1516" t="s">
        <v>16</v>
      </c>
      <c r="J1516">
        <v>10</v>
      </c>
      <c r="K1516">
        <v>3.3</v>
      </c>
      <c r="L1516">
        <v>1047.44</v>
      </c>
      <c r="M1516">
        <f>(Table1[[#This Row],[unit_price]]*Table1[[#This Row],[quantity]])-(Table1[[#This Row],[unit_price]]*Table1[[#This Row],[discount]]*Table1[[#This Row],[quantity]])</f>
        <v>1047.4448</v>
      </c>
      <c r="N1516">
        <f>DAY(Table1[[#This Row],[order_date]])</f>
        <v>23</v>
      </c>
      <c r="O1516" t="str">
        <f>TEXT(Table1[[#This Row],[order_date]],"mmm")</f>
        <v>Feb</v>
      </c>
      <c r="P1516">
        <f>YEAR(Table1[[#This Row],[order_date]])</f>
        <v>2026</v>
      </c>
    </row>
    <row r="1517" spans="1:16" x14ac:dyDescent="0.3">
      <c r="A1517">
        <v>11516</v>
      </c>
      <c r="B1517" s="1">
        <v>46077</v>
      </c>
      <c r="C1517">
        <v>1323</v>
      </c>
      <c r="D1517" t="s">
        <v>19</v>
      </c>
      <c r="E1517" t="s">
        <v>20</v>
      </c>
      <c r="F1517">
        <v>5</v>
      </c>
      <c r="G1517">
        <v>27.33</v>
      </c>
      <c r="H1517">
        <v>0.11</v>
      </c>
      <c r="I1517" t="s">
        <v>16</v>
      </c>
      <c r="J1517">
        <v>7</v>
      </c>
      <c r="K1517">
        <v>5</v>
      </c>
      <c r="L1517">
        <v>121.62</v>
      </c>
      <c r="M1517">
        <f>(Table1[[#This Row],[unit_price]]*Table1[[#This Row],[quantity]])-(Table1[[#This Row],[unit_price]]*Table1[[#This Row],[discount]]*Table1[[#This Row],[quantity]])</f>
        <v>121.61849999999998</v>
      </c>
      <c r="N1517">
        <f>DAY(Table1[[#This Row],[order_date]])</f>
        <v>24</v>
      </c>
      <c r="O1517" t="str">
        <f>TEXT(Table1[[#This Row],[order_date]],"mmm")</f>
        <v>Feb</v>
      </c>
      <c r="P1517">
        <f>YEAR(Table1[[#This Row],[order_date]])</f>
        <v>2026</v>
      </c>
    </row>
    <row r="1518" spans="1:16" x14ac:dyDescent="0.3">
      <c r="A1518">
        <v>11517</v>
      </c>
      <c r="B1518" s="1">
        <v>46078</v>
      </c>
      <c r="C1518">
        <v>1843</v>
      </c>
      <c r="D1518" t="s">
        <v>19</v>
      </c>
      <c r="E1518" t="s">
        <v>20</v>
      </c>
      <c r="F1518">
        <v>6</v>
      </c>
      <c r="G1518">
        <v>517.30999999999995</v>
      </c>
      <c r="H1518">
        <v>0.16</v>
      </c>
      <c r="I1518" t="s">
        <v>18</v>
      </c>
      <c r="J1518">
        <v>10</v>
      </c>
      <c r="K1518">
        <v>4.2</v>
      </c>
      <c r="L1518">
        <v>2607.2399999999998</v>
      </c>
      <c r="M1518">
        <f>(Table1[[#This Row],[unit_price]]*Table1[[#This Row],[quantity]])-(Table1[[#This Row],[unit_price]]*Table1[[#This Row],[discount]]*Table1[[#This Row],[quantity]])</f>
        <v>2607.2423999999996</v>
      </c>
      <c r="N1518">
        <f>DAY(Table1[[#This Row],[order_date]])</f>
        <v>25</v>
      </c>
      <c r="O1518" t="str">
        <f>TEXT(Table1[[#This Row],[order_date]],"mmm")</f>
        <v>Feb</v>
      </c>
      <c r="P1518">
        <f>YEAR(Table1[[#This Row],[order_date]])</f>
        <v>2026</v>
      </c>
    </row>
    <row r="1519" spans="1:16" x14ac:dyDescent="0.3">
      <c r="A1519">
        <v>11518</v>
      </c>
      <c r="B1519" s="1">
        <v>46079</v>
      </c>
      <c r="C1519">
        <v>1684</v>
      </c>
      <c r="D1519" t="s">
        <v>19</v>
      </c>
      <c r="E1519" t="s">
        <v>21</v>
      </c>
      <c r="F1519">
        <v>1</v>
      </c>
      <c r="G1519">
        <v>552.87</v>
      </c>
      <c r="H1519">
        <v>0.16</v>
      </c>
      <c r="I1519" t="s">
        <v>16</v>
      </c>
      <c r="J1519">
        <v>8</v>
      </c>
      <c r="K1519">
        <v>4.3</v>
      </c>
      <c r="L1519">
        <v>464.41</v>
      </c>
      <c r="M1519">
        <f>(Table1[[#This Row],[unit_price]]*Table1[[#This Row],[quantity]])-(Table1[[#This Row],[unit_price]]*Table1[[#This Row],[discount]]*Table1[[#This Row],[quantity]])</f>
        <v>464.41079999999999</v>
      </c>
      <c r="N1519">
        <f>DAY(Table1[[#This Row],[order_date]])</f>
        <v>26</v>
      </c>
      <c r="O1519" t="str">
        <f>TEXT(Table1[[#This Row],[order_date]],"mmm")</f>
        <v>Feb</v>
      </c>
      <c r="P1519">
        <f>YEAR(Table1[[#This Row],[order_date]])</f>
        <v>2026</v>
      </c>
    </row>
    <row r="1520" spans="1:16" x14ac:dyDescent="0.3">
      <c r="A1520">
        <v>11519</v>
      </c>
      <c r="B1520" s="1">
        <v>46080</v>
      </c>
      <c r="C1520">
        <v>1129</v>
      </c>
      <c r="D1520" t="s">
        <v>15</v>
      </c>
      <c r="E1520" t="s">
        <v>20</v>
      </c>
      <c r="F1520">
        <v>3</v>
      </c>
      <c r="G1520">
        <v>221.83</v>
      </c>
      <c r="H1520">
        <v>0.27</v>
      </c>
      <c r="I1520" t="s">
        <v>16</v>
      </c>
      <c r="J1520">
        <v>7</v>
      </c>
      <c r="K1520">
        <v>2.5</v>
      </c>
      <c r="L1520">
        <v>485.81</v>
      </c>
      <c r="M1520">
        <f>(Table1[[#This Row],[unit_price]]*Table1[[#This Row],[quantity]])-(Table1[[#This Row],[unit_price]]*Table1[[#This Row],[discount]]*Table1[[#This Row],[quantity]])</f>
        <v>485.80769999999995</v>
      </c>
      <c r="N1520">
        <f>DAY(Table1[[#This Row],[order_date]])</f>
        <v>27</v>
      </c>
      <c r="O1520" t="str">
        <f>TEXT(Table1[[#This Row],[order_date]],"mmm")</f>
        <v>Feb</v>
      </c>
      <c r="P1520">
        <f>YEAR(Table1[[#This Row],[order_date]])</f>
        <v>2026</v>
      </c>
    </row>
    <row r="1521" spans="1:16" x14ac:dyDescent="0.3">
      <c r="A1521">
        <v>11520</v>
      </c>
      <c r="B1521" s="1">
        <v>46081</v>
      </c>
      <c r="C1521">
        <v>1410</v>
      </c>
      <c r="D1521" t="s">
        <v>22</v>
      </c>
      <c r="E1521" t="s">
        <v>20</v>
      </c>
      <c r="F1521">
        <v>7</v>
      </c>
      <c r="G1521">
        <v>435.91</v>
      </c>
      <c r="H1521">
        <v>0.16</v>
      </c>
      <c r="I1521" t="s">
        <v>18</v>
      </c>
      <c r="J1521">
        <v>5</v>
      </c>
      <c r="K1521">
        <v>2</v>
      </c>
      <c r="L1521">
        <v>2563.15</v>
      </c>
      <c r="M1521">
        <f>(Table1[[#This Row],[unit_price]]*Table1[[#This Row],[quantity]])-(Table1[[#This Row],[unit_price]]*Table1[[#This Row],[discount]]*Table1[[#This Row],[quantity]])</f>
        <v>2563.1508000000003</v>
      </c>
      <c r="N1521">
        <f>DAY(Table1[[#This Row],[order_date]])</f>
        <v>28</v>
      </c>
      <c r="O1521" t="str">
        <f>TEXT(Table1[[#This Row],[order_date]],"mmm")</f>
        <v>Feb</v>
      </c>
      <c r="P1521">
        <f>YEAR(Table1[[#This Row],[order_date]])</f>
        <v>2026</v>
      </c>
    </row>
    <row r="1522" spans="1:16" x14ac:dyDescent="0.3">
      <c r="A1522">
        <v>11521</v>
      </c>
      <c r="B1522" s="1">
        <v>46082</v>
      </c>
      <c r="C1522">
        <v>1094</v>
      </c>
      <c r="D1522" t="s">
        <v>19</v>
      </c>
      <c r="E1522" t="s">
        <v>17</v>
      </c>
      <c r="F1522">
        <v>2</v>
      </c>
      <c r="G1522">
        <v>273.63</v>
      </c>
      <c r="H1522">
        <v>0.01</v>
      </c>
      <c r="I1522" t="s">
        <v>18</v>
      </c>
      <c r="J1522">
        <v>11</v>
      </c>
      <c r="K1522">
        <v>3.4</v>
      </c>
      <c r="L1522">
        <v>541.79</v>
      </c>
      <c r="M1522">
        <f>(Table1[[#This Row],[unit_price]]*Table1[[#This Row],[quantity]])-(Table1[[#This Row],[unit_price]]*Table1[[#This Row],[discount]]*Table1[[#This Row],[quantity]])</f>
        <v>541.78739999999993</v>
      </c>
      <c r="N1522">
        <f>DAY(Table1[[#This Row],[order_date]])</f>
        <v>1</v>
      </c>
      <c r="O1522" t="str">
        <f>TEXT(Table1[[#This Row],[order_date]],"mmm")</f>
        <v>Mar</v>
      </c>
      <c r="P1522">
        <f>YEAR(Table1[[#This Row],[order_date]])</f>
        <v>2026</v>
      </c>
    </row>
    <row r="1523" spans="1:16" x14ac:dyDescent="0.3">
      <c r="A1523">
        <v>11522</v>
      </c>
      <c r="B1523" s="1">
        <v>46083</v>
      </c>
      <c r="C1523">
        <v>1626</v>
      </c>
      <c r="D1523" t="s">
        <v>22</v>
      </c>
      <c r="E1523" t="s">
        <v>17</v>
      </c>
      <c r="F1523">
        <v>3</v>
      </c>
      <c r="G1523">
        <v>398.31</v>
      </c>
      <c r="H1523">
        <v>0.25</v>
      </c>
      <c r="I1523" t="s">
        <v>16</v>
      </c>
      <c r="J1523">
        <v>1</v>
      </c>
      <c r="K1523">
        <v>4.5</v>
      </c>
      <c r="L1523">
        <v>896.2</v>
      </c>
      <c r="M1523">
        <f>(Table1[[#This Row],[unit_price]]*Table1[[#This Row],[quantity]])-(Table1[[#This Row],[unit_price]]*Table1[[#This Row],[discount]]*Table1[[#This Row],[quantity]])</f>
        <v>896.19749999999999</v>
      </c>
      <c r="N1523">
        <f>DAY(Table1[[#This Row],[order_date]])</f>
        <v>2</v>
      </c>
      <c r="O1523" t="str">
        <f>TEXT(Table1[[#This Row],[order_date]],"mmm")</f>
        <v>Mar</v>
      </c>
      <c r="P1523">
        <f>YEAR(Table1[[#This Row],[order_date]])</f>
        <v>2026</v>
      </c>
    </row>
    <row r="1524" spans="1:16" x14ac:dyDescent="0.3">
      <c r="A1524">
        <v>11523</v>
      </c>
      <c r="B1524" s="1">
        <v>46084</v>
      </c>
      <c r="C1524">
        <v>1754</v>
      </c>
      <c r="D1524" t="s">
        <v>19</v>
      </c>
      <c r="E1524" t="s">
        <v>13</v>
      </c>
      <c r="F1524">
        <v>1</v>
      </c>
      <c r="G1524">
        <v>214.09</v>
      </c>
      <c r="H1524">
        <v>0.31</v>
      </c>
      <c r="I1524" t="s">
        <v>16</v>
      </c>
      <c r="J1524">
        <v>8</v>
      </c>
      <c r="K1524">
        <v>3.9</v>
      </c>
      <c r="L1524">
        <v>147.72</v>
      </c>
      <c r="M1524">
        <f>(Table1[[#This Row],[unit_price]]*Table1[[#This Row],[quantity]])-(Table1[[#This Row],[unit_price]]*Table1[[#This Row],[discount]]*Table1[[#This Row],[quantity]])</f>
        <v>147.72210000000001</v>
      </c>
      <c r="N1524">
        <f>DAY(Table1[[#This Row],[order_date]])</f>
        <v>3</v>
      </c>
      <c r="O1524" t="str">
        <f>TEXT(Table1[[#This Row],[order_date]],"mmm")</f>
        <v>Mar</v>
      </c>
      <c r="P1524">
        <f>YEAR(Table1[[#This Row],[order_date]])</f>
        <v>2026</v>
      </c>
    </row>
    <row r="1525" spans="1:16" x14ac:dyDescent="0.3">
      <c r="A1525">
        <v>11524</v>
      </c>
      <c r="B1525" s="1">
        <v>46085</v>
      </c>
      <c r="C1525">
        <v>1931</v>
      </c>
      <c r="D1525" t="s">
        <v>15</v>
      </c>
      <c r="E1525" t="s">
        <v>13</v>
      </c>
      <c r="F1525">
        <v>2</v>
      </c>
      <c r="G1525">
        <v>203.7</v>
      </c>
      <c r="H1525">
        <v>0.18</v>
      </c>
      <c r="I1525" t="s">
        <v>16</v>
      </c>
      <c r="J1525">
        <v>5</v>
      </c>
      <c r="K1525">
        <v>2.9</v>
      </c>
      <c r="L1525">
        <v>334.07</v>
      </c>
      <c r="M1525">
        <f>(Table1[[#This Row],[unit_price]]*Table1[[#This Row],[quantity]])-(Table1[[#This Row],[unit_price]]*Table1[[#This Row],[discount]]*Table1[[#This Row],[quantity]])</f>
        <v>334.06799999999998</v>
      </c>
      <c r="N1525">
        <f>DAY(Table1[[#This Row],[order_date]])</f>
        <v>4</v>
      </c>
      <c r="O1525" t="str">
        <f>TEXT(Table1[[#This Row],[order_date]],"mmm")</f>
        <v>Mar</v>
      </c>
      <c r="P1525">
        <f>YEAR(Table1[[#This Row],[order_date]])</f>
        <v>2026</v>
      </c>
    </row>
    <row r="1526" spans="1:16" x14ac:dyDescent="0.3">
      <c r="A1526">
        <v>11525</v>
      </c>
      <c r="B1526" s="1">
        <v>46086</v>
      </c>
      <c r="C1526">
        <v>1291</v>
      </c>
      <c r="D1526" t="s">
        <v>12</v>
      </c>
      <c r="E1526" t="s">
        <v>13</v>
      </c>
      <c r="F1526">
        <v>3</v>
      </c>
      <c r="G1526">
        <v>263.29000000000002</v>
      </c>
      <c r="H1526">
        <v>0.2</v>
      </c>
      <c r="I1526" t="s">
        <v>16</v>
      </c>
      <c r="J1526">
        <v>3</v>
      </c>
      <c r="K1526">
        <v>4</v>
      </c>
      <c r="L1526">
        <v>631.9</v>
      </c>
      <c r="M1526">
        <f>(Table1[[#This Row],[unit_price]]*Table1[[#This Row],[quantity]])-(Table1[[#This Row],[unit_price]]*Table1[[#This Row],[discount]]*Table1[[#This Row],[quantity]])</f>
        <v>631.89600000000007</v>
      </c>
      <c r="N1526">
        <f>DAY(Table1[[#This Row],[order_date]])</f>
        <v>5</v>
      </c>
      <c r="O1526" t="str">
        <f>TEXT(Table1[[#This Row],[order_date]],"mmm")</f>
        <v>Mar</v>
      </c>
      <c r="P1526">
        <f>YEAR(Table1[[#This Row],[order_date]])</f>
        <v>2026</v>
      </c>
    </row>
    <row r="1527" spans="1:16" x14ac:dyDescent="0.3">
      <c r="A1527">
        <v>11526</v>
      </c>
      <c r="B1527" s="1">
        <v>46087</v>
      </c>
      <c r="C1527">
        <v>1793</v>
      </c>
      <c r="D1527" t="s">
        <v>19</v>
      </c>
      <c r="E1527" t="s">
        <v>21</v>
      </c>
      <c r="F1527">
        <v>3</v>
      </c>
      <c r="G1527">
        <v>100.16</v>
      </c>
      <c r="H1527">
        <v>0.06</v>
      </c>
      <c r="I1527" t="s">
        <v>16</v>
      </c>
      <c r="J1527">
        <v>2</v>
      </c>
      <c r="K1527">
        <v>3.8</v>
      </c>
      <c r="L1527">
        <v>282.45</v>
      </c>
      <c r="M1527">
        <f>(Table1[[#This Row],[unit_price]]*Table1[[#This Row],[quantity]])-(Table1[[#This Row],[unit_price]]*Table1[[#This Row],[discount]]*Table1[[#This Row],[quantity]])</f>
        <v>282.45120000000003</v>
      </c>
      <c r="N1527">
        <f>DAY(Table1[[#This Row],[order_date]])</f>
        <v>6</v>
      </c>
      <c r="O1527" t="str">
        <f>TEXT(Table1[[#This Row],[order_date]],"mmm")</f>
        <v>Mar</v>
      </c>
      <c r="P1527">
        <f>YEAR(Table1[[#This Row],[order_date]])</f>
        <v>2026</v>
      </c>
    </row>
    <row r="1528" spans="1:16" x14ac:dyDescent="0.3">
      <c r="A1528">
        <v>11527</v>
      </c>
      <c r="B1528" s="1">
        <v>46088</v>
      </c>
      <c r="C1528">
        <v>1810</v>
      </c>
      <c r="D1528" t="s">
        <v>15</v>
      </c>
      <c r="E1528" t="s">
        <v>13</v>
      </c>
      <c r="F1528">
        <v>2</v>
      </c>
      <c r="G1528">
        <v>501.22</v>
      </c>
      <c r="H1528">
        <v>0.08</v>
      </c>
      <c r="I1528" t="s">
        <v>16</v>
      </c>
      <c r="J1528">
        <v>3</v>
      </c>
      <c r="K1528">
        <v>4.7</v>
      </c>
      <c r="L1528">
        <v>922.24</v>
      </c>
      <c r="M1528">
        <f>(Table1[[#This Row],[unit_price]]*Table1[[#This Row],[quantity]])-(Table1[[#This Row],[unit_price]]*Table1[[#This Row],[discount]]*Table1[[#This Row],[quantity]])</f>
        <v>922.24480000000005</v>
      </c>
      <c r="N1528">
        <f>DAY(Table1[[#This Row],[order_date]])</f>
        <v>7</v>
      </c>
      <c r="O1528" t="str">
        <f>TEXT(Table1[[#This Row],[order_date]],"mmm")</f>
        <v>Mar</v>
      </c>
      <c r="P1528">
        <f>YEAR(Table1[[#This Row],[order_date]])</f>
        <v>2026</v>
      </c>
    </row>
    <row r="1529" spans="1:16" x14ac:dyDescent="0.3">
      <c r="A1529">
        <v>11528</v>
      </c>
      <c r="B1529" s="1">
        <v>46089</v>
      </c>
      <c r="C1529">
        <v>1282</v>
      </c>
      <c r="D1529" t="s">
        <v>19</v>
      </c>
      <c r="E1529" t="s">
        <v>21</v>
      </c>
      <c r="F1529">
        <v>3</v>
      </c>
      <c r="G1529">
        <v>218.99</v>
      </c>
      <c r="H1529">
        <v>0.08</v>
      </c>
      <c r="I1529" t="s">
        <v>16</v>
      </c>
      <c r="J1529">
        <v>9</v>
      </c>
      <c r="K1529">
        <v>2.1</v>
      </c>
      <c r="L1529">
        <v>604.41</v>
      </c>
      <c r="M1529">
        <f>(Table1[[#This Row],[unit_price]]*Table1[[#This Row],[quantity]])-(Table1[[#This Row],[unit_price]]*Table1[[#This Row],[discount]]*Table1[[#This Row],[quantity]])</f>
        <v>604.41240000000005</v>
      </c>
      <c r="N1529">
        <f>DAY(Table1[[#This Row],[order_date]])</f>
        <v>8</v>
      </c>
      <c r="O1529" t="str">
        <f>TEXT(Table1[[#This Row],[order_date]],"mmm")</f>
        <v>Mar</v>
      </c>
      <c r="P1529">
        <f>YEAR(Table1[[#This Row],[order_date]])</f>
        <v>2026</v>
      </c>
    </row>
    <row r="1530" spans="1:16" x14ac:dyDescent="0.3">
      <c r="A1530">
        <v>11529</v>
      </c>
      <c r="B1530" s="1">
        <v>46090</v>
      </c>
      <c r="C1530">
        <v>1068</v>
      </c>
      <c r="D1530" t="s">
        <v>19</v>
      </c>
      <c r="E1530" t="s">
        <v>21</v>
      </c>
      <c r="F1530">
        <v>3</v>
      </c>
      <c r="G1530">
        <v>249.09</v>
      </c>
      <c r="H1530">
        <v>0.15</v>
      </c>
      <c r="I1530" t="s">
        <v>14</v>
      </c>
      <c r="J1530">
        <v>2</v>
      </c>
      <c r="K1530">
        <v>1.5</v>
      </c>
      <c r="L1530">
        <v>635.17999999999995</v>
      </c>
      <c r="M1530">
        <f>(Table1[[#This Row],[unit_price]]*Table1[[#This Row],[quantity]])-(Table1[[#This Row],[unit_price]]*Table1[[#This Row],[discount]]*Table1[[#This Row],[quantity]])</f>
        <v>635.17949999999996</v>
      </c>
      <c r="N1530">
        <f>DAY(Table1[[#This Row],[order_date]])</f>
        <v>9</v>
      </c>
      <c r="O1530" t="str">
        <f>TEXT(Table1[[#This Row],[order_date]],"mmm")</f>
        <v>Mar</v>
      </c>
      <c r="P1530">
        <f>YEAR(Table1[[#This Row],[order_date]])</f>
        <v>2026</v>
      </c>
    </row>
    <row r="1531" spans="1:16" x14ac:dyDescent="0.3">
      <c r="A1531">
        <v>11530</v>
      </c>
      <c r="B1531" s="1">
        <v>46091</v>
      </c>
      <c r="C1531">
        <v>1659</v>
      </c>
      <c r="D1531" t="s">
        <v>19</v>
      </c>
      <c r="E1531" t="s">
        <v>13</v>
      </c>
      <c r="F1531">
        <v>2</v>
      </c>
      <c r="G1531">
        <v>538.02</v>
      </c>
      <c r="H1531">
        <v>0.32</v>
      </c>
      <c r="I1531" t="s">
        <v>16</v>
      </c>
      <c r="J1531">
        <v>10</v>
      </c>
      <c r="K1531">
        <v>2.9</v>
      </c>
      <c r="L1531">
        <v>731.71</v>
      </c>
      <c r="M1531">
        <f>(Table1[[#This Row],[unit_price]]*Table1[[#This Row],[quantity]])-(Table1[[#This Row],[unit_price]]*Table1[[#This Row],[discount]]*Table1[[#This Row],[quantity]])</f>
        <v>731.70719999999994</v>
      </c>
      <c r="N1531">
        <f>DAY(Table1[[#This Row],[order_date]])</f>
        <v>10</v>
      </c>
      <c r="O1531" t="str">
        <f>TEXT(Table1[[#This Row],[order_date]],"mmm")</f>
        <v>Mar</v>
      </c>
      <c r="P1531">
        <f>YEAR(Table1[[#This Row],[order_date]])</f>
        <v>2026</v>
      </c>
    </row>
    <row r="1532" spans="1:16" x14ac:dyDescent="0.3">
      <c r="A1532">
        <v>11531</v>
      </c>
      <c r="B1532" s="1">
        <v>46092</v>
      </c>
      <c r="C1532">
        <v>1010</v>
      </c>
      <c r="D1532" t="s">
        <v>19</v>
      </c>
      <c r="E1532" t="s">
        <v>13</v>
      </c>
      <c r="F1532">
        <v>7</v>
      </c>
      <c r="G1532">
        <v>305.52</v>
      </c>
      <c r="H1532">
        <v>0.18</v>
      </c>
      <c r="I1532" t="s">
        <v>16</v>
      </c>
      <c r="J1532">
        <v>1</v>
      </c>
      <c r="K1532">
        <v>2.4</v>
      </c>
      <c r="L1532">
        <v>1753.68</v>
      </c>
      <c r="M1532">
        <f>(Table1[[#This Row],[unit_price]]*Table1[[#This Row],[quantity]])-(Table1[[#This Row],[unit_price]]*Table1[[#This Row],[discount]]*Table1[[#This Row],[quantity]])</f>
        <v>1753.6848</v>
      </c>
      <c r="N1532">
        <f>DAY(Table1[[#This Row],[order_date]])</f>
        <v>11</v>
      </c>
      <c r="O1532" t="str">
        <f>TEXT(Table1[[#This Row],[order_date]],"mmm")</f>
        <v>Mar</v>
      </c>
      <c r="P1532">
        <f>YEAR(Table1[[#This Row],[order_date]])</f>
        <v>2026</v>
      </c>
    </row>
    <row r="1533" spans="1:16" x14ac:dyDescent="0.3">
      <c r="A1533">
        <v>11532</v>
      </c>
      <c r="B1533" s="1">
        <v>46093</v>
      </c>
      <c r="C1533">
        <v>1253</v>
      </c>
      <c r="D1533" t="s">
        <v>15</v>
      </c>
      <c r="E1533" t="s">
        <v>21</v>
      </c>
      <c r="F1533">
        <v>3</v>
      </c>
      <c r="G1533">
        <v>333.39</v>
      </c>
      <c r="H1533">
        <v>7.0000000000000007E-2</v>
      </c>
      <c r="I1533" t="s">
        <v>16</v>
      </c>
      <c r="J1533">
        <v>2</v>
      </c>
      <c r="K1533">
        <v>4.9000000000000004</v>
      </c>
      <c r="L1533">
        <v>930.16</v>
      </c>
      <c r="M1533">
        <f>(Table1[[#This Row],[unit_price]]*Table1[[#This Row],[quantity]])-(Table1[[#This Row],[unit_price]]*Table1[[#This Row],[discount]]*Table1[[#This Row],[quantity]])</f>
        <v>930.15809999999999</v>
      </c>
      <c r="N1533">
        <f>DAY(Table1[[#This Row],[order_date]])</f>
        <v>12</v>
      </c>
      <c r="O1533" t="str">
        <f>TEXT(Table1[[#This Row],[order_date]],"mmm")</f>
        <v>Mar</v>
      </c>
      <c r="P1533">
        <f>YEAR(Table1[[#This Row],[order_date]])</f>
        <v>2026</v>
      </c>
    </row>
    <row r="1534" spans="1:16" x14ac:dyDescent="0.3">
      <c r="A1534">
        <v>11533</v>
      </c>
      <c r="B1534" s="1">
        <v>46094</v>
      </c>
      <c r="C1534">
        <v>1841</v>
      </c>
      <c r="D1534" t="s">
        <v>15</v>
      </c>
      <c r="E1534" t="s">
        <v>17</v>
      </c>
      <c r="F1534">
        <v>3</v>
      </c>
      <c r="G1534">
        <v>574.54999999999995</v>
      </c>
      <c r="H1534">
        <v>0.09</v>
      </c>
      <c r="I1534" t="s">
        <v>16</v>
      </c>
      <c r="J1534">
        <v>2</v>
      </c>
      <c r="K1534">
        <v>1</v>
      </c>
      <c r="L1534">
        <v>1568.52</v>
      </c>
      <c r="M1534">
        <f>(Table1[[#This Row],[unit_price]]*Table1[[#This Row],[quantity]])-(Table1[[#This Row],[unit_price]]*Table1[[#This Row],[discount]]*Table1[[#This Row],[quantity]])</f>
        <v>1568.5214999999998</v>
      </c>
      <c r="N1534">
        <f>DAY(Table1[[#This Row],[order_date]])</f>
        <v>13</v>
      </c>
      <c r="O1534" t="str">
        <f>TEXT(Table1[[#This Row],[order_date]],"mmm")</f>
        <v>Mar</v>
      </c>
      <c r="P1534">
        <f>YEAR(Table1[[#This Row],[order_date]])</f>
        <v>2026</v>
      </c>
    </row>
    <row r="1535" spans="1:16" x14ac:dyDescent="0.3">
      <c r="A1535">
        <v>11534</v>
      </c>
      <c r="B1535" s="1">
        <v>46095</v>
      </c>
      <c r="C1535">
        <v>1871</v>
      </c>
      <c r="D1535" t="s">
        <v>15</v>
      </c>
      <c r="E1535" t="s">
        <v>20</v>
      </c>
      <c r="F1535">
        <v>7</v>
      </c>
      <c r="G1535">
        <v>533.73</v>
      </c>
      <c r="H1535">
        <v>0.13</v>
      </c>
      <c r="I1535" t="s">
        <v>18</v>
      </c>
      <c r="J1535">
        <v>11</v>
      </c>
      <c r="K1535">
        <v>4.7</v>
      </c>
      <c r="L1535">
        <v>3250.42</v>
      </c>
      <c r="M1535">
        <f>(Table1[[#This Row],[unit_price]]*Table1[[#This Row],[quantity]])-(Table1[[#This Row],[unit_price]]*Table1[[#This Row],[discount]]*Table1[[#This Row],[quantity]])</f>
        <v>3250.4157</v>
      </c>
      <c r="N1535">
        <f>DAY(Table1[[#This Row],[order_date]])</f>
        <v>14</v>
      </c>
      <c r="O1535" t="str">
        <f>TEXT(Table1[[#This Row],[order_date]],"mmm")</f>
        <v>Mar</v>
      </c>
      <c r="P1535">
        <f>YEAR(Table1[[#This Row],[order_date]])</f>
        <v>2026</v>
      </c>
    </row>
    <row r="1536" spans="1:16" x14ac:dyDescent="0.3">
      <c r="A1536">
        <v>11535</v>
      </c>
      <c r="B1536" s="1">
        <v>46096</v>
      </c>
      <c r="C1536">
        <v>1549</v>
      </c>
      <c r="D1536" t="s">
        <v>19</v>
      </c>
      <c r="E1536" t="s">
        <v>20</v>
      </c>
      <c r="F1536">
        <v>4</v>
      </c>
      <c r="G1536">
        <v>114.14</v>
      </c>
      <c r="H1536">
        <v>0.22</v>
      </c>
      <c r="I1536" t="s">
        <v>16</v>
      </c>
      <c r="J1536">
        <v>5</v>
      </c>
      <c r="K1536">
        <v>4.8</v>
      </c>
      <c r="L1536">
        <v>356.12</v>
      </c>
      <c r="M1536">
        <f>(Table1[[#This Row],[unit_price]]*Table1[[#This Row],[quantity]])-(Table1[[#This Row],[unit_price]]*Table1[[#This Row],[discount]]*Table1[[#This Row],[quantity]])</f>
        <v>356.11680000000001</v>
      </c>
      <c r="N1536">
        <f>DAY(Table1[[#This Row],[order_date]])</f>
        <v>15</v>
      </c>
      <c r="O1536" t="str">
        <f>TEXT(Table1[[#This Row],[order_date]],"mmm")</f>
        <v>Mar</v>
      </c>
      <c r="P1536">
        <f>YEAR(Table1[[#This Row],[order_date]])</f>
        <v>2026</v>
      </c>
    </row>
    <row r="1537" spans="1:16" x14ac:dyDescent="0.3">
      <c r="A1537">
        <v>11536</v>
      </c>
      <c r="B1537" s="1">
        <v>46097</v>
      </c>
      <c r="C1537">
        <v>1133</v>
      </c>
      <c r="D1537" t="s">
        <v>19</v>
      </c>
      <c r="E1537" t="s">
        <v>20</v>
      </c>
      <c r="F1537">
        <v>6</v>
      </c>
      <c r="G1537">
        <v>291.83</v>
      </c>
      <c r="H1537">
        <v>0.15</v>
      </c>
      <c r="I1537" t="s">
        <v>16</v>
      </c>
      <c r="J1537">
        <v>1</v>
      </c>
      <c r="K1537">
        <v>1.2</v>
      </c>
      <c r="L1537">
        <v>1488.33</v>
      </c>
      <c r="M1537">
        <f>(Table1[[#This Row],[unit_price]]*Table1[[#This Row],[quantity]])-(Table1[[#This Row],[unit_price]]*Table1[[#This Row],[discount]]*Table1[[#This Row],[quantity]])</f>
        <v>1488.3330000000001</v>
      </c>
      <c r="N1537">
        <f>DAY(Table1[[#This Row],[order_date]])</f>
        <v>16</v>
      </c>
      <c r="O1537" t="str">
        <f>TEXT(Table1[[#This Row],[order_date]],"mmm")</f>
        <v>Mar</v>
      </c>
      <c r="P1537">
        <f>YEAR(Table1[[#This Row],[order_date]])</f>
        <v>2026</v>
      </c>
    </row>
    <row r="1538" spans="1:16" x14ac:dyDescent="0.3">
      <c r="A1538">
        <v>11537</v>
      </c>
      <c r="B1538" s="1">
        <v>46098</v>
      </c>
      <c r="C1538">
        <v>1711</v>
      </c>
      <c r="D1538" t="s">
        <v>22</v>
      </c>
      <c r="E1538" t="s">
        <v>17</v>
      </c>
      <c r="F1538">
        <v>4</v>
      </c>
      <c r="G1538">
        <v>583.21</v>
      </c>
      <c r="H1538">
        <v>0.14000000000000001</v>
      </c>
      <c r="I1538" t="s">
        <v>16</v>
      </c>
      <c r="J1538">
        <v>10</v>
      </c>
      <c r="K1538">
        <v>4.5999999999999996</v>
      </c>
      <c r="L1538">
        <v>2006.24</v>
      </c>
      <c r="M1538">
        <f>(Table1[[#This Row],[unit_price]]*Table1[[#This Row],[quantity]])-(Table1[[#This Row],[unit_price]]*Table1[[#This Row],[discount]]*Table1[[#This Row],[quantity]])</f>
        <v>2006.2424000000001</v>
      </c>
      <c r="N1538">
        <f>DAY(Table1[[#This Row],[order_date]])</f>
        <v>17</v>
      </c>
      <c r="O1538" t="str">
        <f>TEXT(Table1[[#This Row],[order_date]],"mmm")</f>
        <v>Mar</v>
      </c>
      <c r="P1538">
        <f>YEAR(Table1[[#This Row],[order_date]])</f>
        <v>2026</v>
      </c>
    </row>
    <row r="1539" spans="1:16" x14ac:dyDescent="0.3">
      <c r="A1539">
        <v>11538</v>
      </c>
      <c r="B1539" s="1">
        <v>46099</v>
      </c>
      <c r="C1539">
        <v>1022</v>
      </c>
      <c r="D1539" t="s">
        <v>12</v>
      </c>
      <c r="E1539" t="s">
        <v>21</v>
      </c>
      <c r="F1539">
        <v>1</v>
      </c>
      <c r="G1539">
        <v>232.83</v>
      </c>
      <c r="H1539">
        <v>0.2</v>
      </c>
      <c r="I1539" t="s">
        <v>18</v>
      </c>
      <c r="J1539">
        <v>8</v>
      </c>
      <c r="K1539">
        <v>2.9</v>
      </c>
      <c r="L1539">
        <v>186.26</v>
      </c>
      <c r="M1539">
        <f>(Table1[[#This Row],[unit_price]]*Table1[[#This Row],[quantity]])-(Table1[[#This Row],[unit_price]]*Table1[[#This Row],[discount]]*Table1[[#This Row],[quantity]])</f>
        <v>186.26400000000001</v>
      </c>
      <c r="N1539">
        <f>DAY(Table1[[#This Row],[order_date]])</f>
        <v>18</v>
      </c>
      <c r="O1539" t="str">
        <f>TEXT(Table1[[#This Row],[order_date]],"mmm")</f>
        <v>Mar</v>
      </c>
      <c r="P1539">
        <f>YEAR(Table1[[#This Row],[order_date]])</f>
        <v>2026</v>
      </c>
    </row>
    <row r="1540" spans="1:16" x14ac:dyDescent="0.3">
      <c r="A1540">
        <v>11539</v>
      </c>
      <c r="B1540" s="1">
        <v>46100</v>
      </c>
      <c r="C1540">
        <v>1814</v>
      </c>
      <c r="D1540" t="s">
        <v>19</v>
      </c>
      <c r="E1540" t="s">
        <v>13</v>
      </c>
      <c r="F1540">
        <v>4</v>
      </c>
      <c r="G1540">
        <v>232.37</v>
      </c>
      <c r="H1540">
        <v>0.08</v>
      </c>
      <c r="I1540" t="s">
        <v>16</v>
      </c>
      <c r="J1540">
        <v>2</v>
      </c>
      <c r="K1540">
        <v>4.0999999999999996</v>
      </c>
      <c r="L1540">
        <v>855.12</v>
      </c>
      <c r="M1540">
        <f>(Table1[[#This Row],[unit_price]]*Table1[[#This Row],[quantity]])-(Table1[[#This Row],[unit_price]]*Table1[[#This Row],[discount]]*Table1[[#This Row],[quantity]])</f>
        <v>855.12160000000006</v>
      </c>
      <c r="N1540">
        <f>DAY(Table1[[#This Row],[order_date]])</f>
        <v>19</v>
      </c>
      <c r="O1540" t="str">
        <f>TEXT(Table1[[#This Row],[order_date]],"mmm")</f>
        <v>Mar</v>
      </c>
      <c r="P1540">
        <f>YEAR(Table1[[#This Row],[order_date]])</f>
        <v>2026</v>
      </c>
    </row>
    <row r="1541" spans="1:16" x14ac:dyDescent="0.3">
      <c r="A1541">
        <v>11540</v>
      </c>
      <c r="B1541" s="1">
        <v>46101</v>
      </c>
      <c r="C1541">
        <v>1345</v>
      </c>
      <c r="D1541" t="s">
        <v>12</v>
      </c>
      <c r="E1541" t="s">
        <v>21</v>
      </c>
      <c r="F1541">
        <v>4</v>
      </c>
      <c r="G1541">
        <v>129.09</v>
      </c>
      <c r="H1541">
        <v>0.03</v>
      </c>
      <c r="I1541" t="s">
        <v>18</v>
      </c>
      <c r="J1541">
        <v>6</v>
      </c>
      <c r="K1541">
        <v>1.3</v>
      </c>
      <c r="L1541">
        <v>500.87</v>
      </c>
      <c r="M1541">
        <f>(Table1[[#This Row],[unit_price]]*Table1[[#This Row],[quantity]])-(Table1[[#This Row],[unit_price]]*Table1[[#This Row],[discount]]*Table1[[#This Row],[quantity]])</f>
        <v>500.86920000000003</v>
      </c>
      <c r="N1541">
        <f>DAY(Table1[[#This Row],[order_date]])</f>
        <v>20</v>
      </c>
      <c r="O1541" t="str">
        <f>TEXT(Table1[[#This Row],[order_date]],"mmm")</f>
        <v>Mar</v>
      </c>
      <c r="P1541">
        <f>YEAR(Table1[[#This Row],[order_date]])</f>
        <v>2026</v>
      </c>
    </row>
    <row r="1542" spans="1:16" x14ac:dyDescent="0.3">
      <c r="A1542">
        <v>11541</v>
      </c>
      <c r="B1542" s="1">
        <v>46102</v>
      </c>
      <c r="C1542">
        <v>1301</v>
      </c>
      <c r="D1542" t="s">
        <v>15</v>
      </c>
      <c r="E1542" t="s">
        <v>21</v>
      </c>
      <c r="F1542">
        <v>1</v>
      </c>
      <c r="G1542">
        <v>81.88</v>
      </c>
      <c r="H1542">
        <v>0.01</v>
      </c>
      <c r="I1542" t="s">
        <v>16</v>
      </c>
      <c r="J1542">
        <v>5</v>
      </c>
      <c r="K1542">
        <v>4.8</v>
      </c>
      <c r="L1542">
        <v>81.06</v>
      </c>
      <c r="M1542">
        <f>(Table1[[#This Row],[unit_price]]*Table1[[#This Row],[quantity]])-(Table1[[#This Row],[unit_price]]*Table1[[#This Row],[discount]]*Table1[[#This Row],[quantity]])</f>
        <v>81.061199999999999</v>
      </c>
      <c r="N1542">
        <f>DAY(Table1[[#This Row],[order_date]])</f>
        <v>21</v>
      </c>
      <c r="O1542" t="str">
        <f>TEXT(Table1[[#This Row],[order_date]],"mmm")</f>
        <v>Mar</v>
      </c>
      <c r="P1542">
        <f>YEAR(Table1[[#This Row],[order_date]])</f>
        <v>2026</v>
      </c>
    </row>
    <row r="1543" spans="1:16" x14ac:dyDescent="0.3">
      <c r="A1543">
        <v>11542</v>
      </c>
      <c r="B1543" s="1">
        <v>46103</v>
      </c>
      <c r="C1543">
        <v>1362</v>
      </c>
      <c r="D1543" t="s">
        <v>15</v>
      </c>
      <c r="E1543" t="s">
        <v>13</v>
      </c>
      <c r="F1543">
        <v>3</v>
      </c>
      <c r="G1543">
        <v>448.08</v>
      </c>
      <c r="H1543">
        <v>0.09</v>
      </c>
      <c r="I1543" t="s">
        <v>16</v>
      </c>
      <c r="J1543">
        <v>2</v>
      </c>
      <c r="K1543">
        <v>3.4</v>
      </c>
      <c r="L1543">
        <v>1223.26</v>
      </c>
      <c r="M1543">
        <f>(Table1[[#This Row],[unit_price]]*Table1[[#This Row],[quantity]])-(Table1[[#This Row],[unit_price]]*Table1[[#This Row],[discount]]*Table1[[#This Row],[quantity]])</f>
        <v>1223.2583999999999</v>
      </c>
      <c r="N1543">
        <f>DAY(Table1[[#This Row],[order_date]])</f>
        <v>22</v>
      </c>
      <c r="O1543" t="str">
        <f>TEXT(Table1[[#This Row],[order_date]],"mmm")</f>
        <v>Mar</v>
      </c>
      <c r="P1543">
        <f>YEAR(Table1[[#This Row],[order_date]])</f>
        <v>2026</v>
      </c>
    </row>
    <row r="1544" spans="1:16" x14ac:dyDescent="0.3">
      <c r="A1544">
        <v>11543</v>
      </c>
      <c r="B1544" s="1">
        <v>46104</v>
      </c>
      <c r="C1544">
        <v>1395</v>
      </c>
      <c r="D1544" t="s">
        <v>15</v>
      </c>
      <c r="E1544" t="s">
        <v>17</v>
      </c>
      <c r="F1544">
        <v>3</v>
      </c>
      <c r="G1544">
        <v>465.47</v>
      </c>
      <c r="H1544">
        <v>0.03</v>
      </c>
      <c r="I1544" t="s">
        <v>18</v>
      </c>
      <c r="J1544">
        <v>10</v>
      </c>
      <c r="K1544">
        <v>4.5999999999999996</v>
      </c>
      <c r="L1544">
        <v>1354.52</v>
      </c>
      <c r="M1544">
        <f>(Table1[[#This Row],[unit_price]]*Table1[[#This Row],[quantity]])-(Table1[[#This Row],[unit_price]]*Table1[[#This Row],[discount]]*Table1[[#This Row],[quantity]])</f>
        <v>1354.5177000000001</v>
      </c>
      <c r="N1544">
        <f>DAY(Table1[[#This Row],[order_date]])</f>
        <v>23</v>
      </c>
      <c r="O1544" t="str">
        <f>TEXT(Table1[[#This Row],[order_date]],"mmm")</f>
        <v>Mar</v>
      </c>
      <c r="P1544">
        <f>YEAR(Table1[[#This Row],[order_date]])</f>
        <v>2026</v>
      </c>
    </row>
    <row r="1545" spans="1:16" x14ac:dyDescent="0.3">
      <c r="A1545">
        <v>11544</v>
      </c>
      <c r="B1545" s="1">
        <v>46105</v>
      </c>
      <c r="C1545">
        <v>1217</v>
      </c>
      <c r="D1545" t="s">
        <v>19</v>
      </c>
      <c r="E1545" t="s">
        <v>20</v>
      </c>
      <c r="F1545">
        <v>4</v>
      </c>
      <c r="G1545">
        <v>581.87</v>
      </c>
      <c r="H1545">
        <v>0.12</v>
      </c>
      <c r="I1545" t="s">
        <v>18</v>
      </c>
      <c r="J1545">
        <v>1</v>
      </c>
      <c r="K1545">
        <v>3.7</v>
      </c>
      <c r="L1545">
        <v>2048.1799999999998</v>
      </c>
      <c r="M1545">
        <f>(Table1[[#This Row],[unit_price]]*Table1[[#This Row],[quantity]])-(Table1[[#This Row],[unit_price]]*Table1[[#This Row],[discount]]*Table1[[#This Row],[quantity]])</f>
        <v>2048.1824000000001</v>
      </c>
      <c r="N1545">
        <f>DAY(Table1[[#This Row],[order_date]])</f>
        <v>24</v>
      </c>
      <c r="O1545" t="str">
        <f>TEXT(Table1[[#This Row],[order_date]],"mmm")</f>
        <v>Mar</v>
      </c>
      <c r="P1545">
        <f>YEAR(Table1[[#This Row],[order_date]])</f>
        <v>2026</v>
      </c>
    </row>
    <row r="1546" spans="1:16" x14ac:dyDescent="0.3">
      <c r="A1546">
        <v>11545</v>
      </c>
      <c r="B1546" s="1">
        <v>46106</v>
      </c>
      <c r="C1546">
        <v>1140</v>
      </c>
      <c r="D1546" t="s">
        <v>19</v>
      </c>
      <c r="E1546" t="s">
        <v>20</v>
      </c>
      <c r="F1546">
        <v>1</v>
      </c>
      <c r="G1546">
        <v>467.45</v>
      </c>
      <c r="H1546">
        <v>0.27</v>
      </c>
      <c r="I1546" t="s">
        <v>18</v>
      </c>
      <c r="J1546">
        <v>6</v>
      </c>
      <c r="K1546">
        <v>3.1</v>
      </c>
      <c r="L1546">
        <v>341.24</v>
      </c>
      <c r="M1546">
        <f>(Table1[[#This Row],[unit_price]]*Table1[[#This Row],[quantity]])-(Table1[[#This Row],[unit_price]]*Table1[[#This Row],[discount]]*Table1[[#This Row],[quantity]])</f>
        <v>341.23849999999999</v>
      </c>
      <c r="N1546">
        <f>DAY(Table1[[#This Row],[order_date]])</f>
        <v>25</v>
      </c>
      <c r="O1546" t="str">
        <f>TEXT(Table1[[#This Row],[order_date]],"mmm")</f>
        <v>Mar</v>
      </c>
      <c r="P1546">
        <f>YEAR(Table1[[#This Row],[order_date]])</f>
        <v>2026</v>
      </c>
    </row>
    <row r="1547" spans="1:16" x14ac:dyDescent="0.3">
      <c r="A1547">
        <v>11546</v>
      </c>
      <c r="B1547" s="1">
        <v>46107</v>
      </c>
      <c r="C1547">
        <v>1615</v>
      </c>
      <c r="D1547" t="s">
        <v>15</v>
      </c>
      <c r="E1547" t="s">
        <v>21</v>
      </c>
      <c r="F1547">
        <v>3</v>
      </c>
      <c r="G1547">
        <v>157.36000000000001</v>
      </c>
      <c r="H1547">
        <v>0.25</v>
      </c>
      <c r="I1547" t="s">
        <v>16</v>
      </c>
      <c r="J1547">
        <v>6</v>
      </c>
      <c r="K1547">
        <v>1.7</v>
      </c>
      <c r="L1547">
        <v>354.06</v>
      </c>
      <c r="M1547">
        <f>(Table1[[#This Row],[unit_price]]*Table1[[#This Row],[quantity]])-(Table1[[#This Row],[unit_price]]*Table1[[#This Row],[discount]]*Table1[[#This Row],[quantity]])</f>
        <v>354.06000000000006</v>
      </c>
      <c r="N1547">
        <f>DAY(Table1[[#This Row],[order_date]])</f>
        <v>26</v>
      </c>
      <c r="O1547" t="str">
        <f>TEXT(Table1[[#This Row],[order_date]],"mmm")</f>
        <v>Mar</v>
      </c>
      <c r="P1547">
        <f>YEAR(Table1[[#This Row],[order_date]])</f>
        <v>2026</v>
      </c>
    </row>
    <row r="1548" spans="1:16" x14ac:dyDescent="0.3">
      <c r="A1548">
        <v>11547</v>
      </c>
      <c r="B1548" s="1">
        <v>46108</v>
      </c>
      <c r="C1548">
        <v>1957</v>
      </c>
      <c r="D1548" t="s">
        <v>19</v>
      </c>
      <c r="E1548" t="s">
        <v>17</v>
      </c>
      <c r="F1548">
        <v>5</v>
      </c>
      <c r="G1548">
        <v>38.47</v>
      </c>
      <c r="H1548">
        <v>0.21</v>
      </c>
      <c r="I1548" t="s">
        <v>18</v>
      </c>
      <c r="J1548">
        <v>3</v>
      </c>
      <c r="K1548">
        <v>1.7</v>
      </c>
      <c r="L1548">
        <v>151.96</v>
      </c>
      <c r="M1548">
        <f>(Table1[[#This Row],[unit_price]]*Table1[[#This Row],[quantity]])-(Table1[[#This Row],[unit_price]]*Table1[[#This Row],[discount]]*Table1[[#This Row],[quantity]])</f>
        <v>151.95650000000001</v>
      </c>
      <c r="N1548">
        <f>DAY(Table1[[#This Row],[order_date]])</f>
        <v>27</v>
      </c>
      <c r="O1548" t="str">
        <f>TEXT(Table1[[#This Row],[order_date]],"mmm")</f>
        <v>Mar</v>
      </c>
      <c r="P1548">
        <f>YEAR(Table1[[#This Row],[order_date]])</f>
        <v>2026</v>
      </c>
    </row>
    <row r="1549" spans="1:16" x14ac:dyDescent="0.3">
      <c r="A1549">
        <v>11548</v>
      </c>
      <c r="B1549" s="1">
        <v>46109</v>
      </c>
      <c r="C1549">
        <v>1209</v>
      </c>
      <c r="D1549" t="s">
        <v>12</v>
      </c>
      <c r="E1549" t="s">
        <v>20</v>
      </c>
      <c r="F1549">
        <v>2</v>
      </c>
      <c r="G1549">
        <v>591.48</v>
      </c>
      <c r="H1549">
        <v>0.3</v>
      </c>
      <c r="I1549" t="s">
        <v>16</v>
      </c>
      <c r="J1549">
        <v>8</v>
      </c>
      <c r="K1549">
        <v>2.9</v>
      </c>
      <c r="L1549">
        <v>828.07</v>
      </c>
      <c r="M1549">
        <f>(Table1[[#This Row],[unit_price]]*Table1[[#This Row],[quantity]])-(Table1[[#This Row],[unit_price]]*Table1[[#This Row],[discount]]*Table1[[#This Row],[quantity]])</f>
        <v>828.07200000000012</v>
      </c>
      <c r="N1549">
        <f>DAY(Table1[[#This Row],[order_date]])</f>
        <v>28</v>
      </c>
      <c r="O1549" t="str">
        <f>TEXT(Table1[[#This Row],[order_date]],"mmm")</f>
        <v>Mar</v>
      </c>
      <c r="P1549">
        <f>YEAR(Table1[[#This Row],[order_date]])</f>
        <v>2026</v>
      </c>
    </row>
    <row r="1550" spans="1:16" x14ac:dyDescent="0.3">
      <c r="A1550">
        <v>11549</v>
      </c>
      <c r="B1550" s="1">
        <v>46110</v>
      </c>
      <c r="C1550">
        <v>1984</v>
      </c>
      <c r="D1550" t="s">
        <v>15</v>
      </c>
      <c r="E1550" t="s">
        <v>17</v>
      </c>
      <c r="F1550">
        <v>2</v>
      </c>
      <c r="G1550">
        <v>214.16</v>
      </c>
      <c r="H1550">
        <v>0.1</v>
      </c>
      <c r="I1550" t="s">
        <v>18</v>
      </c>
      <c r="J1550">
        <v>9</v>
      </c>
      <c r="K1550">
        <v>4.5</v>
      </c>
      <c r="L1550">
        <v>385.49</v>
      </c>
      <c r="M1550">
        <f>(Table1[[#This Row],[unit_price]]*Table1[[#This Row],[quantity]])-(Table1[[#This Row],[unit_price]]*Table1[[#This Row],[discount]]*Table1[[#This Row],[quantity]])</f>
        <v>385.488</v>
      </c>
      <c r="N1550">
        <f>DAY(Table1[[#This Row],[order_date]])</f>
        <v>29</v>
      </c>
      <c r="O1550" t="str">
        <f>TEXT(Table1[[#This Row],[order_date]],"mmm")</f>
        <v>Mar</v>
      </c>
      <c r="P1550">
        <f>YEAR(Table1[[#This Row],[order_date]])</f>
        <v>2026</v>
      </c>
    </row>
    <row r="1551" spans="1:16" x14ac:dyDescent="0.3">
      <c r="A1551">
        <v>11550</v>
      </c>
      <c r="B1551" s="1">
        <v>46111</v>
      </c>
      <c r="C1551">
        <v>1992</v>
      </c>
      <c r="D1551" t="s">
        <v>19</v>
      </c>
      <c r="E1551" t="s">
        <v>13</v>
      </c>
      <c r="F1551">
        <v>6</v>
      </c>
      <c r="G1551">
        <v>197.5</v>
      </c>
      <c r="H1551">
        <v>0.31</v>
      </c>
      <c r="I1551" t="s">
        <v>18</v>
      </c>
      <c r="J1551">
        <v>3</v>
      </c>
      <c r="K1551">
        <v>1.5</v>
      </c>
      <c r="L1551">
        <v>817.65</v>
      </c>
      <c r="M1551">
        <f>(Table1[[#This Row],[unit_price]]*Table1[[#This Row],[quantity]])-(Table1[[#This Row],[unit_price]]*Table1[[#This Row],[discount]]*Table1[[#This Row],[quantity]])</f>
        <v>817.65</v>
      </c>
      <c r="N1551">
        <f>DAY(Table1[[#This Row],[order_date]])</f>
        <v>30</v>
      </c>
      <c r="O1551" t="str">
        <f>TEXT(Table1[[#This Row],[order_date]],"mmm")</f>
        <v>Mar</v>
      </c>
      <c r="P1551">
        <f>YEAR(Table1[[#This Row],[order_date]])</f>
        <v>2026</v>
      </c>
    </row>
    <row r="1552" spans="1:16" x14ac:dyDescent="0.3">
      <c r="A1552">
        <v>11551</v>
      </c>
      <c r="B1552" s="1">
        <v>46112</v>
      </c>
      <c r="C1552">
        <v>1622</v>
      </c>
      <c r="D1552" t="s">
        <v>22</v>
      </c>
      <c r="E1552" t="s">
        <v>21</v>
      </c>
      <c r="F1552">
        <v>2</v>
      </c>
      <c r="G1552">
        <v>544.98</v>
      </c>
      <c r="H1552">
        <v>0.14000000000000001</v>
      </c>
      <c r="I1552" t="s">
        <v>16</v>
      </c>
      <c r="J1552">
        <v>9</v>
      </c>
      <c r="K1552">
        <v>5</v>
      </c>
      <c r="L1552">
        <v>937.37</v>
      </c>
      <c r="M1552">
        <f>(Table1[[#This Row],[unit_price]]*Table1[[#This Row],[quantity]])-(Table1[[#This Row],[unit_price]]*Table1[[#This Row],[discount]]*Table1[[#This Row],[quantity]])</f>
        <v>937.36560000000009</v>
      </c>
      <c r="N1552">
        <f>DAY(Table1[[#This Row],[order_date]])</f>
        <v>31</v>
      </c>
      <c r="O1552" t="str">
        <f>TEXT(Table1[[#This Row],[order_date]],"mmm")</f>
        <v>Mar</v>
      </c>
      <c r="P1552">
        <f>YEAR(Table1[[#This Row],[order_date]])</f>
        <v>2026</v>
      </c>
    </row>
    <row r="1553" spans="1:16" x14ac:dyDescent="0.3">
      <c r="A1553">
        <v>11552</v>
      </c>
      <c r="B1553" s="1">
        <v>46113</v>
      </c>
      <c r="C1553">
        <v>1615</v>
      </c>
      <c r="D1553" t="s">
        <v>19</v>
      </c>
      <c r="E1553" t="s">
        <v>21</v>
      </c>
      <c r="F1553">
        <v>4</v>
      </c>
      <c r="G1553">
        <v>357.28</v>
      </c>
      <c r="H1553">
        <v>0.14000000000000001</v>
      </c>
      <c r="I1553" t="s">
        <v>18</v>
      </c>
      <c r="J1553">
        <v>8</v>
      </c>
      <c r="K1553">
        <v>4.5</v>
      </c>
      <c r="L1553">
        <v>1229.04</v>
      </c>
      <c r="M1553">
        <f>(Table1[[#This Row],[unit_price]]*Table1[[#This Row],[quantity]])-(Table1[[#This Row],[unit_price]]*Table1[[#This Row],[discount]]*Table1[[#This Row],[quantity]])</f>
        <v>1229.0431999999998</v>
      </c>
      <c r="N1553">
        <f>DAY(Table1[[#This Row],[order_date]])</f>
        <v>1</v>
      </c>
      <c r="O1553" t="str">
        <f>TEXT(Table1[[#This Row],[order_date]],"mmm")</f>
        <v>Apr</v>
      </c>
      <c r="P1553">
        <f>YEAR(Table1[[#This Row],[order_date]])</f>
        <v>2026</v>
      </c>
    </row>
    <row r="1554" spans="1:16" x14ac:dyDescent="0.3">
      <c r="A1554">
        <v>11553</v>
      </c>
      <c r="B1554" s="1">
        <v>46114</v>
      </c>
      <c r="C1554">
        <v>1827</v>
      </c>
      <c r="D1554" t="s">
        <v>15</v>
      </c>
      <c r="E1554" t="s">
        <v>17</v>
      </c>
      <c r="F1554">
        <v>2</v>
      </c>
      <c r="G1554">
        <v>140.69999999999999</v>
      </c>
      <c r="H1554">
        <v>0.14000000000000001</v>
      </c>
      <c r="I1554" t="s">
        <v>18</v>
      </c>
      <c r="J1554">
        <v>5</v>
      </c>
      <c r="K1554">
        <v>2.6</v>
      </c>
      <c r="L1554">
        <v>242</v>
      </c>
      <c r="M1554">
        <f>(Table1[[#This Row],[unit_price]]*Table1[[#This Row],[quantity]])-(Table1[[#This Row],[unit_price]]*Table1[[#This Row],[discount]]*Table1[[#This Row],[quantity]])</f>
        <v>242.00399999999996</v>
      </c>
      <c r="N1554">
        <f>DAY(Table1[[#This Row],[order_date]])</f>
        <v>2</v>
      </c>
      <c r="O1554" t="str">
        <f>TEXT(Table1[[#This Row],[order_date]],"mmm")</f>
        <v>Apr</v>
      </c>
      <c r="P1554">
        <f>YEAR(Table1[[#This Row],[order_date]])</f>
        <v>2026</v>
      </c>
    </row>
    <row r="1555" spans="1:16" x14ac:dyDescent="0.3">
      <c r="A1555">
        <v>11554</v>
      </c>
      <c r="B1555" s="1">
        <v>46115</v>
      </c>
      <c r="C1555">
        <v>1682</v>
      </c>
      <c r="D1555" t="s">
        <v>22</v>
      </c>
      <c r="E1555" t="s">
        <v>20</v>
      </c>
      <c r="F1555">
        <v>2</v>
      </c>
      <c r="G1555">
        <v>535.12</v>
      </c>
      <c r="H1555">
        <v>0.03</v>
      </c>
      <c r="I1555" t="s">
        <v>16</v>
      </c>
      <c r="J1555">
        <v>6</v>
      </c>
      <c r="K1555">
        <v>2</v>
      </c>
      <c r="L1555">
        <v>1038.1300000000001</v>
      </c>
      <c r="M1555">
        <f>(Table1[[#This Row],[unit_price]]*Table1[[#This Row],[quantity]])-(Table1[[#This Row],[unit_price]]*Table1[[#This Row],[discount]]*Table1[[#This Row],[quantity]])</f>
        <v>1038.1328000000001</v>
      </c>
      <c r="N1555">
        <f>DAY(Table1[[#This Row],[order_date]])</f>
        <v>3</v>
      </c>
      <c r="O1555" t="str">
        <f>TEXT(Table1[[#This Row],[order_date]],"mmm")</f>
        <v>Apr</v>
      </c>
      <c r="P1555">
        <f>YEAR(Table1[[#This Row],[order_date]])</f>
        <v>2026</v>
      </c>
    </row>
    <row r="1556" spans="1:16" x14ac:dyDescent="0.3">
      <c r="A1556">
        <v>11555</v>
      </c>
      <c r="B1556" s="1">
        <v>46116</v>
      </c>
      <c r="C1556">
        <v>1459</v>
      </c>
      <c r="D1556" t="s">
        <v>12</v>
      </c>
      <c r="E1556" t="s">
        <v>17</v>
      </c>
      <c r="F1556">
        <v>5</v>
      </c>
      <c r="G1556">
        <v>596.12</v>
      </c>
      <c r="H1556">
        <v>0.34</v>
      </c>
      <c r="I1556" t="s">
        <v>14</v>
      </c>
      <c r="J1556">
        <v>1</v>
      </c>
      <c r="K1556">
        <v>4.7</v>
      </c>
      <c r="L1556">
        <v>1967.2</v>
      </c>
      <c r="M1556">
        <f>(Table1[[#This Row],[unit_price]]*Table1[[#This Row],[quantity]])-(Table1[[#This Row],[unit_price]]*Table1[[#This Row],[discount]]*Table1[[#This Row],[quantity]])</f>
        <v>1967.1959999999999</v>
      </c>
      <c r="N1556">
        <f>DAY(Table1[[#This Row],[order_date]])</f>
        <v>4</v>
      </c>
      <c r="O1556" t="str">
        <f>TEXT(Table1[[#This Row],[order_date]],"mmm")</f>
        <v>Apr</v>
      </c>
      <c r="P1556">
        <f>YEAR(Table1[[#This Row],[order_date]])</f>
        <v>2026</v>
      </c>
    </row>
    <row r="1557" spans="1:16" x14ac:dyDescent="0.3">
      <c r="A1557">
        <v>11556</v>
      </c>
      <c r="B1557" s="1">
        <v>46117</v>
      </c>
      <c r="C1557">
        <v>1355</v>
      </c>
      <c r="D1557" t="s">
        <v>22</v>
      </c>
      <c r="E1557" t="s">
        <v>13</v>
      </c>
      <c r="F1557">
        <v>3</v>
      </c>
      <c r="G1557">
        <v>65.709999999999994</v>
      </c>
      <c r="H1557">
        <v>0.05</v>
      </c>
      <c r="I1557" t="s">
        <v>14</v>
      </c>
      <c r="J1557">
        <v>5</v>
      </c>
      <c r="K1557">
        <v>1.5</v>
      </c>
      <c r="L1557">
        <v>187.27</v>
      </c>
      <c r="M1557">
        <f>(Table1[[#This Row],[unit_price]]*Table1[[#This Row],[quantity]])-(Table1[[#This Row],[unit_price]]*Table1[[#This Row],[discount]]*Table1[[#This Row],[quantity]])</f>
        <v>187.27349999999998</v>
      </c>
      <c r="N1557">
        <f>DAY(Table1[[#This Row],[order_date]])</f>
        <v>5</v>
      </c>
      <c r="O1557" t="str">
        <f>TEXT(Table1[[#This Row],[order_date]],"mmm")</f>
        <v>Apr</v>
      </c>
      <c r="P1557">
        <f>YEAR(Table1[[#This Row],[order_date]])</f>
        <v>2026</v>
      </c>
    </row>
    <row r="1558" spans="1:16" x14ac:dyDescent="0.3">
      <c r="A1558">
        <v>11557</v>
      </c>
      <c r="B1558" s="1">
        <v>46118</v>
      </c>
      <c r="C1558">
        <v>1323</v>
      </c>
      <c r="D1558" t="s">
        <v>22</v>
      </c>
      <c r="E1558" t="s">
        <v>20</v>
      </c>
      <c r="F1558">
        <v>5</v>
      </c>
      <c r="G1558">
        <v>519.41999999999996</v>
      </c>
      <c r="H1558">
        <v>0.12</v>
      </c>
      <c r="I1558" t="s">
        <v>16</v>
      </c>
      <c r="J1558">
        <v>10</v>
      </c>
      <c r="K1558">
        <v>2.4</v>
      </c>
      <c r="L1558">
        <v>2285.4499999999998</v>
      </c>
      <c r="M1558">
        <f>(Table1[[#This Row],[unit_price]]*Table1[[#This Row],[quantity]])-(Table1[[#This Row],[unit_price]]*Table1[[#This Row],[discount]]*Table1[[#This Row],[quantity]])</f>
        <v>2285.4479999999999</v>
      </c>
      <c r="N1558">
        <f>DAY(Table1[[#This Row],[order_date]])</f>
        <v>6</v>
      </c>
      <c r="O1558" t="str">
        <f>TEXT(Table1[[#This Row],[order_date]],"mmm")</f>
        <v>Apr</v>
      </c>
      <c r="P1558">
        <f>YEAR(Table1[[#This Row],[order_date]])</f>
        <v>2026</v>
      </c>
    </row>
    <row r="1559" spans="1:16" x14ac:dyDescent="0.3">
      <c r="A1559">
        <v>11558</v>
      </c>
      <c r="B1559" s="1">
        <v>46119</v>
      </c>
      <c r="C1559">
        <v>1132</v>
      </c>
      <c r="D1559" t="s">
        <v>22</v>
      </c>
      <c r="E1559" t="s">
        <v>20</v>
      </c>
      <c r="F1559">
        <v>4</v>
      </c>
      <c r="G1559">
        <v>243.45</v>
      </c>
      <c r="H1559">
        <v>0.11</v>
      </c>
      <c r="I1559" t="s">
        <v>14</v>
      </c>
      <c r="J1559">
        <v>10</v>
      </c>
      <c r="K1559">
        <v>1.3</v>
      </c>
      <c r="L1559">
        <v>866.68</v>
      </c>
      <c r="M1559">
        <f>(Table1[[#This Row],[unit_price]]*Table1[[#This Row],[quantity]])-(Table1[[#This Row],[unit_price]]*Table1[[#This Row],[discount]]*Table1[[#This Row],[quantity]])</f>
        <v>866.68200000000002</v>
      </c>
      <c r="N1559">
        <f>DAY(Table1[[#This Row],[order_date]])</f>
        <v>7</v>
      </c>
      <c r="O1559" t="str">
        <f>TEXT(Table1[[#This Row],[order_date]],"mmm")</f>
        <v>Apr</v>
      </c>
      <c r="P1559">
        <f>YEAR(Table1[[#This Row],[order_date]])</f>
        <v>2026</v>
      </c>
    </row>
    <row r="1560" spans="1:16" x14ac:dyDescent="0.3">
      <c r="A1560">
        <v>11559</v>
      </c>
      <c r="B1560" s="1">
        <v>46120</v>
      </c>
      <c r="C1560">
        <v>1887</v>
      </c>
      <c r="D1560" t="s">
        <v>12</v>
      </c>
      <c r="E1560" t="s">
        <v>17</v>
      </c>
      <c r="F1560">
        <v>2</v>
      </c>
      <c r="G1560">
        <v>321.58</v>
      </c>
      <c r="H1560">
        <v>0.03</v>
      </c>
      <c r="I1560" t="s">
        <v>16</v>
      </c>
      <c r="J1560">
        <v>7</v>
      </c>
      <c r="K1560">
        <v>4.8</v>
      </c>
      <c r="L1560">
        <v>623.87</v>
      </c>
      <c r="M1560">
        <f>(Table1[[#This Row],[unit_price]]*Table1[[#This Row],[quantity]])-(Table1[[#This Row],[unit_price]]*Table1[[#This Row],[discount]]*Table1[[#This Row],[quantity]])</f>
        <v>623.86519999999996</v>
      </c>
      <c r="N1560">
        <f>DAY(Table1[[#This Row],[order_date]])</f>
        <v>8</v>
      </c>
      <c r="O1560" t="str">
        <f>TEXT(Table1[[#This Row],[order_date]],"mmm")</f>
        <v>Apr</v>
      </c>
      <c r="P1560">
        <f>YEAR(Table1[[#This Row],[order_date]])</f>
        <v>2026</v>
      </c>
    </row>
    <row r="1561" spans="1:16" x14ac:dyDescent="0.3">
      <c r="A1561">
        <v>11560</v>
      </c>
      <c r="B1561" s="1">
        <v>46121</v>
      </c>
      <c r="C1561">
        <v>1804</v>
      </c>
      <c r="D1561" t="s">
        <v>19</v>
      </c>
      <c r="E1561" t="s">
        <v>13</v>
      </c>
      <c r="F1561">
        <v>7</v>
      </c>
      <c r="G1561">
        <v>550.16999999999996</v>
      </c>
      <c r="H1561">
        <v>0.05</v>
      </c>
      <c r="I1561" t="s">
        <v>18</v>
      </c>
      <c r="J1561">
        <v>1</v>
      </c>
      <c r="K1561">
        <v>3.5</v>
      </c>
      <c r="L1561">
        <v>3658.63</v>
      </c>
      <c r="M1561">
        <f>(Table1[[#This Row],[unit_price]]*Table1[[#This Row],[quantity]])-(Table1[[#This Row],[unit_price]]*Table1[[#This Row],[discount]]*Table1[[#This Row],[quantity]])</f>
        <v>3658.6304999999998</v>
      </c>
      <c r="N1561">
        <f>DAY(Table1[[#This Row],[order_date]])</f>
        <v>9</v>
      </c>
      <c r="O1561" t="str">
        <f>TEXT(Table1[[#This Row],[order_date]],"mmm")</f>
        <v>Apr</v>
      </c>
      <c r="P1561">
        <f>YEAR(Table1[[#This Row],[order_date]])</f>
        <v>2026</v>
      </c>
    </row>
    <row r="1562" spans="1:16" x14ac:dyDescent="0.3">
      <c r="A1562">
        <v>11561</v>
      </c>
      <c r="B1562" s="1">
        <v>46122</v>
      </c>
      <c r="C1562">
        <v>1839</v>
      </c>
      <c r="D1562" t="s">
        <v>19</v>
      </c>
      <c r="E1562" t="s">
        <v>20</v>
      </c>
      <c r="F1562">
        <v>3</v>
      </c>
      <c r="G1562">
        <v>584.42999999999995</v>
      </c>
      <c r="H1562">
        <v>0.02</v>
      </c>
      <c r="I1562" t="s">
        <v>14</v>
      </c>
      <c r="J1562">
        <v>10</v>
      </c>
      <c r="K1562">
        <v>2.2999999999999998</v>
      </c>
      <c r="L1562">
        <v>1718.22</v>
      </c>
      <c r="M1562">
        <f>(Table1[[#This Row],[unit_price]]*Table1[[#This Row],[quantity]])-(Table1[[#This Row],[unit_price]]*Table1[[#This Row],[discount]]*Table1[[#This Row],[quantity]])</f>
        <v>1718.2241999999999</v>
      </c>
      <c r="N1562">
        <f>DAY(Table1[[#This Row],[order_date]])</f>
        <v>10</v>
      </c>
      <c r="O1562" t="str">
        <f>TEXT(Table1[[#This Row],[order_date]],"mmm")</f>
        <v>Apr</v>
      </c>
      <c r="P1562">
        <f>YEAR(Table1[[#This Row],[order_date]])</f>
        <v>2026</v>
      </c>
    </row>
    <row r="1563" spans="1:16" x14ac:dyDescent="0.3">
      <c r="A1563">
        <v>11562</v>
      </c>
      <c r="B1563" s="1">
        <v>46123</v>
      </c>
      <c r="C1563">
        <v>1126</v>
      </c>
      <c r="D1563" t="s">
        <v>19</v>
      </c>
      <c r="E1563" t="s">
        <v>21</v>
      </c>
      <c r="F1563">
        <v>6</v>
      </c>
      <c r="G1563">
        <v>168.37</v>
      </c>
      <c r="H1563">
        <v>0.1</v>
      </c>
      <c r="I1563" t="s">
        <v>18</v>
      </c>
      <c r="J1563">
        <v>9</v>
      </c>
      <c r="K1563">
        <v>2.1</v>
      </c>
      <c r="L1563">
        <v>909.2</v>
      </c>
      <c r="M1563">
        <f>(Table1[[#This Row],[unit_price]]*Table1[[#This Row],[quantity]])-(Table1[[#This Row],[unit_price]]*Table1[[#This Row],[discount]]*Table1[[#This Row],[quantity]])</f>
        <v>909.19800000000009</v>
      </c>
      <c r="N1563">
        <f>DAY(Table1[[#This Row],[order_date]])</f>
        <v>11</v>
      </c>
      <c r="O1563" t="str">
        <f>TEXT(Table1[[#This Row],[order_date]],"mmm")</f>
        <v>Apr</v>
      </c>
      <c r="P1563">
        <f>YEAR(Table1[[#This Row],[order_date]])</f>
        <v>2026</v>
      </c>
    </row>
    <row r="1564" spans="1:16" x14ac:dyDescent="0.3">
      <c r="A1564">
        <v>11563</v>
      </c>
      <c r="B1564" s="1">
        <v>46124</v>
      </c>
      <c r="C1564">
        <v>1105</v>
      </c>
      <c r="D1564" t="s">
        <v>19</v>
      </c>
      <c r="E1564" t="s">
        <v>13</v>
      </c>
      <c r="F1564">
        <v>6</v>
      </c>
      <c r="G1564">
        <v>139.52000000000001</v>
      </c>
      <c r="H1564">
        <v>0.3</v>
      </c>
      <c r="I1564" t="s">
        <v>16</v>
      </c>
      <c r="J1564">
        <v>7</v>
      </c>
      <c r="K1564">
        <v>2.8</v>
      </c>
      <c r="L1564">
        <v>585.98</v>
      </c>
      <c r="M1564">
        <f>(Table1[[#This Row],[unit_price]]*Table1[[#This Row],[quantity]])-(Table1[[#This Row],[unit_price]]*Table1[[#This Row],[discount]]*Table1[[#This Row],[quantity]])</f>
        <v>585.98400000000015</v>
      </c>
      <c r="N1564">
        <f>DAY(Table1[[#This Row],[order_date]])</f>
        <v>12</v>
      </c>
      <c r="O1564" t="str">
        <f>TEXT(Table1[[#This Row],[order_date]],"mmm")</f>
        <v>Apr</v>
      </c>
      <c r="P1564">
        <f>YEAR(Table1[[#This Row],[order_date]])</f>
        <v>2026</v>
      </c>
    </row>
    <row r="1565" spans="1:16" x14ac:dyDescent="0.3">
      <c r="A1565">
        <v>11564</v>
      </c>
      <c r="B1565" s="1">
        <v>46125</v>
      </c>
      <c r="C1565">
        <v>1603</v>
      </c>
      <c r="D1565" t="s">
        <v>22</v>
      </c>
      <c r="E1565" t="s">
        <v>20</v>
      </c>
      <c r="F1565">
        <v>2</v>
      </c>
      <c r="G1565">
        <v>62.1</v>
      </c>
      <c r="H1565">
        <v>0.12</v>
      </c>
      <c r="I1565" t="s">
        <v>14</v>
      </c>
      <c r="J1565">
        <v>4</v>
      </c>
      <c r="K1565">
        <v>1.4</v>
      </c>
      <c r="L1565">
        <v>109.3</v>
      </c>
      <c r="M1565">
        <f>(Table1[[#This Row],[unit_price]]*Table1[[#This Row],[quantity]])-(Table1[[#This Row],[unit_price]]*Table1[[#This Row],[discount]]*Table1[[#This Row],[quantity]])</f>
        <v>109.29600000000001</v>
      </c>
      <c r="N1565">
        <f>DAY(Table1[[#This Row],[order_date]])</f>
        <v>13</v>
      </c>
      <c r="O1565" t="str">
        <f>TEXT(Table1[[#This Row],[order_date]],"mmm")</f>
        <v>Apr</v>
      </c>
      <c r="P1565">
        <f>YEAR(Table1[[#This Row],[order_date]])</f>
        <v>2026</v>
      </c>
    </row>
    <row r="1566" spans="1:16" x14ac:dyDescent="0.3">
      <c r="A1566">
        <v>11565</v>
      </c>
      <c r="B1566" s="1">
        <v>46126</v>
      </c>
      <c r="C1566">
        <v>1798</v>
      </c>
      <c r="D1566" t="s">
        <v>15</v>
      </c>
      <c r="E1566" t="s">
        <v>17</v>
      </c>
      <c r="F1566">
        <v>2</v>
      </c>
      <c r="G1566">
        <v>343.65</v>
      </c>
      <c r="H1566">
        <v>0.04</v>
      </c>
      <c r="I1566" t="s">
        <v>16</v>
      </c>
      <c r="J1566">
        <v>11</v>
      </c>
      <c r="K1566">
        <v>4.5999999999999996</v>
      </c>
      <c r="L1566">
        <v>659.81</v>
      </c>
      <c r="M1566">
        <f>(Table1[[#This Row],[unit_price]]*Table1[[#This Row],[quantity]])-(Table1[[#This Row],[unit_price]]*Table1[[#This Row],[discount]]*Table1[[#This Row],[quantity]])</f>
        <v>659.80799999999999</v>
      </c>
      <c r="N1566">
        <f>DAY(Table1[[#This Row],[order_date]])</f>
        <v>14</v>
      </c>
      <c r="O1566" t="str">
        <f>TEXT(Table1[[#This Row],[order_date]],"mmm")</f>
        <v>Apr</v>
      </c>
      <c r="P1566">
        <f>YEAR(Table1[[#This Row],[order_date]])</f>
        <v>2026</v>
      </c>
    </row>
    <row r="1567" spans="1:16" x14ac:dyDescent="0.3">
      <c r="A1567">
        <v>11566</v>
      </c>
      <c r="B1567" s="1">
        <v>46127</v>
      </c>
      <c r="C1567">
        <v>1377</v>
      </c>
      <c r="D1567" t="s">
        <v>15</v>
      </c>
      <c r="E1567" t="s">
        <v>20</v>
      </c>
      <c r="F1567">
        <v>6</v>
      </c>
      <c r="G1567">
        <v>22.96</v>
      </c>
      <c r="H1567">
        <v>0.23</v>
      </c>
      <c r="I1567" t="s">
        <v>16</v>
      </c>
      <c r="J1567">
        <v>4</v>
      </c>
      <c r="K1567">
        <v>3</v>
      </c>
      <c r="L1567">
        <v>106.08</v>
      </c>
      <c r="M1567">
        <f>(Table1[[#This Row],[unit_price]]*Table1[[#This Row],[quantity]])-(Table1[[#This Row],[unit_price]]*Table1[[#This Row],[discount]]*Table1[[#This Row],[quantity]])</f>
        <v>106.0752</v>
      </c>
      <c r="N1567">
        <f>DAY(Table1[[#This Row],[order_date]])</f>
        <v>15</v>
      </c>
      <c r="O1567" t="str">
        <f>TEXT(Table1[[#This Row],[order_date]],"mmm")</f>
        <v>Apr</v>
      </c>
      <c r="P1567">
        <f>YEAR(Table1[[#This Row],[order_date]])</f>
        <v>2026</v>
      </c>
    </row>
    <row r="1568" spans="1:16" x14ac:dyDescent="0.3">
      <c r="A1568">
        <v>11567</v>
      </c>
      <c r="B1568" s="1">
        <v>46128</v>
      </c>
      <c r="C1568">
        <v>1904</v>
      </c>
      <c r="D1568" t="s">
        <v>19</v>
      </c>
      <c r="E1568" t="s">
        <v>21</v>
      </c>
      <c r="F1568">
        <v>6</v>
      </c>
      <c r="G1568">
        <v>255.96</v>
      </c>
      <c r="H1568">
        <v>0.35</v>
      </c>
      <c r="I1568" t="s">
        <v>16</v>
      </c>
      <c r="J1568">
        <v>11</v>
      </c>
      <c r="K1568">
        <v>3.9</v>
      </c>
      <c r="L1568">
        <v>998.24</v>
      </c>
      <c r="M1568">
        <f>(Table1[[#This Row],[unit_price]]*Table1[[#This Row],[quantity]])-(Table1[[#This Row],[unit_price]]*Table1[[#This Row],[discount]]*Table1[[#This Row],[quantity]])</f>
        <v>998.24400000000003</v>
      </c>
      <c r="N1568">
        <f>DAY(Table1[[#This Row],[order_date]])</f>
        <v>16</v>
      </c>
      <c r="O1568" t="str">
        <f>TEXT(Table1[[#This Row],[order_date]],"mmm")</f>
        <v>Apr</v>
      </c>
      <c r="P1568">
        <f>YEAR(Table1[[#This Row],[order_date]])</f>
        <v>2026</v>
      </c>
    </row>
    <row r="1569" spans="1:16" x14ac:dyDescent="0.3">
      <c r="A1569">
        <v>11568</v>
      </c>
      <c r="B1569" s="1">
        <v>46129</v>
      </c>
      <c r="C1569">
        <v>1050</v>
      </c>
      <c r="D1569" t="s">
        <v>22</v>
      </c>
      <c r="E1569" t="s">
        <v>13</v>
      </c>
      <c r="F1569">
        <v>7</v>
      </c>
      <c r="G1569">
        <v>57.93</v>
      </c>
      <c r="H1569">
        <v>0.08</v>
      </c>
      <c r="I1569" t="s">
        <v>14</v>
      </c>
      <c r="J1569">
        <v>10</v>
      </c>
      <c r="K1569">
        <v>1.9</v>
      </c>
      <c r="L1569">
        <v>373.07</v>
      </c>
      <c r="M1569">
        <f>(Table1[[#This Row],[unit_price]]*Table1[[#This Row],[quantity]])-(Table1[[#This Row],[unit_price]]*Table1[[#This Row],[discount]]*Table1[[#This Row],[quantity]])</f>
        <v>373.06919999999997</v>
      </c>
      <c r="N1569">
        <f>DAY(Table1[[#This Row],[order_date]])</f>
        <v>17</v>
      </c>
      <c r="O1569" t="str">
        <f>TEXT(Table1[[#This Row],[order_date]],"mmm")</f>
        <v>Apr</v>
      </c>
      <c r="P1569">
        <f>YEAR(Table1[[#This Row],[order_date]])</f>
        <v>2026</v>
      </c>
    </row>
    <row r="1570" spans="1:16" x14ac:dyDescent="0.3">
      <c r="A1570">
        <v>11569</v>
      </c>
      <c r="B1570" s="1">
        <v>46130</v>
      </c>
      <c r="C1570">
        <v>1028</v>
      </c>
      <c r="D1570" t="s">
        <v>19</v>
      </c>
      <c r="E1570" t="s">
        <v>20</v>
      </c>
      <c r="F1570">
        <v>4</v>
      </c>
      <c r="G1570">
        <v>252.06</v>
      </c>
      <c r="H1570">
        <v>0.1</v>
      </c>
      <c r="I1570" t="s">
        <v>14</v>
      </c>
      <c r="J1570">
        <v>7</v>
      </c>
      <c r="K1570">
        <v>3</v>
      </c>
      <c r="L1570">
        <v>907.42</v>
      </c>
      <c r="M1570">
        <f>(Table1[[#This Row],[unit_price]]*Table1[[#This Row],[quantity]])-(Table1[[#This Row],[unit_price]]*Table1[[#This Row],[discount]]*Table1[[#This Row],[quantity]])</f>
        <v>907.41599999999994</v>
      </c>
      <c r="N1570">
        <f>DAY(Table1[[#This Row],[order_date]])</f>
        <v>18</v>
      </c>
      <c r="O1570" t="str">
        <f>TEXT(Table1[[#This Row],[order_date]],"mmm")</f>
        <v>Apr</v>
      </c>
      <c r="P1570">
        <f>YEAR(Table1[[#This Row],[order_date]])</f>
        <v>2026</v>
      </c>
    </row>
    <row r="1571" spans="1:16" x14ac:dyDescent="0.3">
      <c r="A1571">
        <v>11570</v>
      </c>
      <c r="B1571" s="1">
        <v>46131</v>
      </c>
      <c r="C1571">
        <v>1461</v>
      </c>
      <c r="D1571" t="s">
        <v>22</v>
      </c>
      <c r="E1571" t="s">
        <v>21</v>
      </c>
      <c r="F1571">
        <v>2</v>
      </c>
      <c r="G1571">
        <v>38.36</v>
      </c>
      <c r="H1571">
        <v>0.34</v>
      </c>
      <c r="I1571" t="s">
        <v>16</v>
      </c>
      <c r="J1571">
        <v>6</v>
      </c>
      <c r="K1571">
        <v>1.8</v>
      </c>
      <c r="L1571">
        <v>50.64</v>
      </c>
      <c r="M1571">
        <f>(Table1[[#This Row],[unit_price]]*Table1[[#This Row],[quantity]])-(Table1[[#This Row],[unit_price]]*Table1[[#This Row],[discount]]*Table1[[#This Row],[quantity]])</f>
        <v>50.635199999999998</v>
      </c>
      <c r="N1571">
        <f>DAY(Table1[[#This Row],[order_date]])</f>
        <v>19</v>
      </c>
      <c r="O1571" t="str">
        <f>TEXT(Table1[[#This Row],[order_date]],"mmm")</f>
        <v>Apr</v>
      </c>
      <c r="P1571">
        <f>YEAR(Table1[[#This Row],[order_date]])</f>
        <v>2026</v>
      </c>
    </row>
    <row r="1572" spans="1:16" x14ac:dyDescent="0.3">
      <c r="A1572">
        <v>11571</v>
      </c>
      <c r="B1572" s="1">
        <v>46132</v>
      </c>
      <c r="C1572">
        <v>1295</v>
      </c>
      <c r="D1572" t="s">
        <v>15</v>
      </c>
      <c r="E1572" t="s">
        <v>20</v>
      </c>
      <c r="F1572">
        <v>6</v>
      </c>
      <c r="G1572">
        <v>503.6</v>
      </c>
      <c r="H1572">
        <v>0.06</v>
      </c>
      <c r="I1572" t="s">
        <v>14</v>
      </c>
      <c r="J1572">
        <v>3</v>
      </c>
      <c r="K1572">
        <v>4.3</v>
      </c>
      <c r="L1572">
        <v>2840.3</v>
      </c>
      <c r="M1572">
        <f>(Table1[[#This Row],[unit_price]]*Table1[[#This Row],[quantity]])-(Table1[[#This Row],[unit_price]]*Table1[[#This Row],[discount]]*Table1[[#This Row],[quantity]])</f>
        <v>2840.3040000000005</v>
      </c>
      <c r="N1572">
        <f>DAY(Table1[[#This Row],[order_date]])</f>
        <v>20</v>
      </c>
      <c r="O1572" t="str">
        <f>TEXT(Table1[[#This Row],[order_date]],"mmm")</f>
        <v>Apr</v>
      </c>
      <c r="P1572">
        <f>YEAR(Table1[[#This Row],[order_date]])</f>
        <v>2026</v>
      </c>
    </row>
    <row r="1573" spans="1:16" x14ac:dyDescent="0.3">
      <c r="A1573">
        <v>11572</v>
      </c>
      <c r="B1573" s="1">
        <v>46133</v>
      </c>
      <c r="C1573">
        <v>1296</v>
      </c>
      <c r="D1573" t="s">
        <v>19</v>
      </c>
      <c r="E1573" t="s">
        <v>20</v>
      </c>
      <c r="F1573">
        <v>7</v>
      </c>
      <c r="G1573">
        <v>137.69999999999999</v>
      </c>
      <c r="H1573">
        <v>0.18</v>
      </c>
      <c r="I1573" t="s">
        <v>16</v>
      </c>
      <c r="J1573">
        <v>9</v>
      </c>
      <c r="K1573">
        <v>4.0999999999999996</v>
      </c>
      <c r="L1573">
        <v>790.4</v>
      </c>
      <c r="M1573">
        <f>(Table1[[#This Row],[unit_price]]*Table1[[#This Row],[quantity]])-(Table1[[#This Row],[unit_price]]*Table1[[#This Row],[discount]]*Table1[[#This Row],[quantity]])</f>
        <v>790.39799999999991</v>
      </c>
      <c r="N1573">
        <f>DAY(Table1[[#This Row],[order_date]])</f>
        <v>21</v>
      </c>
      <c r="O1573" t="str">
        <f>TEXT(Table1[[#This Row],[order_date]],"mmm")</f>
        <v>Apr</v>
      </c>
      <c r="P1573">
        <f>YEAR(Table1[[#This Row],[order_date]])</f>
        <v>2026</v>
      </c>
    </row>
    <row r="1574" spans="1:16" x14ac:dyDescent="0.3">
      <c r="A1574">
        <v>11573</v>
      </c>
      <c r="B1574" s="1">
        <v>46134</v>
      </c>
      <c r="C1574">
        <v>1725</v>
      </c>
      <c r="D1574" t="s">
        <v>19</v>
      </c>
      <c r="E1574" t="s">
        <v>13</v>
      </c>
      <c r="F1574">
        <v>1</v>
      </c>
      <c r="G1574">
        <v>207.06</v>
      </c>
      <c r="H1574">
        <v>0.08</v>
      </c>
      <c r="I1574" t="s">
        <v>14</v>
      </c>
      <c r="J1574">
        <v>6</v>
      </c>
      <c r="K1574">
        <v>1.6</v>
      </c>
      <c r="L1574">
        <v>190.5</v>
      </c>
      <c r="M1574">
        <f>(Table1[[#This Row],[unit_price]]*Table1[[#This Row],[quantity]])-(Table1[[#This Row],[unit_price]]*Table1[[#This Row],[discount]]*Table1[[#This Row],[quantity]])</f>
        <v>190.49520000000001</v>
      </c>
      <c r="N1574">
        <f>DAY(Table1[[#This Row],[order_date]])</f>
        <v>22</v>
      </c>
      <c r="O1574" t="str">
        <f>TEXT(Table1[[#This Row],[order_date]],"mmm")</f>
        <v>Apr</v>
      </c>
      <c r="P1574">
        <f>YEAR(Table1[[#This Row],[order_date]])</f>
        <v>2026</v>
      </c>
    </row>
    <row r="1575" spans="1:16" x14ac:dyDescent="0.3">
      <c r="A1575">
        <v>11574</v>
      </c>
      <c r="B1575" s="1">
        <v>46135</v>
      </c>
      <c r="C1575">
        <v>1778</v>
      </c>
      <c r="D1575" t="s">
        <v>19</v>
      </c>
      <c r="E1575" t="s">
        <v>17</v>
      </c>
      <c r="F1575">
        <v>6</v>
      </c>
      <c r="G1575">
        <v>523.98</v>
      </c>
      <c r="H1575">
        <v>0.33</v>
      </c>
      <c r="I1575" t="s">
        <v>18</v>
      </c>
      <c r="J1575">
        <v>11</v>
      </c>
      <c r="K1575">
        <v>1.3</v>
      </c>
      <c r="L1575">
        <v>2106.4</v>
      </c>
      <c r="M1575">
        <f>(Table1[[#This Row],[unit_price]]*Table1[[#This Row],[quantity]])-(Table1[[#This Row],[unit_price]]*Table1[[#This Row],[discount]]*Table1[[#This Row],[quantity]])</f>
        <v>2106.3995999999997</v>
      </c>
      <c r="N1575">
        <f>DAY(Table1[[#This Row],[order_date]])</f>
        <v>23</v>
      </c>
      <c r="O1575" t="str">
        <f>TEXT(Table1[[#This Row],[order_date]],"mmm")</f>
        <v>Apr</v>
      </c>
      <c r="P1575">
        <f>YEAR(Table1[[#This Row],[order_date]])</f>
        <v>2026</v>
      </c>
    </row>
    <row r="1576" spans="1:16" x14ac:dyDescent="0.3">
      <c r="A1576">
        <v>11575</v>
      </c>
      <c r="B1576" s="1">
        <v>46136</v>
      </c>
      <c r="C1576">
        <v>1406</v>
      </c>
      <c r="D1576" t="s">
        <v>22</v>
      </c>
      <c r="E1576" t="s">
        <v>17</v>
      </c>
      <c r="F1576">
        <v>3</v>
      </c>
      <c r="G1576">
        <v>451.57</v>
      </c>
      <c r="H1576">
        <v>0.34</v>
      </c>
      <c r="I1576" t="s">
        <v>16</v>
      </c>
      <c r="J1576">
        <v>2</v>
      </c>
      <c r="K1576">
        <v>4.3</v>
      </c>
      <c r="L1576">
        <v>894.11</v>
      </c>
      <c r="M1576">
        <f>(Table1[[#This Row],[unit_price]]*Table1[[#This Row],[quantity]])-(Table1[[#This Row],[unit_price]]*Table1[[#This Row],[discount]]*Table1[[#This Row],[quantity]])</f>
        <v>894.10860000000002</v>
      </c>
      <c r="N1576">
        <f>DAY(Table1[[#This Row],[order_date]])</f>
        <v>24</v>
      </c>
      <c r="O1576" t="str">
        <f>TEXT(Table1[[#This Row],[order_date]],"mmm")</f>
        <v>Apr</v>
      </c>
      <c r="P1576">
        <f>YEAR(Table1[[#This Row],[order_date]])</f>
        <v>2026</v>
      </c>
    </row>
    <row r="1577" spans="1:16" x14ac:dyDescent="0.3">
      <c r="A1577">
        <v>11576</v>
      </c>
      <c r="B1577" s="1">
        <v>46137</v>
      </c>
      <c r="C1577">
        <v>1768</v>
      </c>
      <c r="D1577" t="s">
        <v>12</v>
      </c>
      <c r="E1577" t="s">
        <v>21</v>
      </c>
      <c r="F1577">
        <v>3</v>
      </c>
      <c r="G1577">
        <v>143.13999999999999</v>
      </c>
      <c r="H1577">
        <v>0.28999999999999998</v>
      </c>
      <c r="I1577" t="s">
        <v>16</v>
      </c>
      <c r="J1577">
        <v>10</v>
      </c>
      <c r="K1577">
        <v>1.4</v>
      </c>
      <c r="L1577">
        <v>304.89</v>
      </c>
      <c r="M1577">
        <f>(Table1[[#This Row],[unit_price]]*Table1[[#This Row],[quantity]])-(Table1[[#This Row],[unit_price]]*Table1[[#This Row],[discount]]*Table1[[#This Row],[quantity]])</f>
        <v>304.88819999999998</v>
      </c>
      <c r="N1577">
        <f>DAY(Table1[[#This Row],[order_date]])</f>
        <v>25</v>
      </c>
      <c r="O1577" t="str">
        <f>TEXT(Table1[[#This Row],[order_date]],"mmm")</f>
        <v>Apr</v>
      </c>
      <c r="P1577">
        <f>YEAR(Table1[[#This Row],[order_date]])</f>
        <v>2026</v>
      </c>
    </row>
    <row r="1578" spans="1:16" x14ac:dyDescent="0.3">
      <c r="A1578">
        <v>11577</v>
      </c>
      <c r="B1578" s="1">
        <v>46138</v>
      </c>
      <c r="C1578">
        <v>1813</v>
      </c>
      <c r="D1578" t="s">
        <v>15</v>
      </c>
      <c r="E1578" t="s">
        <v>21</v>
      </c>
      <c r="F1578">
        <v>1</v>
      </c>
      <c r="G1578">
        <v>57.06</v>
      </c>
      <c r="H1578">
        <v>0.11</v>
      </c>
      <c r="I1578" t="s">
        <v>16</v>
      </c>
      <c r="J1578">
        <v>2</v>
      </c>
      <c r="K1578">
        <v>3.2</v>
      </c>
      <c r="L1578">
        <v>50.78</v>
      </c>
      <c r="M1578">
        <f>(Table1[[#This Row],[unit_price]]*Table1[[#This Row],[quantity]])-(Table1[[#This Row],[unit_price]]*Table1[[#This Row],[discount]]*Table1[[#This Row],[quantity]])</f>
        <v>50.7834</v>
      </c>
      <c r="N1578">
        <f>DAY(Table1[[#This Row],[order_date]])</f>
        <v>26</v>
      </c>
      <c r="O1578" t="str">
        <f>TEXT(Table1[[#This Row],[order_date]],"mmm")</f>
        <v>Apr</v>
      </c>
      <c r="P1578">
        <f>YEAR(Table1[[#This Row],[order_date]])</f>
        <v>2026</v>
      </c>
    </row>
    <row r="1579" spans="1:16" x14ac:dyDescent="0.3">
      <c r="A1579">
        <v>11578</v>
      </c>
      <c r="B1579" s="1">
        <v>46139</v>
      </c>
      <c r="C1579">
        <v>1612</v>
      </c>
      <c r="D1579" t="s">
        <v>19</v>
      </c>
      <c r="E1579" t="s">
        <v>21</v>
      </c>
      <c r="F1579">
        <v>4</v>
      </c>
      <c r="G1579">
        <v>433.67</v>
      </c>
      <c r="H1579">
        <v>0.14000000000000001</v>
      </c>
      <c r="I1579" t="s">
        <v>16</v>
      </c>
      <c r="J1579">
        <v>1</v>
      </c>
      <c r="K1579">
        <v>3.1</v>
      </c>
      <c r="L1579">
        <v>1491.82</v>
      </c>
      <c r="M1579">
        <f>(Table1[[#This Row],[unit_price]]*Table1[[#This Row],[quantity]])-(Table1[[#This Row],[unit_price]]*Table1[[#This Row],[discount]]*Table1[[#This Row],[quantity]])</f>
        <v>1491.8248000000001</v>
      </c>
      <c r="N1579">
        <f>DAY(Table1[[#This Row],[order_date]])</f>
        <v>27</v>
      </c>
      <c r="O1579" t="str">
        <f>TEXT(Table1[[#This Row],[order_date]],"mmm")</f>
        <v>Apr</v>
      </c>
      <c r="P1579">
        <f>YEAR(Table1[[#This Row],[order_date]])</f>
        <v>2026</v>
      </c>
    </row>
    <row r="1580" spans="1:16" x14ac:dyDescent="0.3">
      <c r="A1580">
        <v>11579</v>
      </c>
      <c r="B1580" s="1">
        <v>46140</v>
      </c>
      <c r="C1580">
        <v>1404</v>
      </c>
      <c r="D1580" t="s">
        <v>15</v>
      </c>
      <c r="E1580" t="s">
        <v>13</v>
      </c>
      <c r="F1580">
        <v>2</v>
      </c>
      <c r="G1580">
        <v>243.56</v>
      </c>
      <c r="H1580">
        <v>0.08</v>
      </c>
      <c r="I1580" t="s">
        <v>18</v>
      </c>
      <c r="J1580">
        <v>11</v>
      </c>
      <c r="K1580">
        <v>1.8</v>
      </c>
      <c r="L1580">
        <v>448.15</v>
      </c>
      <c r="M1580">
        <f>(Table1[[#This Row],[unit_price]]*Table1[[#This Row],[quantity]])-(Table1[[#This Row],[unit_price]]*Table1[[#This Row],[discount]]*Table1[[#This Row],[quantity]])</f>
        <v>448.15039999999999</v>
      </c>
      <c r="N1580">
        <f>DAY(Table1[[#This Row],[order_date]])</f>
        <v>28</v>
      </c>
      <c r="O1580" t="str">
        <f>TEXT(Table1[[#This Row],[order_date]],"mmm")</f>
        <v>Apr</v>
      </c>
      <c r="P1580">
        <f>YEAR(Table1[[#This Row],[order_date]])</f>
        <v>2026</v>
      </c>
    </row>
    <row r="1581" spans="1:16" x14ac:dyDescent="0.3">
      <c r="A1581">
        <v>11580</v>
      </c>
      <c r="B1581" s="1">
        <v>46141</v>
      </c>
      <c r="C1581">
        <v>1345</v>
      </c>
      <c r="D1581" t="s">
        <v>22</v>
      </c>
      <c r="E1581" t="s">
        <v>17</v>
      </c>
      <c r="F1581">
        <v>2</v>
      </c>
      <c r="G1581">
        <v>463.16</v>
      </c>
      <c r="H1581">
        <v>0.31</v>
      </c>
      <c r="I1581" t="s">
        <v>16</v>
      </c>
      <c r="J1581">
        <v>5</v>
      </c>
      <c r="K1581">
        <v>3.4</v>
      </c>
      <c r="L1581">
        <v>639.16</v>
      </c>
      <c r="M1581">
        <f>(Table1[[#This Row],[unit_price]]*Table1[[#This Row],[quantity]])-(Table1[[#This Row],[unit_price]]*Table1[[#This Row],[discount]]*Table1[[#This Row],[quantity]])</f>
        <v>639.16080000000011</v>
      </c>
      <c r="N1581">
        <f>DAY(Table1[[#This Row],[order_date]])</f>
        <v>29</v>
      </c>
      <c r="O1581" t="str">
        <f>TEXT(Table1[[#This Row],[order_date]],"mmm")</f>
        <v>Apr</v>
      </c>
      <c r="P1581">
        <f>YEAR(Table1[[#This Row],[order_date]])</f>
        <v>2026</v>
      </c>
    </row>
    <row r="1582" spans="1:16" x14ac:dyDescent="0.3">
      <c r="A1582">
        <v>11581</v>
      </c>
      <c r="B1582" s="1">
        <v>46142</v>
      </c>
      <c r="C1582">
        <v>1621</v>
      </c>
      <c r="D1582" t="s">
        <v>22</v>
      </c>
      <c r="E1582" t="s">
        <v>21</v>
      </c>
      <c r="F1582">
        <v>6</v>
      </c>
      <c r="G1582">
        <v>275.5</v>
      </c>
      <c r="H1582">
        <v>0.32</v>
      </c>
      <c r="I1582" t="s">
        <v>14</v>
      </c>
      <c r="J1582">
        <v>10</v>
      </c>
      <c r="K1582">
        <v>3</v>
      </c>
      <c r="L1582">
        <v>1124.04</v>
      </c>
      <c r="M1582">
        <f>(Table1[[#This Row],[unit_price]]*Table1[[#This Row],[quantity]])-(Table1[[#This Row],[unit_price]]*Table1[[#This Row],[discount]]*Table1[[#This Row],[quantity]])</f>
        <v>1124.04</v>
      </c>
      <c r="N1582">
        <f>DAY(Table1[[#This Row],[order_date]])</f>
        <v>30</v>
      </c>
      <c r="O1582" t="str">
        <f>TEXT(Table1[[#This Row],[order_date]],"mmm")</f>
        <v>Apr</v>
      </c>
      <c r="P1582">
        <f>YEAR(Table1[[#This Row],[order_date]])</f>
        <v>2026</v>
      </c>
    </row>
    <row r="1583" spans="1:16" x14ac:dyDescent="0.3">
      <c r="A1583">
        <v>11582</v>
      </c>
      <c r="B1583" s="1">
        <v>46143</v>
      </c>
      <c r="C1583">
        <v>1419</v>
      </c>
      <c r="D1583" t="s">
        <v>19</v>
      </c>
      <c r="E1583" t="s">
        <v>21</v>
      </c>
      <c r="F1583">
        <v>3</v>
      </c>
      <c r="G1583">
        <v>217.41</v>
      </c>
      <c r="H1583">
        <v>0.15</v>
      </c>
      <c r="I1583" t="s">
        <v>18</v>
      </c>
      <c r="J1583">
        <v>6</v>
      </c>
      <c r="K1583">
        <v>3</v>
      </c>
      <c r="L1583">
        <v>554.4</v>
      </c>
      <c r="M1583">
        <f>(Table1[[#This Row],[unit_price]]*Table1[[#This Row],[quantity]])-(Table1[[#This Row],[unit_price]]*Table1[[#This Row],[discount]]*Table1[[#This Row],[quantity]])</f>
        <v>554.39550000000008</v>
      </c>
      <c r="N1583">
        <f>DAY(Table1[[#This Row],[order_date]])</f>
        <v>1</v>
      </c>
      <c r="O1583" t="str">
        <f>TEXT(Table1[[#This Row],[order_date]],"mmm")</f>
        <v>May</v>
      </c>
      <c r="P1583">
        <f>YEAR(Table1[[#This Row],[order_date]])</f>
        <v>2026</v>
      </c>
    </row>
    <row r="1584" spans="1:16" x14ac:dyDescent="0.3">
      <c r="A1584">
        <v>11583</v>
      </c>
      <c r="B1584" s="1">
        <v>46144</v>
      </c>
      <c r="C1584">
        <v>1181</v>
      </c>
      <c r="D1584" t="s">
        <v>19</v>
      </c>
      <c r="E1584" t="s">
        <v>20</v>
      </c>
      <c r="F1584">
        <v>4</v>
      </c>
      <c r="G1584">
        <v>278.95999999999998</v>
      </c>
      <c r="H1584">
        <v>0.23</v>
      </c>
      <c r="I1584" t="s">
        <v>18</v>
      </c>
      <c r="J1584">
        <v>3</v>
      </c>
      <c r="K1584">
        <v>2.4</v>
      </c>
      <c r="L1584">
        <v>859.2</v>
      </c>
      <c r="M1584">
        <f>(Table1[[#This Row],[unit_price]]*Table1[[#This Row],[quantity]])-(Table1[[#This Row],[unit_price]]*Table1[[#This Row],[discount]]*Table1[[#This Row],[quantity]])</f>
        <v>859.19679999999994</v>
      </c>
      <c r="N1584">
        <f>DAY(Table1[[#This Row],[order_date]])</f>
        <v>2</v>
      </c>
      <c r="O1584" t="str">
        <f>TEXT(Table1[[#This Row],[order_date]],"mmm")</f>
        <v>May</v>
      </c>
      <c r="P1584">
        <f>YEAR(Table1[[#This Row],[order_date]])</f>
        <v>2026</v>
      </c>
    </row>
    <row r="1585" spans="1:16" x14ac:dyDescent="0.3">
      <c r="A1585">
        <v>11584</v>
      </c>
      <c r="B1585" s="1">
        <v>46145</v>
      </c>
      <c r="C1585">
        <v>1982</v>
      </c>
      <c r="D1585" t="s">
        <v>22</v>
      </c>
      <c r="E1585" t="s">
        <v>20</v>
      </c>
      <c r="F1585">
        <v>4</v>
      </c>
      <c r="G1585">
        <v>452.91</v>
      </c>
      <c r="H1585">
        <v>0.06</v>
      </c>
      <c r="I1585" t="s">
        <v>16</v>
      </c>
      <c r="J1585">
        <v>4</v>
      </c>
      <c r="K1585">
        <v>4.4000000000000004</v>
      </c>
      <c r="L1585">
        <v>1702.94</v>
      </c>
      <c r="M1585">
        <f>(Table1[[#This Row],[unit_price]]*Table1[[#This Row],[quantity]])-(Table1[[#This Row],[unit_price]]*Table1[[#This Row],[discount]]*Table1[[#This Row],[quantity]])</f>
        <v>1702.9416000000001</v>
      </c>
      <c r="N1585">
        <f>DAY(Table1[[#This Row],[order_date]])</f>
        <v>3</v>
      </c>
      <c r="O1585" t="str">
        <f>TEXT(Table1[[#This Row],[order_date]],"mmm")</f>
        <v>May</v>
      </c>
      <c r="P1585">
        <f>YEAR(Table1[[#This Row],[order_date]])</f>
        <v>2026</v>
      </c>
    </row>
    <row r="1586" spans="1:16" x14ac:dyDescent="0.3">
      <c r="A1586">
        <v>11585</v>
      </c>
      <c r="B1586" s="1">
        <v>46146</v>
      </c>
      <c r="C1586">
        <v>1824</v>
      </c>
      <c r="D1586" t="s">
        <v>15</v>
      </c>
      <c r="E1586" t="s">
        <v>21</v>
      </c>
      <c r="F1586">
        <v>4</v>
      </c>
      <c r="G1586">
        <v>542.79999999999995</v>
      </c>
      <c r="H1586">
        <v>0.15</v>
      </c>
      <c r="I1586" t="s">
        <v>14</v>
      </c>
      <c r="J1586">
        <v>5</v>
      </c>
      <c r="K1586">
        <v>1.3</v>
      </c>
      <c r="L1586">
        <v>1845.52</v>
      </c>
      <c r="M1586">
        <f>(Table1[[#This Row],[unit_price]]*Table1[[#This Row],[quantity]])-(Table1[[#This Row],[unit_price]]*Table1[[#This Row],[discount]]*Table1[[#This Row],[quantity]])</f>
        <v>1845.52</v>
      </c>
      <c r="N1586">
        <f>DAY(Table1[[#This Row],[order_date]])</f>
        <v>4</v>
      </c>
      <c r="O1586" t="str">
        <f>TEXT(Table1[[#This Row],[order_date]],"mmm")</f>
        <v>May</v>
      </c>
      <c r="P1586">
        <f>YEAR(Table1[[#This Row],[order_date]])</f>
        <v>2026</v>
      </c>
    </row>
    <row r="1587" spans="1:16" x14ac:dyDescent="0.3">
      <c r="A1587">
        <v>11586</v>
      </c>
      <c r="B1587" s="1">
        <v>46147</v>
      </c>
      <c r="C1587">
        <v>1000</v>
      </c>
      <c r="D1587" t="s">
        <v>19</v>
      </c>
      <c r="E1587" t="s">
        <v>20</v>
      </c>
      <c r="F1587">
        <v>6</v>
      </c>
      <c r="G1587">
        <v>44.11</v>
      </c>
      <c r="H1587">
        <v>0.22</v>
      </c>
      <c r="I1587" t="s">
        <v>18</v>
      </c>
      <c r="J1587">
        <v>4</v>
      </c>
      <c r="K1587">
        <v>2.8</v>
      </c>
      <c r="L1587">
        <v>206.43</v>
      </c>
      <c r="M1587">
        <f>(Table1[[#This Row],[unit_price]]*Table1[[#This Row],[quantity]])-(Table1[[#This Row],[unit_price]]*Table1[[#This Row],[discount]]*Table1[[#This Row],[quantity]])</f>
        <v>206.43479999999997</v>
      </c>
      <c r="N1587">
        <f>DAY(Table1[[#This Row],[order_date]])</f>
        <v>5</v>
      </c>
      <c r="O1587" t="str">
        <f>TEXT(Table1[[#This Row],[order_date]],"mmm")</f>
        <v>May</v>
      </c>
      <c r="P1587">
        <f>YEAR(Table1[[#This Row],[order_date]])</f>
        <v>2026</v>
      </c>
    </row>
    <row r="1588" spans="1:16" x14ac:dyDescent="0.3">
      <c r="A1588">
        <v>11587</v>
      </c>
      <c r="B1588" s="1">
        <v>46148</v>
      </c>
      <c r="C1588">
        <v>1830</v>
      </c>
      <c r="D1588" t="s">
        <v>19</v>
      </c>
      <c r="E1588" t="s">
        <v>20</v>
      </c>
      <c r="F1588">
        <v>2</v>
      </c>
      <c r="G1588">
        <v>321.61</v>
      </c>
      <c r="H1588">
        <v>0.13</v>
      </c>
      <c r="I1588" t="s">
        <v>14</v>
      </c>
      <c r="J1588">
        <v>9</v>
      </c>
      <c r="K1588">
        <v>2</v>
      </c>
      <c r="L1588">
        <v>559.6</v>
      </c>
      <c r="M1588">
        <f>(Table1[[#This Row],[unit_price]]*Table1[[#This Row],[quantity]])-(Table1[[#This Row],[unit_price]]*Table1[[#This Row],[discount]]*Table1[[#This Row],[quantity]])</f>
        <v>559.60140000000001</v>
      </c>
      <c r="N1588">
        <f>DAY(Table1[[#This Row],[order_date]])</f>
        <v>6</v>
      </c>
      <c r="O1588" t="str">
        <f>TEXT(Table1[[#This Row],[order_date]],"mmm")</f>
        <v>May</v>
      </c>
      <c r="P1588">
        <f>YEAR(Table1[[#This Row],[order_date]])</f>
        <v>2026</v>
      </c>
    </row>
    <row r="1589" spans="1:16" x14ac:dyDescent="0.3">
      <c r="A1589">
        <v>11588</v>
      </c>
      <c r="B1589" s="1">
        <v>46149</v>
      </c>
      <c r="C1589">
        <v>1949</v>
      </c>
      <c r="D1589" t="s">
        <v>15</v>
      </c>
      <c r="E1589" t="s">
        <v>20</v>
      </c>
      <c r="F1589">
        <v>4</v>
      </c>
      <c r="G1589">
        <v>34.21</v>
      </c>
      <c r="H1589">
        <v>0.13</v>
      </c>
      <c r="I1589" t="s">
        <v>14</v>
      </c>
      <c r="J1589">
        <v>3</v>
      </c>
      <c r="K1589">
        <v>4.4000000000000004</v>
      </c>
      <c r="L1589">
        <v>119.05</v>
      </c>
      <c r="M1589">
        <f>(Table1[[#This Row],[unit_price]]*Table1[[#This Row],[quantity]])-(Table1[[#This Row],[unit_price]]*Table1[[#This Row],[discount]]*Table1[[#This Row],[quantity]])</f>
        <v>119.05080000000001</v>
      </c>
      <c r="N1589">
        <f>DAY(Table1[[#This Row],[order_date]])</f>
        <v>7</v>
      </c>
      <c r="O1589" t="str">
        <f>TEXT(Table1[[#This Row],[order_date]],"mmm")</f>
        <v>May</v>
      </c>
      <c r="P1589">
        <f>YEAR(Table1[[#This Row],[order_date]])</f>
        <v>2026</v>
      </c>
    </row>
    <row r="1590" spans="1:16" x14ac:dyDescent="0.3">
      <c r="A1590">
        <v>11589</v>
      </c>
      <c r="B1590" s="1">
        <v>46150</v>
      </c>
      <c r="C1590">
        <v>1566</v>
      </c>
      <c r="D1590" t="s">
        <v>12</v>
      </c>
      <c r="E1590" t="s">
        <v>13</v>
      </c>
      <c r="F1590">
        <v>6</v>
      </c>
      <c r="G1590">
        <v>289.02</v>
      </c>
      <c r="H1590">
        <v>0</v>
      </c>
      <c r="I1590" t="s">
        <v>16</v>
      </c>
      <c r="J1590">
        <v>5</v>
      </c>
      <c r="K1590">
        <v>1.9</v>
      </c>
      <c r="L1590">
        <v>1734.12</v>
      </c>
      <c r="M1590">
        <f>(Table1[[#This Row],[unit_price]]*Table1[[#This Row],[quantity]])-(Table1[[#This Row],[unit_price]]*Table1[[#This Row],[discount]]*Table1[[#This Row],[quantity]])</f>
        <v>1734.12</v>
      </c>
      <c r="N1590">
        <f>DAY(Table1[[#This Row],[order_date]])</f>
        <v>8</v>
      </c>
      <c r="O1590" t="str">
        <f>TEXT(Table1[[#This Row],[order_date]],"mmm")</f>
        <v>May</v>
      </c>
      <c r="P1590">
        <f>YEAR(Table1[[#This Row],[order_date]])</f>
        <v>2026</v>
      </c>
    </row>
    <row r="1591" spans="1:16" x14ac:dyDescent="0.3">
      <c r="A1591">
        <v>11590</v>
      </c>
      <c r="B1591" s="1">
        <v>46151</v>
      </c>
      <c r="C1591">
        <v>1370</v>
      </c>
      <c r="D1591" t="s">
        <v>12</v>
      </c>
      <c r="E1591" t="s">
        <v>21</v>
      </c>
      <c r="F1591">
        <v>6</v>
      </c>
      <c r="G1591">
        <v>532.89</v>
      </c>
      <c r="H1591">
        <v>0.28000000000000003</v>
      </c>
      <c r="I1591" t="s">
        <v>16</v>
      </c>
      <c r="J1591">
        <v>7</v>
      </c>
      <c r="K1591">
        <v>4.0999999999999996</v>
      </c>
      <c r="L1591">
        <v>2302.08</v>
      </c>
      <c r="M1591">
        <f>(Table1[[#This Row],[unit_price]]*Table1[[#This Row],[quantity]])-(Table1[[#This Row],[unit_price]]*Table1[[#This Row],[discount]]*Table1[[#This Row],[quantity]])</f>
        <v>2302.0848000000001</v>
      </c>
      <c r="N1591">
        <f>DAY(Table1[[#This Row],[order_date]])</f>
        <v>9</v>
      </c>
      <c r="O1591" t="str">
        <f>TEXT(Table1[[#This Row],[order_date]],"mmm")</f>
        <v>May</v>
      </c>
      <c r="P1591">
        <f>YEAR(Table1[[#This Row],[order_date]])</f>
        <v>2026</v>
      </c>
    </row>
    <row r="1592" spans="1:16" x14ac:dyDescent="0.3">
      <c r="A1592">
        <v>11591</v>
      </c>
      <c r="B1592" s="1">
        <v>46152</v>
      </c>
      <c r="C1592">
        <v>1935</v>
      </c>
      <c r="D1592" t="s">
        <v>15</v>
      </c>
      <c r="E1592" t="s">
        <v>21</v>
      </c>
      <c r="F1592">
        <v>1</v>
      </c>
      <c r="G1592">
        <v>226.53</v>
      </c>
      <c r="H1592">
        <v>0.31</v>
      </c>
      <c r="I1592" t="s">
        <v>14</v>
      </c>
      <c r="J1592">
        <v>7</v>
      </c>
      <c r="K1592">
        <v>3.4</v>
      </c>
      <c r="L1592">
        <v>156.31</v>
      </c>
      <c r="M1592">
        <f>(Table1[[#This Row],[unit_price]]*Table1[[#This Row],[quantity]])-(Table1[[#This Row],[unit_price]]*Table1[[#This Row],[discount]]*Table1[[#This Row],[quantity]])</f>
        <v>156.3057</v>
      </c>
      <c r="N1592">
        <f>DAY(Table1[[#This Row],[order_date]])</f>
        <v>10</v>
      </c>
      <c r="O1592" t="str">
        <f>TEXT(Table1[[#This Row],[order_date]],"mmm")</f>
        <v>May</v>
      </c>
      <c r="P1592">
        <f>YEAR(Table1[[#This Row],[order_date]])</f>
        <v>2026</v>
      </c>
    </row>
    <row r="1593" spans="1:16" x14ac:dyDescent="0.3">
      <c r="A1593">
        <v>11592</v>
      </c>
      <c r="B1593" s="1">
        <v>46153</v>
      </c>
      <c r="C1593">
        <v>1910</v>
      </c>
      <c r="D1593" t="s">
        <v>15</v>
      </c>
      <c r="E1593" t="s">
        <v>20</v>
      </c>
      <c r="F1593">
        <v>5</v>
      </c>
      <c r="G1593">
        <v>560.48</v>
      </c>
      <c r="H1593">
        <v>0.34</v>
      </c>
      <c r="I1593" t="s">
        <v>14</v>
      </c>
      <c r="J1593">
        <v>6</v>
      </c>
      <c r="K1593">
        <v>4.5</v>
      </c>
      <c r="L1593">
        <v>1849.58</v>
      </c>
      <c r="M1593">
        <f>(Table1[[#This Row],[unit_price]]*Table1[[#This Row],[quantity]])-(Table1[[#This Row],[unit_price]]*Table1[[#This Row],[discount]]*Table1[[#This Row],[quantity]])</f>
        <v>1849.5839999999998</v>
      </c>
      <c r="N1593">
        <f>DAY(Table1[[#This Row],[order_date]])</f>
        <v>11</v>
      </c>
      <c r="O1593" t="str">
        <f>TEXT(Table1[[#This Row],[order_date]],"mmm")</f>
        <v>May</v>
      </c>
      <c r="P1593">
        <f>YEAR(Table1[[#This Row],[order_date]])</f>
        <v>2026</v>
      </c>
    </row>
    <row r="1594" spans="1:16" x14ac:dyDescent="0.3">
      <c r="A1594">
        <v>11593</v>
      </c>
      <c r="B1594" s="1">
        <v>46154</v>
      </c>
      <c r="C1594">
        <v>1660</v>
      </c>
      <c r="D1594" t="s">
        <v>19</v>
      </c>
      <c r="E1594" t="s">
        <v>13</v>
      </c>
      <c r="F1594">
        <v>4</v>
      </c>
      <c r="G1594">
        <v>383.91</v>
      </c>
      <c r="H1594">
        <v>0.25</v>
      </c>
      <c r="I1594" t="s">
        <v>18</v>
      </c>
      <c r="J1594">
        <v>9</v>
      </c>
      <c r="K1594">
        <v>3.4</v>
      </c>
      <c r="L1594">
        <v>1151.73</v>
      </c>
      <c r="M1594">
        <f>(Table1[[#This Row],[unit_price]]*Table1[[#This Row],[quantity]])-(Table1[[#This Row],[unit_price]]*Table1[[#This Row],[discount]]*Table1[[#This Row],[quantity]])</f>
        <v>1151.73</v>
      </c>
      <c r="N1594">
        <f>DAY(Table1[[#This Row],[order_date]])</f>
        <v>12</v>
      </c>
      <c r="O1594" t="str">
        <f>TEXT(Table1[[#This Row],[order_date]],"mmm")</f>
        <v>May</v>
      </c>
      <c r="P1594">
        <f>YEAR(Table1[[#This Row],[order_date]])</f>
        <v>2026</v>
      </c>
    </row>
    <row r="1595" spans="1:16" x14ac:dyDescent="0.3">
      <c r="A1595">
        <v>11594</v>
      </c>
      <c r="B1595" s="1">
        <v>46155</v>
      </c>
      <c r="C1595">
        <v>1430</v>
      </c>
      <c r="D1595" t="s">
        <v>15</v>
      </c>
      <c r="E1595" t="s">
        <v>20</v>
      </c>
      <c r="F1595">
        <v>5</v>
      </c>
      <c r="G1595">
        <v>561.48</v>
      </c>
      <c r="H1595">
        <v>0.19</v>
      </c>
      <c r="I1595" t="s">
        <v>16</v>
      </c>
      <c r="J1595">
        <v>7</v>
      </c>
      <c r="K1595">
        <v>3.2</v>
      </c>
      <c r="L1595">
        <v>2273.9899999999998</v>
      </c>
      <c r="M1595">
        <f>(Table1[[#This Row],[unit_price]]*Table1[[#This Row],[quantity]])-(Table1[[#This Row],[unit_price]]*Table1[[#This Row],[discount]]*Table1[[#This Row],[quantity]])</f>
        <v>2273.9940000000001</v>
      </c>
      <c r="N1595">
        <f>DAY(Table1[[#This Row],[order_date]])</f>
        <v>13</v>
      </c>
      <c r="O1595" t="str">
        <f>TEXT(Table1[[#This Row],[order_date]],"mmm")</f>
        <v>May</v>
      </c>
      <c r="P1595">
        <f>YEAR(Table1[[#This Row],[order_date]])</f>
        <v>2026</v>
      </c>
    </row>
    <row r="1596" spans="1:16" x14ac:dyDescent="0.3">
      <c r="A1596">
        <v>11595</v>
      </c>
      <c r="B1596" s="1">
        <v>46156</v>
      </c>
      <c r="C1596">
        <v>1968</v>
      </c>
      <c r="D1596" t="s">
        <v>15</v>
      </c>
      <c r="E1596" t="s">
        <v>13</v>
      </c>
      <c r="F1596">
        <v>2</v>
      </c>
      <c r="G1596">
        <v>457.94</v>
      </c>
      <c r="H1596">
        <v>0.09</v>
      </c>
      <c r="I1596" t="s">
        <v>18</v>
      </c>
      <c r="J1596">
        <v>11</v>
      </c>
      <c r="K1596">
        <v>4.2</v>
      </c>
      <c r="L1596">
        <v>833.45</v>
      </c>
      <c r="M1596">
        <f>(Table1[[#This Row],[unit_price]]*Table1[[#This Row],[quantity]])-(Table1[[#This Row],[unit_price]]*Table1[[#This Row],[discount]]*Table1[[#This Row],[quantity]])</f>
        <v>833.45079999999996</v>
      </c>
      <c r="N1596">
        <f>DAY(Table1[[#This Row],[order_date]])</f>
        <v>14</v>
      </c>
      <c r="O1596" t="str">
        <f>TEXT(Table1[[#This Row],[order_date]],"mmm")</f>
        <v>May</v>
      </c>
      <c r="P1596">
        <f>YEAR(Table1[[#This Row],[order_date]])</f>
        <v>2026</v>
      </c>
    </row>
    <row r="1597" spans="1:16" x14ac:dyDescent="0.3">
      <c r="A1597">
        <v>11596</v>
      </c>
      <c r="B1597" s="1">
        <v>46157</v>
      </c>
      <c r="C1597">
        <v>1308</v>
      </c>
      <c r="D1597" t="s">
        <v>15</v>
      </c>
      <c r="E1597" t="s">
        <v>21</v>
      </c>
      <c r="F1597">
        <v>6</v>
      </c>
      <c r="G1597">
        <v>75.510000000000005</v>
      </c>
      <c r="H1597">
        <v>0.35</v>
      </c>
      <c r="I1597" t="s">
        <v>16</v>
      </c>
      <c r="J1597">
        <v>4</v>
      </c>
      <c r="K1597">
        <v>3.2</v>
      </c>
      <c r="L1597">
        <v>294.49</v>
      </c>
      <c r="M1597">
        <f>(Table1[[#This Row],[unit_price]]*Table1[[#This Row],[quantity]])-(Table1[[#This Row],[unit_price]]*Table1[[#This Row],[discount]]*Table1[[#This Row],[quantity]])</f>
        <v>294.48900000000003</v>
      </c>
      <c r="N1597">
        <f>DAY(Table1[[#This Row],[order_date]])</f>
        <v>15</v>
      </c>
      <c r="O1597" t="str">
        <f>TEXT(Table1[[#This Row],[order_date]],"mmm")</f>
        <v>May</v>
      </c>
      <c r="P1597">
        <f>YEAR(Table1[[#This Row],[order_date]])</f>
        <v>2026</v>
      </c>
    </row>
    <row r="1598" spans="1:16" x14ac:dyDescent="0.3">
      <c r="A1598">
        <v>11597</v>
      </c>
      <c r="B1598" s="1">
        <v>46158</v>
      </c>
      <c r="C1598">
        <v>1136</v>
      </c>
      <c r="D1598" t="s">
        <v>15</v>
      </c>
      <c r="E1598" t="s">
        <v>20</v>
      </c>
      <c r="F1598">
        <v>7</v>
      </c>
      <c r="G1598">
        <v>150.22</v>
      </c>
      <c r="H1598">
        <v>0.21</v>
      </c>
      <c r="I1598" t="s">
        <v>16</v>
      </c>
      <c r="J1598">
        <v>11</v>
      </c>
      <c r="K1598">
        <v>4.4000000000000004</v>
      </c>
      <c r="L1598">
        <v>830.72</v>
      </c>
      <c r="M1598">
        <f>(Table1[[#This Row],[unit_price]]*Table1[[#This Row],[quantity]])-(Table1[[#This Row],[unit_price]]*Table1[[#This Row],[discount]]*Table1[[#This Row],[quantity]])</f>
        <v>830.71659999999997</v>
      </c>
      <c r="N1598">
        <f>DAY(Table1[[#This Row],[order_date]])</f>
        <v>16</v>
      </c>
      <c r="O1598" t="str">
        <f>TEXT(Table1[[#This Row],[order_date]],"mmm")</f>
        <v>May</v>
      </c>
      <c r="P1598">
        <f>YEAR(Table1[[#This Row],[order_date]])</f>
        <v>2026</v>
      </c>
    </row>
    <row r="1599" spans="1:16" x14ac:dyDescent="0.3">
      <c r="A1599">
        <v>11598</v>
      </c>
      <c r="B1599" s="1">
        <v>46159</v>
      </c>
      <c r="C1599">
        <v>1201</v>
      </c>
      <c r="D1599" t="s">
        <v>19</v>
      </c>
      <c r="E1599" t="s">
        <v>21</v>
      </c>
      <c r="F1599">
        <v>4</v>
      </c>
      <c r="G1599">
        <v>245.59</v>
      </c>
      <c r="H1599">
        <v>0.24</v>
      </c>
      <c r="I1599" t="s">
        <v>18</v>
      </c>
      <c r="J1599">
        <v>10</v>
      </c>
      <c r="K1599">
        <v>1.2</v>
      </c>
      <c r="L1599">
        <v>746.59</v>
      </c>
      <c r="M1599">
        <f>(Table1[[#This Row],[unit_price]]*Table1[[#This Row],[quantity]])-(Table1[[#This Row],[unit_price]]*Table1[[#This Row],[discount]]*Table1[[#This Row],[quantity]])</f>
        <v>746.59360000000004</v>
      </c>
      <c r="N1599">
        <f>DAY(Table1[[#This Row],[order_date]])</f>
        <v>17</v>
      </c>
      <c r="O1599" t="str">
        <f>TEXT(Table1[[#This Row],[order_date]],"mmm")</f>
        <v>May</v>
      </c>
      <c r="P1599">
        <f>YEAR(Table1[[#This Row],[order_date]])</f>
        <v>2026</v>
      </c>
    </row>
    <row r="1600" spans="1:16" x14ac:dyDescent="0.3">
      <c r="A1600">
        <v>11599</v>
      </c>
      <c r="B1600" s="1">
        <v>46160</v>
      </c>
      <c r="C1600">
        <v>1435</v>
      </c>
      <c r="D1600" t="s">
        <v>19</v>
      </c>
      <c r="E1600" t="s">
        <v>13</v>
      </c>
      <c r="F1600">
        <v>7</v>
      </c>
      <c r="G1600">
        <v>114.51</v>
      </c>
      <c r="H1600">
        <v>0.24</v>
      </c>
      <c r="I1600" t="s">
        <v>16</v>
      </c>
      <c r="J1600">
        <v>9</v>
      </c>
      <c r="K1600">
        <v>3</v>
      </c>
      <c r="L1600">
        <v>609.19000000000005</v>
      </c>
      <c r="M1600">
        <f>(Table1[[#This Row],[unit_price]]*Table1[[#This Row],[quantity]])-(Table1[[#This Row],[unit_price]]*Table1[[#This Row],[discount]]*Table1[[#This Row],[quantity]])</f>
        <v>609.19320000000005</v>
      </c>
      <c r="N1600">
        <f>DAY(Table1[[#This Row],[order_date]])</f>
        <v>18</v>
      </c>
      <c r="O1600" t="str">
        <f>TEXT(Table1[[#This Row],[order_date]],"mmm")</f>
        <v>May</v>
      </c>
      <c r="P1600">
        <f>YEAR(Table1[[#This Row],[order_date]])</f>
        <v>2026</v>
      </c>
    </row>
    <row r="1601" spans="1:16" x14ac:dyDescent="0.3">
      <c r="A1601">
        <v>11600</v>
      </c>
      <c r="B1601" s="1">
        <v>46161</v>
      </c>
      <c r="C1601">
        <v>1312</v>
      </c>
      <c r="D1601" t="s">
        <v>19</v>
      </c>
      <c r="E1601" t="s">
        <v>17</v>
      </c>
      <c r="F1601">
        <v>3</v>
      </c>
      <c r="G1601">
        <v>304.52</v>
      </c>
      <c r="H1601">
        <v>0.3</v>
      </c>
      <c r="I1601" t="s">
        <v>18</v>
      </c>
      <c r="J1601">
        <v>6</v>
      </c>
      <c r="K1601">
        <v>4.3</v>
      </c>
      <c r="L1601">
        <v>639.49</v>
      </c>
      <c r="M1601">
        <f>(Table1[[#This Row],[unit_price]]*Table1[[#This Row],[quantity]])-(Table1[[#This Row],[unit_price]]*Table1[[#This Row],[discount]]*Table1[[#This Row],[quantity]])</f>
        <v>639.49199999999996</v>
      </c>
      <c r="N1601">
        <f>DAY(Table1[[#This Row],[order_date]])</f>
        <v>19</v>
      </c>
      <c r="O1601" t="str">
        <f>TEXT(Table1[[#This Row],[order_date]],"mmm")</f>
        <v>May</v>
      </c>
      <c r="P1601">
        <f>YEAR(Table1[[#This Row],[order_date]])</f>
        <v>2026</v>
      </c>
    </row>
    <row r="1602" spans="1:16" x14ac:dyDescent="0.3">
      <c r="A1602">
        <v>11601</v>
      </c>
      <c r="B1602" s="1">
        <v>46162</v>
      </c>
      <c r="C1602">
        <v>1116</v>
      </c>
      <c r="D1602" t="s">
        <v>19</v>
      </c>
      <c r="E1602" t="s">
        <v>13</v>
      </c>
      <c r="F1602">
        <v>2</v>
      </c>
      <c r="G1602">
        <v>290.75</v>
      </c>
      <c r="H1602">
        <v>0</v>
      </c>
      <c r="I1602" t="s">
        <v>14</v>
      </c>
      <c r="J1602">
        <v>1</v>
      </c>
      <c r="K1602">
        <v>4.4000000000000004</v>
      </c>
      <c r="L1602">
        <v>581.5</v>
      </c>
      <c r="M1602">
        <f>(Table1[[#This Row],[unit_price]]*Table1[[#This Row],[quantity]])-(Table1[[#This Row],[unit_price]]*Table1[[#This Row],[discount]]*Table1[[#This Row],[quantity]])</f>
        <v>581.5</v>
      </c>
      <c r="N1602">
        <f>DAY(Table1[[#This Row],[order_date]])</f>
        <v>20</v>
      </c>
      <c r="O1602" t="str">
        <f>TEXT(Table1[[#This Row],[order_date]],"mmm")</f>
        <v>May</v>
      </c>
      <c r="P1602">
        <f>YEAR(Table1[[#This Row],[order_date]])</f>
        <v>2026</v>
      </c>
    </row>
    <row r="1603" spans="1:16" x14ac:dyDescent="0.3">
      <c r="A1603">
        <v>11602</v>
      </c>
      <c r="B1603" s="1">
        <v>46163</v>
      </c>
      <c r="C1603">
        <v>1665</v>
      </c>
      <c r="D1603" t="s">
        <v>19</v>
      </c>
      <c r="E1603" t="s">
        <v>17</v>
      </c>
      <c r="F1603">
        <v>1</v>
      </c>
      <c r="G1603">
        <v>574.41</v>
      </c>
      <c r="H1603">
        <v>0.08</v>
      </c>
      <c r="I1603" t="s">
        <v>14</v>
      </c>
      <c r="J1603">
        <v>9</v>
      </c>
      <c r="K1603">
        <v>4.3</v>
      </c>
      <c r="L1603">
        <v>528.46</v>
      </c>
      <c r="M1603">
        <f>(Table1[[#This Row],[unit_price]]*Table1[[#This Row],[quantity]])-(Table1[[#This Row],[unit_price]]*Table1[[#This Row],[discount]]*Table1[[#This Row],[quantity]])</f>
        <v>528.45719999999994</v>
      </c>
      <c r="N1603">
        <f>DAY(Table1[[#This Row],[order_date]])</f>
        <v>21</v>
      </c>
      <c r="O1603" t="str">
        <f>TEXT(Table1[[#This Row],[order_date]],"mmm")</f>
        <v>May</v>
      </c>
      <c r="P1603">
        <f>YEAR(Table1[[#This Row],[order_date]])</f>
        <v>2026</v>
      </c>
    </row>
    <row r="1604" spans="1:16" x14ac:dyDescent="0.3">
      <c r="A1604">
        <v>11603</v>
      </c>
      <c r="B1604" s="1">
        <v>46164</v>
      </c>
      <c r="C1604">
        <v>1936</v>
      </c>
      <c r="D1604" t="s">
        <v>12</v>
      </c>
      <c r="E1604" t="s">
        <v>21</v>
      </c>
      <c r="F1604">
        <v>1</v>
      </c>
      <c r="G1604">
        <v>268.73</v>
      </c>
      <c r="H1604">
        <v>0.23</v>
      </c>
      <c r="I1604" t="s">
        <v>14</v>
      </c>
      <c r="J1604">
        <v>11</v>
      </c>
      <c r="K1604">
        <v>3.4</v>
      </c>
      <c r="L1604">
        <v>206.92</v>
      </c>
      <c r="M1604">
        <f>(Table1[[#This Row],[unit_price]]*Table1[[#This Row],[quantity]])-(Table1[[#This Row],[unit_price]]*Table1[[#This Row],[discount]]*Table1[[#This Row],[quantity]])</f>
        <v>206.9221</v>
      </c>
      <c r="N1604">
        <f>DAY(Table1[[#This Row],[order_date]])</f>
        <v>22</v>
      </c>
      <c r="O1604" t="str">
        <f>TEXT(Table1[[#This Row],[order_date]],"mmm")</f>
        <v>May</v>
      </c>
      <c r="P1604">
        <f>YEAR(Table1[[#This Row],[order_date]])</f>
        <v>2026</v>
      </c>
    </row>
    <row r="1605" spans="1:16" x14ac:dyDescent="0.3">
      <c r="A1605">
        <v>11604</v>
      </c>
      <c r="B1605" s="1">
        <v>46165</v>
      </c>
      <c r="C1605">
        <v>1802</v>
      </c>
      <c r="D1605" t="s">
        <v>15</v>
      </c>
      <c r="E1605" t="s">
        <v>21</v>
      </c>
      <c r="F1605">
        <v>5</v>
      </c>
      <c r="G1605">
        <v>474.59</v>
      </c>
      <c r="H1605">
        <v>0.31</v>
      </c>
      <c r="I1605" t="s">
        <v>14</v>
      </c>
      <c r="J1605">
        <v>7</v>
      </c>
      <c r="K1605">
        <v>5</v>
      </c>
      <c r="L1605">
        <v>1637.34</v>
      </c>
      <c r="M1605">
        <f>(Table1[[#This Row],[unit_price]]*Table1[[#This Row],[quantity]])-(Table1[[#This Row],[unit_price]]*Table1[[#This Row],[discount]]*Table1[[#This Row],[quantity]])</f>
        <v>1637.3354999999999</v>
      </c>
      <c r="N1605">
        <f>DAY(Table1[[#This Row],[order_date]])</f>
        <v>23</v>
      </c>
      <c r="O1605" t="str">
        <f>TEXT(Table1[[#This Row],[order_date]],"mmm")</f>
        <v>May</v>
      </c>
      <c r="P1605">
        <f>YEAR(Table1[[#This Row],[order_date]])</f>
        <v>2026</v>
      </c>
    </row>
    <row r="1606" spans="1:16" x14ac:dyDescent="0.3">
      <c r="A1606">
        <v>11605</v>
      </c>
      <c r="B1606" s="1">
        <v>46166</v>
      </c>
      <c r="C1606">
        <v>1574</v>
      </c>
      <c r="D1606" t="s">
        <v>15</v>
      </c>
      <c r="E1606" t="s">
        <v>20</v>
      </c>
      <c r="F1606">
        <v>6</v>
      </c>
      <c r="G1606">
        <v>566.02</v>
      </c>
      <c r="H1606">
        <v>0.24</v>
      </c>
      <c r="I1606" t="s">
        <v>16</v>
      </c>
      <c r="J1606">
        <v>6</v>
      </c>
      <c r="K1606">
        <v>1.7</v>
      </c>
      <c r="L1606">
        <v>2581.0500000000002</v>
      </c>
      <c r="M1606">
        <f>(Table1[[#This Row],[unit_price]]*Table1[[#This Row],[quantity]])-(Table1[[#This Row],[unit_price]]*Table1[[#This Row],[discount]]*Table1[[#This Row],[quantity]])</f>
        <v>2581.0511999999999</v>
      </c>
      <c r="N1606">
        <f>DAY(Table1[[#This Row],[order_date]])</f>
        <v>24</v>
      </c>
      <c r="O1606" t="str">
        <f>TEXT(Table1[[#This Row],[order_date]],"mmm")</f>
        <v>May</v>
      </c>
      <c r="P1606">
        <f>YEAR(Table1[[#This Row],[order_date]])</f>
        <v>2026</v>
      </c>
    </row>
    <row r="1607" spans="1:16" x14ac:dyDescent="0.3">
      <c r="A1607">
        <v>11606</v>
      </c>
      <c r="B1607" s="1">
        <v>46167</v>
      </c>
      <c r="C1607">
        <v>1243</v>
      </c>
      <c r="D1607" t="s">
        <v>12</v>
      </c>
      <c r="E1607" t="s">
        <v>17</v>
      </c>
      <c r="F1607">
        <v>5</v>
      </c>
      <c r="G1607">
        <v>528.04</v>
      </c>
      <c r="H1607">
        <v>0.14000000000000001</v>
      </c>
      <c r="I1607" t="s">
        <v>14</v>
      </c>
      <c r="J1607">
        <v>6</v>
      </c>
      <c r="K1607">
        <v>1.7</v>
      </c>
      <c r="L1607">
        <v>2270.5700000000002</v>
      </c>
      <c r="M1607">
        <f>(Table1[[#This Row],[unit_price]]*Table1[[#This Row],[quantity]])-(Table1[[#This Row],[unit_price]]*Table1[[#This Row],[discount]]*Table1[[#This Row],[quantity]])</f>
        <v>2270.5719999999997</v>
      </c>
      <c r="N1607">
        <f>DAY(Table1[[#This Row],[order_date]])</f>
        <v>25</v>
      </c>
      <c r="O1607" t="str">
        <f>TEXT(Table1[[#This Row],[order_date]],"mmm")</f>
        <v>May</v>
      </c>
      <c r="P1607">
        <f>YEAR(Table1[[#This Row],[order_date]])</f>
        <v>2026</v>
      </c>
    </row>
    <row r="1608" spans="1:16" x14ac:dyDescent="0.3">
      <c r="A1608">
        <v>11607</v>
      </c>
      <c r="B1608" s="1">
        <v>46168</v>
      </c>
      <c r="C1608">
        <v>1536</v>
      </c>
      <c r="D1608" t="s">
        <v>12</v>
      </c>
      <c r="E1608" t="s">
        <v>13</v>
      </c>
      <c r="F1608">
        <v>3</v>
      </c>
      <c r="G1608">
        <v>137.07</v>
      </c>
      <c r="H1608">
        <v>0.13</v>
      </c>
      <c r="I1608" t="s">
        <v>14</v>
      </c>
      <c r="J1608">
        <v>4</v>
      </c>
      <c r="K1608">
        <v>1.1000000000000001</v>
      </c>
      <c r="L1608">
        <v>357.75</v>
      </c>
      <c r="M1608">
        <f>(Table1[[#This Row],[unit_price]]*Table1[[#This Row],[quantity]])-(Table1[[#This Row],[unit_price]]*Table1[[#This Row],[discount]]*Table1[[#This Row],[quantity]])</f>
        <v>357.7527</v>
      </c>
      <c r="N1608">
        <f>DAY(Table1[[#This Row],[order_date]])</f>
        <v>26</v>
      </c>
      <c r="O1608" t="str">
        <f>TEXT(Table1[[#This Row],[order_date]],"mmm")</f>
        <v>May</v>
      </c>
      <c r="P1608">
        <f>YEAR(Table1[[#This Row],[order_date]])</f>
        <v>2026</v>
      </c>
    </row>
    <row r="1609" spans="1:16" x14ac:dyDescent="0.3">
      <c r="A1609">
        <v>11608</v>
      </c>
      <c r="B1609" s="1">
        <v>46169</v>
      </c>
      <c r="C1609">
        <v>1601</v>
      </c>
      <c r="D1609" t="s">
        <v>15</v>
      </c>
      <c r="E1609" t="s">
        <v>21</v>
      </c>
      <c r="F1609">
        <v>3</v>
      </c>
      <c r="G1609">
        <v>305.18</v>
      </c>
      <c r="H1609">
        <v>0.26</v>
      </c>
      <c r="I1609" t="s">
        <v>14</v>
      </c>
      <c r="J1609">
        <v>4</v>
      </c>
      <c r="K1609">
        <v>5</v>
      </c>
      <c r="L1609">
        <v>677.5</v>
      </c>
      <c r="M1609">
        <f>(Table1[[#This Row],[unit_price]]*Table1[[#This Row],[quantity]])-(Table1[[#This Row],[unit_price]]*Table1[[#This Row],[discount]]*Table1[[#This Row],[quantity]])</f>
        <v>677.49959999999999</v>
      </c>
      <c r="N1609">
        <f>DAY(Table1[[#This Row],[order_date]])</f>
        <v>27</v>
      </c>
      <c r="O1609" t="str">
        <f>TEXT(Table1[[#This Row],[order_date]],"mmm")</f>
        <v>May</v>
      </c>
      <c r="P1609">
        <f>YEAR(Table1[[#This Row],[order_date]])</f>
        <v>2026</v>
      </c>
    </row>
    <row r="1610" spans="1:16" x14ac:dyDescent="0.3">
      <c r="A1610">
        <v>11609</v>
      </c>
      <c r="B1610" s="1">
        <v>46170</v>
      </c>
      <c r="C1610">
        <v>1074</v>
      </c>
      <c r="D1610" t="s">
        <v>22</v>
      </c>
      <c r="E1610" t="s">
        <v>17</v>
      </c>
      <c r="F1610">
        <v>1</v>
      </c>
      <c r="G1610">
        <v>218.43</v>
      </c>
      <c r="H1610">
        <v>0.26</v>
      </c>
      <c r="I1610" t="s">
        <v>18</v>
      </c>
      <c r="J1610">
        <v>11</v>
      </c>
      <c r="K1610">
        <v>2.4</v>
      </c>
      <c r="L1610">
        <v>161.63999999999999</v>
      </c>
      <c r="M1610">
        <f>(Table1[[#This Row],[unit_price]]*Table1[[#This Row],[quantity]])-(Table1[[#This Row],[unit_price]]*Table1[[#This Row],[discount]]*Table1[[#This Row],[quantity]])</f>
        <v>161.63820000000001</v>
      </c>
      <c r="N1610">
        <f>DAY(Table1[[#This Row],[order_date]])</f>
        <v>28</v>
      </c>
      <c r="O1610" t="str">
        <f>TEXT(Table1[[#This Row],[order_date]],"mmm")</f>
        <v>May</v>
      </c>
      <c r="P1610">
        <f>YEAR(Table1[[#This Row],[order_date]])</f>
        <v>2026</v>
      </c>
    </row>
    <row r="1611" spans="1:16" x14ac:dyDescent="0.3">
      <c r="A1611">
        <v>11610</v>
      </c>
      <c r="B1611" s="1">
        <v>46171</v>
      </c>
      <c r="C1611">
        <v>1805</v>
      </c>
      <c r="D1611" t="s">
        <v>19</v>
      </c>
      <c r="E1611" t="s">
        <v>13</v>
      </c>
      <c r="F1611">
        <v>7</v>
      </c>
      <c r="G1611">
        <v>248.92</v>
      </c>
      <c r="H1611">
        <v>0.21</v>
      </c>
      <c r="I1611" t="s">
        <v>16</v>
      </c>
      <c r="J1611">
        <v>3</v>
      </c>
      <c r="K1611">
        <v>4</v>
      </c>
      <c r="L1611">
        <v>1376.53</v>
      </c>
      <c r="M1611">
        <f>(Table1[[#This Row],[unit_price]]*Table1[[#This Row],[quantity]])-(Table1[[#This Row],[unit_price]]*Table1[[#This Row],[discount]]*Table1[[#This Row],[quantity]])</f>
        <v>1376.5275999999999</v>
      </c>
      <c r="N1611">
        <f>DAY(Table1[[#This Row],[order_date]])</f>
        <v>29</v>
      </c>
      <c r="O1611" t="str">
        <f>TEXT(Table1[[#This Row],[order_date]],"mmm")</f>
        <v>May</v>
      </c>
      <c r="P1611">
        <f>YEAR(Table1[[#This Row],[order_date]])</f>
        <v>2026</v>
      </c>
    </row>
    <row r="1612" spans="1:16" x14ac:dyDescent="0.3">
      <c r="A1612">
        <v>11611</v>
      </c>
      <c r="B1612" s="1">
        <v>46172</v>
      </c>
      <c r="C1612">
        <v>1385</v>
      </c>
      <c r="D1612" t="s">
        <v>19</v>
      </c>
      <c r="E1612" t="s">
        <v>17</v>
      </c>
      <c r="F1612">
        <v>4</v>
      </c>
      <c r="G1612">
        <v>226.07</v>
      </c>
      <c r="H1612">
        <v>0.1</v>
      </c>
      <c r="I1612" t="s">
        <v>16</v>
      </c>
      <c r="J1612">
        <v>8</v>
      </c>
      <c r="K1612">
        <v>1.2</v>
      </c>
      <c r="L1612">
        <v>813.85</v>
      </c>
      <c r="M1612">
        <f>(Table1[[#This Row],[unit_price]]*Table1[[#This Row],[quantity]])-(Table1[[#This Row],[unit_price]]*Table1[[#This Row],[discount]]*Table1[[#This Row],[quantity]])</f>
        <v>813.85199999999998</v>
      </c>
      <c r="N1612">
        <f>DAY(Table1[[#This Row],[order_date]])</f>
        <v>30</v>
      </c>
      <c r="O1612" t="str">
        <f>TEXT(Table1[[#This Row],[order_date]],"mmm")</f>
        <v>May</v>
      </c>
      <c r="P1612">
        <f>YEAR(Table1[[#This Row],[order_date]])</f>
        <v>2026</v>
      </c>
    </row>
    <row r="1613" spans="1:16" x14ac:dyDescent="0.3">
      <c r="A1613">
        <v>11612</v>
      </c>
      <c r="B1613" s="1">
        <v>46173</v>
      </c>
      <c r="C1613">
        <v>1902</v>
      </c>
      <c r="D1613" t="s">
        <v>15</v>
      </c>
      <c r="E1613" t="s">
        <v>13</v>
      </c>
      <c r="F1613">
        <v>1</v>
      </c>
      <c r="G1613">
        <v>498.42</v>
      </c>
      <c r="H1613">
        <v>0.32</v>
      </c>
      <c r="I1613" t="s">
        <v>16</v>
      </c>
      <c r="J1613">
        <v>8</v>
      </c>
      <c r="K1613">
        <v>2.2000000000000002</v>
      </c>
      <c r="L1613">
        <v>338.93</v>
      </c>
      <c r="M1613">
        <f>(Table1[[#This Row],[unit_price]]*Table1[[#This Row],[quantity]])-(Table1[[#This Row],[unit_price]]*Table1[[#This Row],[discount]]*Table1[[#This Row],[quantity]])</f>
        <v>338.92560000000003</v>
      </c>
      <c r="N1613">
        <f>DAY(Table1[[#This Row],[order_date]])</f>
        <v>31</v>
      </c>
      <c r="O1613" t="str">
        <f>TEXT(Table1[[#This Row],[order_date]],"mmm")</f>
        <v>May</v>
      </c>
      <c r="P1613">
        <f>YEAR(Table1[[#This Row],[order_date]])</f>
        <v>2026</v>
      </c>
    </row>
    <row r="1614" spans="1:16" x14ac:dyDescent="0.3">
      <c r="A1614">
        <v>11613</v>
      </c>
      <c r="B1614" s="1">
        <v>46174</v>
      </c>
      <c r="C1614">
        <v>1209</v>
      </c>
      <c r="D1614" t="s">
        <v>22</v>
      </c>
      <c r="E1614" t="s">
        <v>13</v>
      </c>
      <c r="F1614">
        <v>1</v>
      </c>
      <c r="G1614">
        <v>279.5</v>
      </c>
      <c r="H1614">
        <v>0.19</v>
      </c>
      <c r="I1614" t="s">
        <v>14</v>
      </c>
      <c r="J1614">
        <v>2</v>
      </c>
      <c r="K1614">
        <v>3.5</v>
      </c>
      <c r="L1614">
        <v>226.4</v>
      </c>
      <c r="M1614">
        <f>(Table1[[#This Row],[unit_price]]*Table1[[#This Row],[quantity]])-(Table1[[#This Row],[unit_price]]*Table1[[#This Row],[discount]]*Table1[[#This Row],[quantity]])</f>
        <v>226.39499999999998</v>
      </c>
      <c r="N1614">
        <f>DAY(Table1[[#This Row],[order_date]])</f>
        <v>1</v>
      </c>
      <c r="O1614" t="str">
        <f>TEXT(Table1[[#This Row],[order_date]],"mmm")</f>
        <v>Jun</v>
      </c>
      <c r="P1614">
        <f>YEAR(Table1[[#This Row],[order_date]])</f>
        <v>2026</v>
      </c>
    </row>
    <row r="1615" spans="1:16" x14ac:dyDescent="0.3">
      <c r="A1615">
        <v>11614</v>
      </c>
      <c r="B1615" s="1">
        <v>46175</v>
      </c>
      <c r="C1615">
        <v>1474</v>
      </c>
      <c r="D1615" t="s">
        <v>22</v>
      </c>
      <c r="E1615" t="s">
        <v>13</v>
      </c>
      <c r="F1615">
        <v>7</v>
      </c>
      <c r="G1615">
        <v>321.36</v>
      </c>
      <c r="H1615">
        <v>0.28000000000000003</v>
      </c>
      <c r="I1615" t="s">
        <v>18</v>
      </c>
      <c r="J1615">
        <v>5</v>
      </c>
      <c r="K1615">
        <v>3.1</v>
      </c>
      <c r="L1615">
        <v>1619.65</v>
      </c>
      <c r="M1615">
        <f>(Table1[[#This Row],[unit_price]]*Table1[[#This Row],[quantity]])-(Table1[[#This Row],[unit_price]]*Table1[[#This Row],[discount]]*Table1[[#This Row],[quantity]])</f>
        <v>1619.6543999999999</v>
      </c>
      <c r="N1615">
        <f>DAY(Table1[[#This Row],[order_date]])</f>
        <v>2</v>
      </c>
      <c r="O1615" t="str">
        <f>TEXT(Table1[[#This Row],[order_date]],"mmm")</f>
        <v>Jun</v>
      </c>
      <c r="P1615">
        <f>YEAR(Table1[[#This Row],[order_date]])</f>
        <v>2026</v>
      </c>
    </row>
    <row r="1616" spans="1:16" x14ac:dyDescent="0.3">
      <c r="A1616">
        <v>11615</v>
      </c>
      <c r="B1616" s="1">
        <v>46176</v>
      </c>
      <c r="C1616">
        <v>1417</v>
      </c>
      <c r="D1616" t="s">
        <v>19</v>
      </c>
      <c r="E1616" t="s">
        <v>13</v>
      </c>
      <c r="F1616">
        <v>7</v>
      </c>
      <c r="G1616">
        <v>589.73</v>
      </c>
      <c r="H1616">
        <v>0.08</v>
      </c>
      <c r="I1616" t="s">
        <v>14</v>
      </c>
      <c r="J1616">
        <v>9</v>
      </c>
      <c r="K1616">
        <v>1.8</v>
      </c>
      <c r="L1616">
        <v>3797.86</v>
      </c>
      <c r="M1616">
        <f>(Table1[[#This Row],[unit_price]]*Table1[[#This Row],[quantity]])-(Table1[[#This Row],[unit_price]]*Table1[[#This Row],[discount]]*Table1[[#This Row],[quantity]])</f>
        <v>3797.8612000000007</v>
      </c>
      <c r="N1616">
        <f>DAY(Table1[[#This Row],[order_date]])</f>
        <v>3</v>
      </c>
      <c r="O1616" t="str">
        <f>TEXT(Table1[[#This Row],[order_date]],"mmm")</f>
        <v>Jun</v>
      </c>
      <c r="P1616">
        <f>YEAR(Table1[[#This Row],[order_date]])</f>
        <v>2026</v>
      </c>
    </row>
    <row r="1617" spans="1:16" x14ac:dyDescent="0.3">
      <c r="A1617">
        <v>11616</v>
      </c>
      <c r="B1617" s="1">
        <v>46177</v>
      </c>
      <c r="C1617">
        <v>1346</v>
      </c>
      <c r="D1617" t="s">
        <v>19</v>
      </c>
      <c r="E1617" t="s">
        <v>17</v>
      </c>
      <c r="F1617">
        <v>3</v>
      </c>
      <c r="G1617">
        <v>50.09</v>
      </c>
      <c r="H1617">
        <v>0.12</v>
      </c>
      <c r="I1617" t="s">
        <v>18</v>
      </c>
      <c r="J1617">
        <v>9</v>
      </c>
      <c r="K1617">
        <v>2.8</v>
      </c>
      <c r="L1617">
        <v>132.24</v>
      </c>
      <c r="M1617">
        <f>(Table1[[#This Row],[unit_price]]*Table1[[#This Row],[quantity]])-(Table1[[#This Row],[unit_price]]*Table1[[#This Row],[discount]]*Table1[[#This Row],[quantity]])</f>
        <v>132.23760000000001</v>
      </c>
      <c r="N1617">
        <f>DAY(Table1[[#This Row],[order_date]])</f>
        <v>4</v>
      </c>
      <c r="O1617" t="str">
        <f>TEXT(Table1[[#This Row],[order_date]],"mmm")</f>
        <v>Jun</v>
      </c>
      <c r="P1617">
        <f>YEAR(Table1[[#This Row],[order_date]])</f>
        <v>2026</v>
      </c>
    </row>
    <row r="1618" spans="1:16" x14ac:dyDescent="0.3">
      <c r="A1618">
        <v>11617</v>
      </c>
      <c r="B1618" s="1">
        <v>46178</v>
      </c>
      <c r="C1618">
        <v>1528</v>
      </c>
      <c r="D1618" t="s">
        <v>15</v>
      </c>
      <c r="E1618" t="s">
        <v>17</v>
      </c>
      <c r="F1618">
        <v>7</v>
      </c>
      <c r="G1618">
        <v>300.45999999999998</v>
      </c>
      <c r="H1618">
        <v>0.31</v>
      </c>
      <c r="I1618" t="s">
        <v>18</v>
      </c>
      <c r="J1618">
        <v>7</v>
      </c>
      <c r="K1618">
        <v>1.4</v>
      </c>
      <c r="L1618">
        <v>1451.22</v>
      </c>
      <c r="M1618">
        <f>(Table1[[#This Row],[unit_price]]*Table1[[#This Row],[quantity]])-(Table1[[#This Row],[unit_price]]*Table1[[#This Row],[discount]]*Table1[[#This Row],[quantity]])</f>
        <v>1451.2217999999998</v>
      </c>
      <c r="N1618">
        <f>DAY(Table1[[#This Row],[order_date]])</f>
        <v>5</v>
      </c>
      <c r="O1618" t="str">
        <f>TEXT(Table1[[#This Row],[order_date]],"mmm")</f>
        <v>Jun</v>
      </c>
      <c r="P1618">
        <f>YEAR(Table1[[#This Row],[order_date]])</f>
        <v>2026</v>
      </c>
    </row>
    <row r="1619" spans="1:16" x14ac:dyDescent="0.3">
      <c r="A1619">
        <v>11618</v>
      </c>
      <c r="B1619" s="1">
        <v>46179</v>
      </c>
      <c r="C1619">
        <v>1639</v>
      </c>
      <c r="D1619" t="s">
        <v>19</v>
      </c>
      <c r="E1619" t="s">
        <v>20</v>
      </c>
      <c r="F1619">
        <v>5</v>
      </c>
      <c r="G1619">
        <v>467.83</v>
      </c>
      <c r="H1619">
        <v>0.02</v>
      </c>
      <c r="I1619" t="s">
        <v>16</v>
      </c>
      <c r="J1619">
        <v>4</v>
      </c>
      <c r="K1619">
        <v>3.2</v>
      </c>
      <c r="L1619">
        <v>2292.37</v>
      </c>
      <c r="M1619">
        <f>(Table1[[#This Row],[unit_price]]*Table1[[#This Row],[quantity]])-(Table1[[#This Row],[unit_price]]*Table1[[#This Row],[discount]]*Table1[[#This Row],[quantity]])</f>
        <v>2292.3670000000002</v>
      </c>
      <c r="N1619">
        <f>DAY(Table1[[#This Row],[order_date]])</f>
        <v>6</v>
      </c>
      <c r="O1619" t="str">
        <f>TEXT(Table1[[#This Row],[order_date]],"mmm")</f>
        <v>Jun</v>
      </c>
      <c r="P1619">
        <f>YEAR(Table1[[#This Row],[order_date]])</f>
        <v>2026</v>
      </c>
    </row>
    <row r="1620" spans="1:16" x14ac:dyDescent="0.3">
      <c r="A1620">
        <v>11619</v>
      </c>
      <c r="B1620" s="1">
        <v>46180</v>
      </c>
      <c r="C1620">
        <v>1938</v>
      </c>
      <c r="D1620" t="s">
        <v>15</v>
      </c>
      <c r="E1620" t="s">
        <v>17</v>
      </c>
      <c r="F1620">
        <v>3</v>
      </c>
      <c r="G1620">
        <v>103.43</v>
      </c>
      <c r="H1620">
        <v>0.18</v>
      </c>
      <c r="I1620" t="s">
        <v>16</v>
      </c>
      <c r="J1620">
        <v>4</v>
      </c>
      <c r="K1620">
        <v>1.4</v>
      </c>
      <c r="L1620">
        <v>254.44</v>
      </c>
      <c r="M1620">
        <f>(Table1[[#This Row],[unit_price]]*Table1[[#This Row],[quantity]])-(Table1[[#This Row],[unit_price]]*Table1[[#This Row],[discount]]*Table1[[#This Row],[quantity]])</f>
        <v>254.43780000000004</v>
      </c>
      <c r="N1620">
        <f>DAY(Table1[[#This Row],[order_date]])</f>
        <v>7</v>
      </c>
      <c r="O1620" t="str">
        <f>TEXT(Table1[[#This Row],[order_date]],"mmm")</f>
        <v>Jun</v>
      </c>
      <c r="P1620">
        <f>YEAR(Table1[[#This Row],[order_date]])</f>
        <v>2026</v>
      </c>
    </row>
    <row r="1621" spans="1:16" x14ac:dyDescent="0.3">
      <c r="A1621">
        <v>11620</v>
      </c>
      <c r="B1621" s="1">
        <v>46181</v>
      </c>
      <c r="C1621">
        <v>1954</v>
      </c>
      <c r="D1621" t="s">
        <v>22</v>
      </c>
      <c r="E1621" t="s">
        <v>17</v>
      </c>
      <c r="F1621">
        <v>7</v>
      </c>
      <c r="G1621">
        <v>372.75</v>
      </c>
      <c r="H1621">
        <v>0.17</v>
      </c>
      <c r="I1621" t="s">
        <v>16</v>
      </c>
      <c r="J1621">
        <v>10</v>
      </c>
      <c r="K1621">
        <v>3.5</v>
      </c>
      <c r="L1621">
        <v>2165.6799999999998</v>
      </c>
      <c r="M1621">
        <f>(Table1[[#This Row],[unit_price]]*Table1[[#This Row],[quantity]])-(Table1[[#This Row],[unit_price]]*Table1[[#This Row],[discount]]*Table1[[#This Row],[quantity]])</f>
        <v>2165.6774999999998</v>
      </c>
      <c r="N1621">
        <f>DAY(Table1[[#This Row],[order_date]])</f>
        <v>8</v>
      </c>
      <c r="O1621" t="str">
        <f>TEXT(Table1[[#This Row],[order_date]],"mmm")</f>
        <v>Jun</v>
      </c>
      <c r="P1621">
        <f>YEAR(Table1[[#This Row],[order_date]])</f>
        <v>2026</v>
      </c>
    </row>
    <row r="1622" spans="1:16" x14ac:dyDescent="0.3">
      <c r="A1622">
        <v>11621</v>
      </c>
      <c r="B1622" s="1">
        <v>46182</v>
      </c>
      <c r="C1622">
        <v>1875</v>
      </c>
      <c r="D1622" t="s">
        <v>22</v>
      </c>
      <c r="E1622" t="s">
        <v>20</v>
      </c>
      <c r="F1622">
        <v>6</v>
      </c>
      <c r="G1622">
        <v>155.09</v>
      </c>
      <c r="H1622">
        <v>0.26</v>
      </c>
      <c r="I1622" t="s">
        <v>18</v>
      </c>
      <c r="J1622">
        <v>11</v>
      </c>
      <c r="K1622">
        <v>1.6</v>
      </c>
      <c r="L1622">
        <v>688.6</v>
      </c>
      <c r="M1622">
        <f>(Table1[[#This Row],[unit_price]]*Table1[[#This Row],[quantity]])-(Table1[[#This Row],[unit_price]]*Table1[[#This Row],[discount]]*Table1[[#This Row],[quantity]])</f>
        <v>688.59960000000001</v>
      </c>
      <c r="N1622">
        <f>DAY(Table1[[#This Row],[order_date]])</f>
        <v>9</v>
      </c>
      <c r="O1622" t="str">
        <f>TEXT(Table1[[#This Row],[order_date]],"mmm")</f>
        <v>Jun</v>
      </c>
      <c r="P1622">
        <f>YEAR(Table1[[#This Row],[order_date]])</f>
        <v>2026</v>
      </c>
    </row>
    <row r="1623" spans="1:16" x14ac:dyDescent="0.3">
      <c r="A1623">
        <v>11622</v>
      </c>
      <c r="B1623" s="1">
        <v>46183</v>
      </c>
      <c r="C1623">
        <v>1762</v>
      </c>
      <c r="D1623" t="s">
        <v>22</v>
      </c>
      <c r="E1623" t="s">
        <v>17</v>
      </c>
      <c r="F1623">
        <v>3</v>
      </c>
      <c r="G1623">
        <v>522.42999999999995</v>
      </c>
      <c r="H1623">
        <v>0.1</v>
      </c>
      <c r="I1623" t="s">
        <v>16</v>
      </c>
      <c r="J1623">
        <v>7</v>
      </c>
      <c r="K1623">
        <v>3.2</v>
      </c>
      <c r="L1623">
        <v>1410.56</v>
      </c>
      <c r="M1623">
        <f>(Table1[[#This Row],[unit_price]]*Table1[[#This Row],[quantity]])-(Table1[[#This Row],[unit_price]]*Table1[[#This Row],[discount]]*Table1[[#This Row],[quantity]])</f>
        <v>1410.5609999999999</v>
      </c>
      <c r="N1623">
        <f>DAY(Table1[[#This Row],[order_date]])</f>
        <v>10</v>
      </c>
      <c r="O1623" t="str">
        <f>TEXT(Table1[[#This Row],[order_date]],"mmm")</f>
        <v>Jun</v>
      </c>
      <c r="P1623">
        <f>YEAR(Table1[[#This Row],[order_date]])</f>
        <v>2026</v>
      </c>
    </row>
    <row r="1624" spans="1:16" x14ac:dyDescent="0.3">
      <c r="A1624">
        <v>11623</v>
      </c>
      <c r="B1624" s="1">
        <v>46184</v>
      </c>
      <c r="C1624">
        <v>1178</v>
      </c>
      <c r="D1624" t="s">
        <v>12</v>
      </c>
      <c r="E1624" t="s">
        <v>13</v>
      </c>
      <c r="F1624">
        <v>3</v>
      </c>
      <c r="G1624">
        <v>206.35</v>
      </c>
      <c r="H1624">
        <v>0.08</v>
      </c>
      <c r="I1624" t="s">
        <v>18</v>
      </c>
      <c r="J1624">
        <v>3</v>
      </c>
      <c r="K1624">
        <v>1.5</v>
      </c>
      <c r="L1624">
        <v>569.53</v>
      </c>
      <c r="M1624">
        <f>(Table1[[#This Row],[unit_price]]*Table1[[#This Row],[quantity]])-(Table1[[#This Row],[unit_price]]*Table1[[#This Row],[discount]]*Table1[[#This Row],[quantity]])</f>
        <v>569.52599999999995</v>
      </c>
      <c r="N1624">
        <f>DAY(Table1[[#This Row],[order_date]])</f>
        <v>11</v>
      </c>
      <c r="O1624" t="str">
        <f>TEXT(Table1[[#This Row],[order_date]],"mmm")</f>
        <v>Jun</v>
      </c>
      <c r="P1624">
        <f>YEAR(Table1[[#This Row],[order_date]])</f>
        <v>2026</v>
      </c>
    </row>
    <row r="1625" spans="1:16" x14ac:dyDescent="0.3">
      <c r="A1625">
        <v>11624</v>
      </c>
      <c r="B1625" s="1">
        <v>46185</v>
      </c>
      <c r="C1625">
        <v>1181</v>
      </c>
      <c r="D1625" t="s">
        <v>15</v>
      </c>
      <c r="E1625" t="s">
        <v>21</v>
      </c>
      <c r="F1625">
        <v>1</v>
      </c>
      <c r="G1625">
        <v>207.5</v>
      </c>
      <c r="H1625">
        <v>0.32</v>
      </c>
      <c r="I1625" t="s">
        <v>16</v>
      </c>
      <c r="J1625">
        <v>3</v>
      </c>
      <c r="K1625">
        <v>2.6</v>
      </c>
      <c r="L1625">
        <v>141.1</v>
      </c>
      <c r="M1625">
        <f>(Table1[[#This Row],[unit_price]]*Table1[[#This Row],[quantity]])-(Table1[[#This Row],[unit_price]]*Table1[[#This Row],[discount]]*Table1[[#This Row],[quantity]])</f>
        <v>141.1</v>
      </c>
      <c r="N1625">
        <f>DAY(Table1[[#This Row],[order_date]])</f>
        <v>12</v>
      </c>
      <c r="O1625" t="str">
        <f>TEXT(Table1[[#This Row],[order_date]],"mmm")</f>
        <v>Jun</v>
      </c>
      <c r="P1625">
        <f>YEAR(Table1[[#This Row],[order_date]])</f>
        <v>2026</v>
      </c>
    </row>
    <row r="1626" spans="1:16" x14ac:dyDescent="0.3">
      <c r="A1626">
        <v>11625</v>
      </c>
      <c r="B1626" s="1">
        <v>46186</v>
      </c>
      <c r="C1626">
        <v>1663</v>
      </c>
      <c r="D1626" t="s">
        <v>22</v>
      </c>
      <c r="E1626" t="s">
        <v>21</v>
      </c>
      <c r="F1626">
        <v>4</v>
      </c>
      <c r="G1626">
        <v>364.94</v>
      </c>
      <c r="H1626">
        <v>0.2</v>
      </c>
      <c r="I1626" t="s">
        <v>14</v>
      </c>
      <c r="J1626">
        <v>5</v>
      </c>
      <c r="K1626">
        <v>2.4</v>
      </c>
      <c r="L1626">
        <v>1167.81</v>
      </c>
      <c r="M1626">
        <f>(Table1[[#This Row],[unit_price]]*Table1[[#This Row],[quantity]])-(Table1[[#This Row],[unit_price]]*Table1[[#This Row],[discount]]*Table1[[#This Row],[quantity]])</f>
        <v>1167.808</v>
      </c>
      <c r="N1626">
        <f>DAY(Table1[[#This Row],[order_date]])</f>
        <v>13</v>
      </c>
      <c r="O1626" t="str">
        <f>TEXT(Table1[[#This Row],[order_date]],"mmm")</f>
        <v>Jun</v>
      </c>
      <c r="P1626">
        <f>YEAR(Table1[[#This Row],[order_date]])</f>
        <v>2026</v>
      </c>
    </row>
    <row r="1627" spans="1:16" x14ac:dyDescent="0.3">
      <c r="A1627">
        <v>11626</v>
      </c>
      <c r="B1627" s="1">
        <v>46187</v>
      </c>
      <c r="C1627">
        <v>1024</v>
      </c>
      <c r="D1627" t="s">
        <v>15</v>
      </c>
      <c r="E1627" t="s">
        <v>20</v>
      </c>
      <c r="F1627">
        <v>1</v>
      </c>
      <c r="G1627">
        <v>122.38</v>
      </c>
      <c r="H1627">
        <v>0.04</v>
      </c>
      <c r="I1627" t="s">
        <v>16</v>
      </c>
      <c r="J1627">
        <v>11</v>
      </c>
      <c r="K1627">
        <v>4</v>
      </c>
      <c r="L1627">
        <v>117.48</v>
      </c>
      <c r="M1627">
        <f>(Table1[[#This Row],[unit_price]]*Table1[[#This Row],[quantity]])-(Table1[[#This Row],[unit_price]]*Table1[[#This Row],[discount]]*Table1[[#This Row],[quantity]])</f>
        <v>117.48479999999999</v>
      </c>
      <c r="N1627">
        <f>DAY(Table1[[#This Row],[order_date]])</f>
        <v>14</v>
      </c>
      <c r="O1627" t="str">
        <f>TEXT(Table1[[#This Row],[order_date]],"mmm")</f>
        <v>Jun</v>
      </c>
      <c r="P1627">
        <f>YEAR(Table1[[#This Row],[order_date]])</f>
        <v>2026</v>
      </c>
    </row>
    <row r="1628" spans="1:16" x14ac:dyDescent="0.3">
      <c r="A1628">
        <v>11627</v>
      </c>
      <c r="B1628" s="1">
        <v>46188</v>
      </c>
      <c r="C1628">
        <v>1966</v>
      </c>
      <c r="D1628" t="s">
        <v>19</v>
      </c>
      <c r="E1628" t="s">
        <v>17</v>
      </c>
      <c r="F1628">
        <v>2</v>
      </c>
      <c r="G1628">
        <v>181.66</v>
      </c>
      <c r="H1628">
        <v>7.0000000000000007E-2</v>
      </c>
      <c r="I1628" t="s">
        <v>18</v>
      </c>
      <c r="J1628">
        <v>6</v>
      </c>
      <c r="K1628">
        <v>3.6</v>
      </c>
      <c r="L1628">
        <v>337.89</v>
      </c>
      <c r="M1628">
        <f>(Table1[[#This Row],[unit_price]]*Table1[[#This Row],[quantity]])-(Table1[[#This Row],[unit_price]]*Table1[[#This Row],[discount]]*Table1[[#This Row],[quantity]])</f>
        <v>337.88760000000002</v>
      </c>
      <c r="N1628">
        <f>DAY(Table1[[#This Row],[order_date]])</f>
        <v>15</v>
      </c>
      <c r="O1628" t="str">
        <f>TEXT(Table1[[#This Row],[order_date]],"mmm")</f>
        <v>Jun</v>
      </c>
      <c r="P1628">
        <f>YEAR(Table1[[#This Row],[order_date]])</f>
        <v>2026</v>
      </c>
    </row>
    <row r="1629" spans="1:16" x14ac:dyDescent="0.3">
      <c r="A1629">
        <v>11628</v>
      </c>
      <c r="B1629" s="1">
        <v>46189</v>
      </c>
      <c r="C1629">
        <v>1179</v>
      </c>
      <c r="D1629" t="s">
        <v>19</v>
      </c>
      <c r="E1629" t="s">
        <v>17</v>
      </c>
      <c r="F1629">
        <v>3</v>
      </c>
      <c r="G1629">
        <v>258.73</v>
      </c>
      <c r="H1629">
        <v>0.35</v>
      </c>
      <c r="I1629" t="s">
        <v>16</v>
      </c>
      <c r="J1629">
        <v>8</v>
      </c>
      <c r="K1629">
        <v>4.7</v>
      </c>
      <c r="L1629">
        <v>504.52</v>
      </c>
      <c r="M1629">
        <f>(Table1[[#This Row],[unit_price]]*Table1[[#This Row],[quantity]])-(Table1[[#This Row],[unit_price]]*Table1[[#This Row],[discount]]*Table1[[#This Row],[quantity]])</f>
        <v>504.52350000000007</v>
      </c>
      <c r="N1629">
        <f>DAY(Table1[[#This Row],[order_date]])</f>
        <v>16</v>
      </c>
      <c r="O1629" t="str">
        <f>TEXT(Table1[[#This Row],[order_date]],"mmm")</f>
        <v>Jun</v>
      </c>
      <c r="P1629">
        <f>YEAR(Table1[[#This Row],[order_date]])</f>
        <v>2026</v>
      </c>
    </row>
    <row r="1630" spans="1:16" x14ac:dyDescent="0.3">
      <c r="A1630">
        <v>11629</v>
      </c>
      <c r="B1630" s="1">
        <v>46190</v>
      </c>
      <c r="C1630">
        <v>1709</v>
      </c>
      <c r="D1630" t="s">
        <v>19</v>
      </c>
      <c r="E1630" t="s">
        <v>20</v>
      </c>
      <c r="F1630">
        <v>7</v>
      </c>
      <c r="G1630">
        <v>221.88</v>
      </c>
      <c r="H1630">
        <v>7.0000000000000007E-2</v>
      </c>
      <c r="I1630" t="s">
        <v>18</v>
      </c>
      <c r="J1630">
        <v>1</v>
      </c>
      <c r="K1630">
        <v>4.7</v>
      </c>
      <c r="L1630">
        <v>1444.44</v>
      </c>
      <c r="M1630">
        <f>(Table1[[#This Row],[unit_price]]*Table1[[#This Row],[quantity]])-(Table1[[#This Row],[unit_price]]*Table1[[#This Row],[discount]]*Table1[[#This Row],[quantity]])</f>
        <v>1444.4387999999999</v>
      </c>
      <c r="N1630">
        <f>DAY(Table1[[#This Row],[order_date]])</f>
        <v>17</v>
      </c>
      <c r="O1630" t="str">
        <f>TEXT(Table1[[#This Row],[order_date]],"mmm")</f>
        <v>Jun</v>
      </c>
      <c r="P1630">
        <f>YEAR(Table1[[#This Row],[order_date]])</f>
        <v>2026</v>
      </c>
    </row>
    <row r="1631" spans="1:16" x14ac:dyDescent="0.3">
      <c r="A1631">
        <v>11630</v>
      </c>
      <c r="B1631" s="1">
        <v>46191</v>
      </c>
      <c r="C1631">
        <v>1500</v>
      </c>
      <c r="D1631" t="s">
        <v>15</v>
      </c>
      <c r="E1631" t="s">
        <v>21</v>
      </c>
      <c r="F1631">
        <v>7</v>
      </c>
      <c r="G1631">
        <v>322.05</v>
      </c>
      <c r="H1631">
        <v>0.21</v>
      </c>
      <c r="I1631" t="s">
        <v>16</v>
      </c>
      <c r="J1631">
        <v>7</v>
      </c>
      <c r="K1631">
        <v>3.9</v>
      </c>
      <c r="L1631">
        <v>1780.94</v>
      </c>
      <c r="M1631">
        <f>(Table1[[#This Row],[unit_price]]*Table1[[#This Row],[quantity]])-(Table1[[#This Row],[unit_price]]*Table1[[#This Row],[discount]]*Table1[[#This Row],[quantity]])</f>
        <v>1780.9364999999998</v>
      </c>
      <c r="N1631">
        <f>DAY(Table1[[#This Row],[order_date]])</f>
        <v>18</v>
      </c>
      <c r="O1631" t="str">
        <f>TEXT(Table1[[#This Row],[order_date]],"mmm")</f>
        <v>Jun</v>
      </c>
      <c r="P1631">
        <f>YEAR(Table1[[#This Row],[order_date]])</f>
        <v>2026</v>
      </c>
    </row>
    <row r="1632" spans="1:16" x14ac:dyDescent="0.3">
      <c r="A1632">
        <v>11631</v>
      </c>
      <c r="B1632" s="1">
        <v>46192</v>
      </c>
      <c r="C1632">
        <v>1855</v>
      </c>
      <c r="D1632" t="s">
        <v>15</v>
      </c>
      <c r="E1632" t="s">
        <v>13</v>
      </c>
      <c r="F1632">
        <v>7</v>
      </c>
      <c r="G1632">
        <v>365.79</v>
      </c>
      <c r="H1632">
        <v>0.15</v>
      </c>
      <c r="I1632" t="s">
        <v>18</v>
      </c>
      <c r="J1632">
        <v>8</v>
      </c>
      <c r="K1632">
        <v>4.0999999999999996</v>
      </c>
      <c r="L1632">
        <v>2176.4499999999998</v>
      </c>
      <c r="M1632">
        <f>(Table1[[#This Row],[unit_price]]*Table1[[#This Row],[quantity]])-(Table1[[#This Row],[unit_price]]*Table1[[#This Row],[discount]]*Table1[[#This Row],[quantity]])</f>
        <v>2176.4504999999999</v>
      </c>
      <c r="N1632">
        <f>DAY(Table1[[#This Row],[order_date]])</f>
        <v>19</v>
      </c>
      <c r="O1632" t="str">
        <f>TEXT(Table1[[#This Row],[order_date]],"mmm")</f>
        <v>Jun</v>
      </c>
      <c r="P1632">
        <f>YEAR(Table1[[#This Row],[order_date]])</f>
        <v>2026</v>
      </c>
    </row>
    <row r="1633" spans="1:16" x14ac:dyDescent="0.3">
      <c r="A1633">
        <v>11632</v>
      </c>
      <c r="B1633" s="1">
        <v>46193</v>
      </c>
      <c r="C1633">
        <v>1160</v>
      </c>
      <c r="D1633" t="s">
        <v>22</v>
      </c>
      <c r="E1633" t="s">
        <v>17</v>
      </c>
      <c r="F1633">
        <v>3</v>
      </c>
      <c r="G1633">
        <v>346.5</v>
      </c>
      <c r="H1633">
        <v>0.31</v>
      </c>
      <c r="I1633" t="s">
        <v>14</v>
      </c>
      <c r="J1633">
        <v>5</v>
      </c>
      <c r="K1633">
        <v>3.5</v>
      </c>
      <c r="L1633">
        <v>717.26</v>
      </c>
      <c r="M1633">
        <f>(Table1[[#This Row],[unit_price]]*Table1[[#This Row],[quantity]])-(Table1[[#This Row],[unit_price]]*Table1[[#This Row],[discount]]*Table1[[#This Row],[quantity]])</f>
        <v>717.255</v>
      </c>
      <c r="N1633">
        <f>DAY(Table1[[#This Row],[order_date]])</f>
        <v>20</v>
      </c>
      <c r="O1633" t="str">
        <f>TEXT(Table1[[#This Row],[order_date]],"mmm")</f>
        <v>Jun</v>
      </c>
      <c r="P1633">
        <f>YEAR(Table1[[#This Row],[order_date]])</f>
        <v>2026</v>
      </c>
    </row>
    <row r="1634" spans="1:16" x14ac:dyDescent="0.3">
      <c r="A1634">
        <v>11633</v>
      </c>
      <c r="B1634" s="1">
        <v>46194</v>
      </c>
      <c r="C1634">
        <v>1176</v>
      </c>
      <c r="D1634" t="s">
        <v>19</v>
      </c>
      <c r="E1634" t="s">
        <v>20</v>
      </c>
      <c r="F1634">
        <v>7</v>
      </c>
      <c r="G1634">
        <v>397.69</v>
      </c>
      <c r="H1634">
        <v>0.26</v>
      </c>
      <c r="I1634" t="s">
        <v>16</v>
      </c>
      <c r="J1634">
        <v>10</v>
      </c>
      <c r="K1634">
        <v>3.8</v>
      </c>
      <c r="L1634">
        <v>2060.0300000000002</v>
      </c>
      <c r="M1634">
        <f>(Table1[[#This Row],[unit_price]]*Table1[[#This Row],[quantity]])-(Table1[[#This Row],[unit_price]]*Table1[[#This Row],[discount]]*Table1[[#This Row],[quantity]])</f>
        <v>2060.0342000000001</v>
      </c>
      <c r="N1634">
        <f>DAY(Table1[[#This Row],[order_date]])</f>
        <v>21</v>
      </c>
      <c r="O1634" t="str">
        <f>TEXT(Table1[[#This Row],[order_date]],"mmm")</f>
        <v>Jun</v>
      </c>
      <c r="P1634">
        <f>YEAR(Table1[[#This Row],[order_date]])</f>
        <v>2026</v>
      </c>
    </row>
    <row r="1635" spans="1:16" x14ac:dyDescent="0.3">
      <c r="A1635">
        <v>11634</v>
      </c>
      <c r="B1635" s="1">
        <v>46195</v>
      </c>
      <c r="C1635">
        <v>1284</v>
      </c>
      <c r="D1635" t="s">
        <v>19</v>
      </c>
      <c r="E1635" t="s">
        <v>13</v>
      </c>
      <c r="F1635">
        <v>2</v>
      </c>
      <c r="G1635">
        <v>195.03</v>
      </c>
      <c r="H1635">
        <v>0.21</v>
      </c>
      <c r="I1635" t="s">
        <v>16</v>
      </c>
      <c r="J1635">
        <v>2</v>
      </c>
      <c r="K1635">
        <v>3.5</v>
      </c>
      <c r="L1635">
        <v>308.14999999999998</v>
      </c>
      <c r="M1635">
        <f>(Table1[[#This Row],[unit_price]]*Table1[[#This Row],[quantity]])-(Table1[[#This Row],[unit_price]]*Table1[[#This Row],[discount]]*Table1[[#This Row],[quantity]])</f>
        <v>308.1474</v>
      </c>
      <c r="N1635">
        <f>DAY(Table1[[#This Row],[order_date]])</f>
        <v>22</v>
      </c>
      <c r="O1635" t="str">
        <f>TEXT(Table1[[#This Row],[order_date]],"mmm")</f>
        <v>Jun</v>
      </c>
      <c r="P1635">
        <f>YEAR(Table1[[#This Row],[order_date]])</f>
        <v>2026</v>
      </c>
    </row>
    <row r="1636" spans="1:16" x14ac:dyDescent="0.3">
      <c r="A1636">
        <v>11635</v>
      </c>
      <c r="B1636" s="1">
        <v>46196</v>
      </c>
      <c r="C1636">
        <v>1062</v>
      </c>
      <c r="D1636" t="s">
        <v>12</v>
      </c>
      <c r="E1636" t="s">
        <v>20</v>
      </c>
      <c r="F1636">
        <v>3</v>
      </c>
      <c r="G1636">
        <v>88.96</v>
      </c>
      <c r="H1636">
        <v>0</v>
      </c>
      <c r="I1636" t="s">
        <v>18</v>
      </c>
      <c r="J1636">
        <v>4</v>
      </c>
      <c r="K1636">
        <v>2.2000000000000002</v>
      </c>
      <c r="L1636">
        <v>266.88</v>
      </c>
      <c r="M1636">
        <f>(Table1[[#This Row],[unit_price]]*Table1[[#This Row],[quantity]])-(Table1[[#This Row],[unit_price]]*Table1[[#This Row],[discount]]*Table1[[#This Row],[quantity]])</f>
        <v>266.88</v>
      </c>
      <c r="N1636">
        <f>DAY(Table1[[#This Row],[order_date]])</f>
        <v>23</v>
      </c>
      <c r="O1636" t="str">
        <f>TEXT(Table1[[#This Row],[order_date]],"mmm")</f>
        <v>Jun</v>
      </c>
      <c r="P1636">
        <f>YEAR(Table1[[#This Row],[order_date]])</f>
        <v>2026</v>
      </c>
    </row>
    <row r="1637" spans="1:16" x14ac:dyDescent="0.3">
      <c r="A1637">
        <v>11636</v>
      </c>
      <c r="B1637" s="1">
        <v>46197</v>
      </c>
      <c r="C1637">
        <v>1661</v>
      </c>
      <c r="D1637" t="s">
        <v>19</v>
      </c>
      <c r="E1637" t="s">
        <v>20</v>
      </c>
      <c r="F1637">
        <v>7</v>
      </c>
      <c r="G1637">
        <v>460.07</v>
      </c>
      <c r="H1637">
        <v>0.31</v>
      </c>
      <c r="I1637" t="s">
        <v>18</v>
      </c>
      <c r="J1637">
        <v>6</v>
      </c>
      <c r="K1637">
        <v>2.4</v>
      </c>
      <c r="L1637">
        <v>2222.14</v>
      </c>
      <c r="M1637">
        <f>(Table1[[#This Row],[unit_price]]*Table1[[#This Row],[quantity]])-(Table1[[#This Row],[unit_price]]*Table1[[#This Row],[discount]]*Table1[[#This Row],[quantity]])</f>
        <v>2222.1380999999997</v>
      </c>
      <c r="N1637">
        <f>DAY(Table1[[#This Row],[order_date]])</f>
        <v>24</v>
      </c>
      <c r="O1637" t="str">
        <f>TEXT(Table1[[#This Row],[order_date]],"mmm")</f>
        <v>Jun</v>
      </c>
      <c r="P1637">
        <f>YEAR(Table1[[#This Row],[order_date]])</f>
        <v>2026</v>
      </c>
    </row>
    <row r="1638" spans="1:16" x14ac:dyDescent="0.3">
      <c r="A1638">
        <v>11637</v>
      </c>
      <c r="B1638" s="1">
        <v>46198</v>
      </c>
      <c r="C1638">
        <v>1665</v>
      </c>
      <c r="D1638" t="s">
        <v>15</v>
      </c>
      <c r="E1638" t="s">
        <v>20</v>
      </c>
      <c r="F1638">
        <v>3</v>
      </c>
      <c r="G1638">
        <v>512.71</v>
      </c>
      <c r="H1638">
        <v>0.16</v>
      </c>
      <c r="I1638" t="s">
        <v>16</v>
      </c>
      <c r="J1638">
        <v>9</v>
      </c>
      <c r="K1638">
        <v>3.3</v>
      </c>
      <c r="L1638">
        <v>1292.03</v>
      </c>
      <c r="M1638">
        <f>(Table1[[#This Row],[unit_price]]*Table1[[#This Row],[quantity]])-(Table1[[#This Row],[unit_price]]*Table1[[#This Row],[discount]]*Table1[[#This Row],[quantity]])</f>
        <v>1292.0292000000002</v>
      </c>
      <c r="N1638">
        <f>DAY(Table1[[#This Row],[order_date]])</f>
        <v>25</v>
      </c>
      <c r="O1638" t="str">
        <f>TEXT(Table1[[#This Row],[order_date]],"mmm")</f>
        <v>Jun</v>
      </c>
      <c r="P1638">
        <f>YEAR(Table1[[#This Row],[order_date]])</f>
        <v>2026</v>
      </c>
    </row>
    <row r="1639" spans="1:16" x14ac:dyDescent="0.3">
      <c r="A1639">
        <v>11638</v>
      </c>
      <c r="B1639" s="1">
        <v>46199</v>
      </c>
      <c r="C1639">
        <v>1155</v>
      </c>
      <c r="D1639" t="s">
        <v>15</v>
      </c>
      <c r="E1639" t="s">
        <v>21</v>
      </c>
      <c r="F1639">
        <v>6</v>
      </c>
      <c r="G1639">
        <v>165.35</v>
      </c>
      <c r="H1639">
        <v>0.33</v>
      </c>
      <c r="I1639" t="s">
        <v>18</v>
      </c>
      <c r="J1639">
        <v>2</v>
      </c>
      <c r="K1639">
        <v>3.9</v>
      </c>
      <c r="L1639">
        <v>664.71</v>
      </c>
      <c r="M1639">
        <f>(Table1[[#This Row],[unit_price]]*Table1[[#This Row],[quantity]])-(Table1[[#This Row],[unit_price]]*Table1[[#This Row],[discount]]*Table1[[#This Row],[quantity]])</f>
        <v>664.70699999999988</v>
      </c>
      <c r="N1639">
        <f>DAY(Table1[[#This Row],[order_date]])</f>
        <v>26</v>
      </c>
      <c r="O1639" t="str">
        <f>TEXT(Table1[[#This Row],[order_date]],"mmm")</f>
        <v>Jun</v>
      </c>
      <c r="P1639">
        <f>YEAR(Table1[[#This Row],[order_date]])</f>
        <v>2026</v>
      </c>
    </row>
    <row r="1640" spans="1:16" x14ac:dyDescent="0.3">
      <c r="A1640">
        <v>11639</v>
      </c>
      <c r="B1640" s="1">
        <v>46200</v>
      </c>
      <c r="C1640">
        <v>1881</v>
      </c>
      <c r="D1640" t="s">
        <v>15</v>
      </c>
      <c r="E1640" t="s">
        <v>21</v>
      </c>
      <c r="F1640">
        <v>3</v>
      </c>
      <c r="G1640">
        <v>253.15</v>
      </c>
      <c r="H1640">
        <v>0.17</v>
      </c>
      <c r="I1640" t="s">
        <v>16</v>
      </c>
      <c r="J1640">
        <v>4</v>
      </c>
      <c r="K1640">
        <v>2.6</v>
      </c>
      <c r="L1640">
        <v>630.34</v>
      </c>
      <c r="M1640">
        <f>(Table1[[#This Row],[unit_price]]*Table1[[#This Row],[quantity]])-(Table1[[#This Row],[unit_price]]*Table1[[#This Row],[discount]]*Table1[[#This Row],[quantity]])</f>
        <v>630.34350000000006</v>
      </c>
      <c r="N1640">
        <f>DAY(Table1[[#This Row],[order_date]])</f>
        <v>27</v>
      </c>
      <c r="O1640" t="str">
        <f>TEXT(Table1[[#This Row],[order_date]],"mmm")</f>
        <v>Jun</v>
      </c>
      <c r="P1640">
        <f>YEAR(Table1[[#This Row],[order_date]])</f>
        <v>2026</v>
      </c>
    </row>
    <row r="1641" spans="1:16" x14ac:dyDescent="0.3">
      <c r="A1641">
        <v>11640</v>
      </c>
      <c r="B1641" s="1">
        <v>46201</v>
      </c>
      <c r="C1641">
        <v>1468</v>
      </c>
      <c r="D1641" t="s">
        <v>19</v>
      </c>
      <c r="E1641" t="s">
        <v>20</v>
      </c>
      <c r="F1641">
        <v>2</v>
      </c>
      <c r="G1641">
        <v>306.66000000000003</v>
      </c>
      <c r="H1641">
        <v>0.24</v>
      </c>
      <c r="I1641" t="s">
        <v>16</v>
      </c>
      <c r="J1641">
        <v>10</v>
      </c>
      <c r="K1641">
        <v>1.6</v>
      </c>
      <c r="L1641">
        <v>466.12</v>
      </c>
      <c r="M1641">
        <f>(Table1[[#This Row],[unit_price]]*Table1[[#This Row],[quantity]])-(Table1[[#This Row],[unit_price]]*Table1[[#This Row],[discount]]*Table1[[#This Row],[quantity]])</f>
        <v>466.12320000000005</v>
      </c>
      <c r="N1641">
        <f>DAY(Table1[[#This Row],[order_date]])</f>
        <v>28</v>
      </c>
      <c r="O1641" t="str">
        <f>TEXT(Table1[[#This Row],[order_date]],"mmm")</f>
        <v>Jun</v>
      </c>
      <c r="P1641">
        <f>YEAR(Table1[[#This Row],[order_date]])</f>
        <v>2026</v>
      </c>
    </row>
    <row r="1642" spans="1:16" x14ac:dyDescent="0.3">
      <c r="A1642">
        <v>11641</v>
      </c>
      <c r="B1642" s="1">
        <v>46202</v>
      </c>
      <c r="C1642">
        <v>1048</v>
      </c>
      <c r="D1642" t="s">
        <v>19</v>
      </c>
      <c r="E1642" t="s">
        <v>17</v>
      </c>
      <c r="F1642">
        <v>1</v>
      </c>
      <c r="G1642">
        <v>327</v>
      </c>
      <c r="H1642">
        <v>0.02</v>
      </c>
      <c r="I1642" t="s">
        <v>16</v>
      </c>
      <c r="J1642">
        <v>5</v>
      </c>
      <c r="K1642">
        <v>2.8</v>
      </c>
      <c r="L1642">
        <v>320.45999999999998</v>
      </c>
      <c r="M1642">
        <f>(Table1[[#This Row],[unit_price]]*Table1[[#This Row],[quantity]])-(Table1[[#This Row],[unit_price]]*Table1[[#This Row],[discount]]*Table1[[#This Row],[quantity]])</f>
        <v>320.45999999999998</v>
      </c>
      <c r="N1642">
        <f>DAY(Table1[[#This Row],[order_date]])</f>
        <v>29</v>
      </c>
      <c r="O1642" t="str">
        <f>TEXT(Table1[[#This Row],[order_date]],"mmm")</f>
        <v>Jun</v>
      </c>
      <c r="P1642">
        <f>YEAR(Table1[[#This Row],[order_date]])</f>
        <v>2026</v>
      </c>
    </row>
    <row r="1643" spans="1:16" x14ac:dyDescent="0.3">
      <c r="A1643">
        <v>11642</v>
      </c>
      <c r="B1643" s="1">
        <v>46203</v>
      </c>
      <c r="C1643">
        <v>1966</v>
      </c>
      <c r="D1643" t="s">
        <v>19</v>
      </c>
      <c r="E1643" t="s">
        <v>13</v>
      </c>
      <c r="F1643">
        <v>3</v>
      </c>
      <c r="G1643">
        <v>400.8</v>
      </c>
      <c r="H1643">
        <v>0.26</v>
      </c>
      <c r="I1643" t="s">
        <v>14</v>
      </c>
      <c r="J1643">
        <v>8</v>
      </c>
      <c r="K1643">
        <v>4.9000000000000004</v>
      </c>
      <c r="L1643">
        <v>889.78</v>
      </c>
      <c r="M1643">
        <f>(Table1[[#This Row],[unit_price]]*Table1[[#This Row],[quantity]])-(Table1[[#This Row],[unit_price]]*Table1[[#This Row],[discount]]*Table1[[#This Row],[quantity]])</f>
        <v>889.77600000000007</v>
      </c>
      <c r="N1643">
        <f>DAY(Table1[[#This Row],[order_date]])</f>
        <v>30</v>
      </c>
      <c r="O1643" t="str">
        <f>TEXT(Table1[[#This Row],[order_date]],"mmm")</f>
        <v>Jun</v>
      </c>
      <c r="P1643">
        <f>YEAR(Table1[[#This Row],[order_date]])</f>
        <v>2026</v>
      </c>
    </row>
    <row r="1644" spans="1:16" x14ac:dyDescent="0.3">
      <c r="A1644">
        <v>11643</v>
      </c>
      <c r="B1644" s="1">
        <v>46204</v>
      </c>
      <c r="C1644">
        <v>1848</v>
      </c>
      <c r="D1644" t="s">
        <v>15</v>
      </c>
      <c r="E1644" t="s">
        <v>17</v>
      </c>
      <c r="F1644">
        <v>4</v>
      </c>
      <c r="G1644">
        <v>39.340000000000003</v>
      </c>
      <c r="H1644">
        <v>0.12</v>
      </c>
      <c r="I1644" t="s">
        <v>18</v>
      </c>
      <c r="J1644">
        <v>8</v>
      </c>
      <c r="K1644">
        <v>1.9</v>
      </c>
      <c r="L1644">
        <v>138.47999999999999</v>
      </c>
      <c r="M1644">
        <f>(Table1[[#This Row],[unit_price]]*Table1[[#This Row],[quantity]])-(Table1[[#This Row],[unit_price]]*Table1[[#This Row],[discount]]*Table1[[#This Row],[quantity]])</f>
        <v>138.47680000000003</v>
      </c>
      <c r="N1644">
        <f>DAY(Table1[[#This Row],[order_date]])</f>
        <v>1</v>
      </c>
      <c r="O1644" t="str">
        <f>TEXT(Table1[[#This Row],[order_date]],"mmm")</f>
        <v>Jul</v>
      </c>
      <c r="P1644">
        <f>YEAR(Table1[[#This Row],[order_date]])</f>
        <v>2026</v>
      </c>
    </row>
    <row r="1645" spans="1:16" x14ac:dyDescent="0.3">
      <c r="A1645">
        <v>11644</v>
      </c>
      <c r="B1645" s="1">
        <v>46205</v>
      </c>
      <c r="C1645">
        <v>1083</v>
      </c>
      <c r="D1645" t="s">
        <v>15</v>
      </c>
      <c r="E1645" t="s">
        <v>21</v>
      </c>
      <c r="F1645">
        <v>2</v>
      </c>
      <c r="G1645">
        <v>437.06</v>
      </c>
      <c r="H1645">
        <v>0.12</v>
      </c>
      <c r="I1645" t="s">
        <v>18</v>
      </c>
      <c r="J1645">
        <v>2</v>
      </c>
      <c r="K1645">
        <v>3.6</v>
      </c>
      <c r="L1645">
        <v>769.23</v>
      </c>
      <c r="M1645">
        <f>(Table1[[#This Row],[unit_price]]*Table1[[#This Row],[quantity]])-(Table1[[#This Row],[unit_price]]*Table1[[#This Row],[discount]]*Table1[[#This Row],[quantity]])</f>
        <v>769.22559999999999</v>
      </c>
      <c r="N1645">
        <f>DAY(Table1[[#This Row],[order_date]])</f>
        <v>2</v>
      </c>
      <c r="O1645" t="str">
        <f>TEXT(Table1[[#This Row],[order_date]],"mmm")</f>
        <v>Jul</v>
      </c>
      <c r="P1645">
        <f>YEAR(Table1[[#This Row],[order_date]])</f>
        <v>2026</v>
      </c>
    </row>
    <row r="1646" spans="1:16" x14ac:dyDescent="0.3">
      <c r="A1646">
        <v>11645</v>
      </c>
      <c r="B1646" s="1">
        <v>46206</v>
      </c>
      <c r="C1646">
        <v>1360</v>
      </c>
      <c r="D1646" t="s">
        <v>19</v>
      </c>
      <c r="E1646" t="s">
        <v>13</v>
      </c>
      <c r="F1646">
        <v>5</v>
      </c>
      <c r="G1646">
        <v>51.25</v>
      </c>
      <c r="H1646">
        <v>0.04</v>
      </c>
      <c r="I1646" t="s">
        <v>14</v>
      </c>
      <c r="J1646">
        <v>6</v>
      </c>
      <c r="K1646">
        <v>4.9000000000000004</v>
      </c>
      <c r="L1646">
        <v>246</v>
      </c>
      <c r="M1646">
        <f>(Table1[[#This Row],[unit_price]]*Table1[[#This Row],[quantity]])-(Table1[[#This Row],[unit_price]]*Table1[[#This Row],[discount]]*Table1[[#This Row],[quantity]])</f>
        <v>246</v>
      </c>
      <c r="N1646">
        <f>DAY(Table1[[#This Row],[order_date]])</f>
        <v>3</v>
      </c>
      <c r="O1646" t="str">
        <f>TEXT(Table1[[#This Row],[order_date]],"mmm")</f>
        <v>Jul</v>
      </c>
      <c r="P1646">
        <f>YEAR(Table1[[#This Row],[order_date]])</f>
        <v>2026</v>
      </c>
    </row>
    <row r="1647" spans="1:16" x14ac:dyDescent="0.3">
      <c r="A1647">
        <v>11646</v>
      </c>
      <c r="B1647" s="1">
        <v>46207</v>
      </c>
      <c r="C1647">
        <v>1688</v>
      </c>
      <c r="D1647" t="s">
        <v>15</v>
      </c>
      <c r="E1647" t="s">
        <v>20</v>
      </c>
      <c r="F1647">
        <v>6</v>
      </c>
      <c r="G1647">
        <v>288.95</v>
      </c>
      <c r="H1647">
        <v>0.05</v>
      </c>
      <c r="I1647" t="s">
        <v>16</v>
      </c>
      <c r="J1647">
        <v>6</v>
      </c>
      <c r="K1647">
        <v>2.5</v>
      </c>
      <c r="L1647">
        <v>1647.01</v>
      </c>
      <c r="M1647">
        <f>(Table1[[#This Row],[unit_price]]*Table1[[#This Row],[quantity]])-(Table1[[#This Row],[unit_price]]*Table1[[#This Row],[discount]]*Table1[[#This Row],[quantity]])</f>
        <v>1647.0149999999999</v>
      </c>
      <c r="N1647">
        <f>DAY(Table1[[#This Row],[order_date]])</f>
        <v>4</v>
      </c>
      <c r="O1647" t="str">
        <f>TEXT(Table1[[#This Row],[order_date]],"mmm")</f>
        <v>Jul</v>
      </c>
      <c r="P1647">
        <f>YEAR(Table1[[#This Row],[order_date]])</f>
        <v>2026</v>
      </c>
    </row>
    <row r="1648" spans="1:16" x14ac:dyDescent="0.3">
      <c r="A1648">
        <v>11647</v>
      </c>
      <c r="B1648" s="1">
        <v>46208</v>
      </c>
      <c r="C1648">
        <v>1147</v>
      </c>
      <c r="D1648" t="s">
        <v>22</v>
      </c>
      <c r="E1648" t="s">
        <v>17</v>
      </c>
      <c r="F1648">
        <v>2</v>
      </c>
      <c r="G1648">
        <v>499.19</v>
      </c>
      <c r="H1648">
        <v>7.0000000000000007E-2</v>
      </c>
      <c r="I1648" t="s">
        <v>18</v>
      </c>
      <c r="J1648">
        <v>5</v>
      </c>
      <c r="K1648">
        <v>4.5999999999999996</v>
      </c>
      <c r="L1648">
        <v>928.49</v>
      </c>
      <c r="M1648">
        <f>(Table1[[#This Row],[unit_price]]*Table1[[#This Row],[quantity]])-(Table1[[#This Row],[unit_price]]*Table1[[#This Row],[discount]]*Table1[[#This Row],[quantity]])</f>
        <v>928.49339999999995</v>
      </c>
      <c r="N1648">
        <f>DAY(Table1[[#This Row],[order_date]])</f>
        <v>5</v>
      </c>
      <c r="O1648" t="str">
        <f>TEXT(Table1[[#This Row],[order_date]],"mmm")</f>
        <v>Jul</v>
      </c>
      <c r="P1648">
        <f>YEAR(Table1[[#This Row],[order_date]])</f>
        <v>2026</v>
      </c>
    </row>
    <row r="1649" spans="1:16" x14ac:dyDescent="0.3">
      <c r="A1649">
        <v>11648</v>
      </c>
      <c r="B1649" s="1">
        <v>46209</v>
      </c>
      <c r="C1649">
        <v>1629</v>
      </c>
      <c r="D1649" t="s">
        <v>19</v>
      </c>
      <c r="E1649" t="s">
        <v>17</v>
      </c>
      <c r="F1649">
        <v>1</v>
      </c>
      <c r="G1649">
        <v>278.95999999999998</v>
      </c>
      <c r="H1649">
        <v>0.11</v>
      </c>
      <c r="I1649" t="s">
        <v>14</v>
      </c>
      <c r="J1649">
        <v>8</v>
      </c>
      <c r="K1649">
        <v>4.5</v>
      </c>
      <c r="L1649">
        <v>248.27</v>
      </c>
      <c r="M1649">
        <f>(Table1[[#This Row],[unit_price]]*Table1[[#This Row],[quantity]])-(Table1[[#This Row],[unit_price]]*Table1[[#This Row],[discount]]*Table1[[#This Row],[quantity]])</f>
        <v>248.27439999999999</v>
      </c>
      <c r="N1649">
        <f>DAY(Table1[[#This Row],[order_date]])</f>
        <v>6</v>
      </c>
      <c r="O1649" t="str">
        <f>TEXT(Table1[[#This Row],[order_date]],"mmm")</f>
        <v>Jul</v>
      </c>
      <c r="P1649">
        <f>YEAR(Table1[[#This Row],[order_date]])</f>
        <v>2026</v>
      </c>
    </row>
    <row r="1650" spans="1:16" x14ac:dyDescent="0.3">
      <c r="A1650">
        <v>11649</v>
      </c>
      <c r="B1650" s="1">
        <v>46210</v>
      </c>
      <c r="C1650">
        <v>1341</v>
      </c>
      <c r="D1650" t="s">
        <v>15</v>
      </c>
      <c r="E1650" t="s">
        <v>20</v>
      </c>
      <c r="F1650">
        <v>7</v>
      </c>
      <c r="G1650">
        <v>102.22</v>
      </c>
      <c r="H1650">
        <v>0.31</v>
      </c>
      <c r="I1650" t="s">
        <v>16</v>
      </c>
      <c r="J1650">
        <v>10</v>
      </c>
      <c r="K1650">
        <v>2.4</v>
      </c>
      <c r="L1650">
        <v>493.72</v>
      </c>
      <c r="M1650">
        <f>(Table1[[#This Row],[unit_price]]*Table1[[#This Row],[quantity]])-(Table1[[#This Row],[unit_price]]*Table1[[#This Row],[discount]]*Table1[[#This Row],[quantity]])</f>
        <v>493.72259999999994</v>
      </c>
      <c r="N1650">
        <f>DAY(Table1[[#This Row],[order_date]])</f>
        <v>7</v>
      </c>
      <c r="O1650" t="str">
        <f>TEXT(Table1[[#This Row],[order_date]],"mmm")</f>
        <v>Jul</v>
      </c>
      <c r="P1650">
        <f>YEAR(Table1[[#This Row],[order_date]])</f>
        <v>2026</v>
      </c>
    </row>
    <row r="1651" spans="1:16" x14ac:dyDescent="0.3">
      <c r="A1651">
        <v>11650</v>
      </c>
      <c r="B1651" s="1">
        <v>46211</v>
      </c>
      <c r="C1651">
        <v>1475</v>
      </c>
      <c r="D1651" t="s">
        <v>22</v>
      </c>
      <c r="E1651" t="s">
        <v>17</v>
      </c>
      <c r="F1651">
        <v>7</v>
      </c>
      <c r="G1651">
        <v>591.24</v>
      </c>
      <c r="H1651">
        <v>0.13</v>
      </c>
      <c r="I1651" t="s">
        <v>16</v>
      </c>
      <c r="J1651">
        <v>2</v>
      </c>
      <c r="K1651">
        <v>1.4</v>
      </c>
      <c r="L1651">
        <v>3600.65</v>
      </c>
      <c r="M1651">
        <f>(Table1[[#This Row],[unit_price]]*Table1[[#This Row],[quantity]])-(Table1[[#This Row],[unit_price]]*Table1[[#This Row],[discount]]*Table1[[#This Row],[quantity]])</f>
        <v>3600.6516000000001</v>
      </c>
      <c r="N1651">
        <f>DAY(Table1[[#This Row],[order_date]])</f>
        <v>8</v>
      </c>
      <c r="O1651" t="str">
        <f>TEXT(Table1[[#This Row],[order_date]],"mmm")</f>
        <v>Jul</v>
      </c>
      <c r="P1651">
        <f>YEAR(Table1[[#This Row],[order_date]])</f>
        <v>2026</v>
      </c>
    </row>
    <row r="1652" spans="1:16" x14ac:dyDescent="0.3">
      <c r="A1652">
        <v>11651</v>
      </c>
      <c r="B1652" s="1">
        <v>46212</v>
      </c>
      <c r="C1652">
        <v>1062</v>
      </c>
      <c r="D1652" t="s">
        <v>19</v>
      </c>
      <c r="E1652" t="s">
        <v>21</v>
      </c>
      <c r="F1652">
        <v>2</v>
      </c>
      <c r="G1652">
        <v>535.23</v>
      </c>
      <c r="H1652">
        <v>0.25</v>
      </c>
      <c r="I1652" t="s">
        <v>14</v>
      </c>
      <c r="J1652">
        <v>2</v>
      </c>
      <c r="K1652">
        <v>1.7</v>
      </c>
      <c r="L1652">
        <v>802.84</v>
      </c>
      <c r="M1652">
        <f>(Table1[[#This Row],[unit_price]]*Table1[[#This Row],[quantity]])-(Table1[[#This Row],[unit_price]]*Table1[[#This Row],[discount]]*Table1[[#This Row],[quantity]])</f>
        <v>802.84500000000003</v>
      </c>
      <c r="N1652">
        <f>DAY(Table1[[#This Row],[order_date]])</f>
        <v>9</v>
      </c>
      <c r="O1652" t="str">
        <f>TEXT(Table1[[#This Row],[order_date]],"mmm")</f>
        <v>Jul</v>
      </c>
      <c r="P1652">
        <f>YEAR(Table1[[#This Row],[order_date]])</f>
        <v>2026</v>
      </c>
    </row>
    <row r="1653" spans="1:16" x14ac:dyDescent="0.3">
      <c r="A1653">
        <v>11652</v>
      </c>
      <c r="B1653" s="1">
        <v>46213</v>
      </c>
      <c r="C1653">
        <v>1700</v>
      </c>
      <c r="D1653" t="s">
        <v>19</v>
      </c>
      <c r="E1653" t="s">
        <v>20</v>
      </c>
      <c r="F1653">
        <v>5</v>
      </c>
      <c r="G1653">
        <v>466.22</v>
      </c>
      <c r="H1653">
        <v>0.03</v>
      </c>
      <c r="I1653" t="s">
        <v>14</v>
      </c>
      <c r="J1653">
        <v>7</v>
      </c>
      <c r="K1653">
        <v>2.5</v>
      </c>
      <c r="L1653">
        <v>2261.17</v>
      </c>
      <c r="M1653">
        <f>(Table1[[#This Row],[unit_price]]*Table1[[#This Row],[quantity]])-(Table1[[#This Row],[unit_price]]*Table1[[#This Row],[discount]]*Table1[[#This Row],[quantity]])</f>
        <v>2261.1670000000004</v>
      </c>
      <c r="N1653">
        <f>DAY(Table1[[#This Row],[order_date]])</f>
        <v>10</v>
      </c>
      <c r="O1653" t="str">
        <f>TEXT(Table1[[#This Row],[order_date]],"mmm")</f>
        <v>Jul</v>
      </c>
      <c r="P1653">
        <f>YEAR(Table1[[#This Row],[order_date]])</f>
        <v>2026</v>
      </c>
    </row>
    <row r="1654" spans="1:16" x14ac:dyDescent="0.3">
      <c r="A1654">
        <v>11653</v>
      </c>
      <c r="B1654" s="1">
        <v>46214</v>
      </c>
      <c r="C1654">
        <v>1359</v>
      </c>
      <c r="D1654" t="s">
        <v>15</v>
      </c>
      <c r="E1654" t="s">
        <v>17</v>
      </c>
      <c r="F1654">
        <v>7</v>
      </c>
      <c r="G1654">
        <v>255.73</v>
      </c>
      <c r="H1654">
        <v>0.21</v>
      </c>
      <c r="I1654" t="s">
        <v>16</v>
      </c>
      <c r="J1654">
        <v>9</v>
      </c>
      <c r="K1654">
        <v>4.8</v>
      </c>
      <c r="L1654">
        <v>1414.19</v>
      </c>
      <c r="M1654">
        <f>(Table1[[#This Row],[unit_price]]*Table1[[#This Row],[quantity]])-(Table1[[#This Row],[unit_price]]*Table1[[#This Row],[discount]]*Table1[[#This Row],[quantity]])</f>
        <v>1414.1868999999999</v>
      </c>
      <c r="N1654">
        <f>DAY(Table1[[#This Row],[order_date]])</f>
        <v>11</v>
      </c>
      <c r="O1654" t="str">
        <f>TEXT(Table1[[#This Row],[order_date]],"mmm")</f>
        <v>Jul</v>
      </c>
      <c r="P1654">
        <f>YEAR(Table1[[#This Row],[order_date]])</f>
        <v>2026</v>
      </c>
    </row>
    <row r="1655" spans="1:16" x14ac:dyDescent="0.3">
      <c r="A1655">
        <v>11654</v>
      </c>
      <c r="B1655" s="1">
        <v>46215</v>
      </c>
      <c r="C1655">
        <v>1560</v>
      </c>
      <c r="D1655" t="s">
        <v>12</v>
      </c>
      <c r="E1655" t="s">
        <v>20</v>
      </c>
      <c r="F1655">
        <v>6</v>
      </c>
      <c r="G1655">
        <v>122.55</v>
      </c>
      <c r="H1655">
        <v>0.17</v>
      </c>
      <c r="I1655" t="s">
        <v>16</v>
      </c>
      <c r="J1655">
        <v>3</v>
      </c>
      <c r="K1655">
        <v>2.1</v>
      </c>
      <c r="L1655">
        <v>610.29999999999995</v>
      </c>
      <c r="M1655">
        <f>(Table1[[#This Row],[unit_price]]*Table1[[#This Row],[quantity]])-(Table1[[#This Row],[unit_price]]*Table1[[#This Row],[discount]]*Table1[[#This Row],[quantity]])</f>
        <v>610.29899999999998</v>
      </c>
      <c r="N1655">
        <f>DAY(Table1[[#This Row],[order_date]])</f>
        <v>12</v>
      </c>
      <c r="O1655" t="str">
        <f>TEXT(Table1[[#This Row],[order_date]],"mmm")</f>
        <v>Jul</v>
      </c>
      <c r="P1655">
        <f>YEAR(Table1[[#This Row],[order_date]])</f>
        <v>2026</v>
      </c>
    </row>
    <row r="1656" spans="1:16" x14ac:dyDescent="0.3">
      <c r="A1656">
        <v>11655</v>
      </c>
      <c r="B1656" s="1">
        <v>46216</v>
      </c>
      <c r="C1656">
        <v>1326</v>
      </c>
      <c r="D1656" t="s">
        <v>22</v>
      </c>
      <c r="E1656" t="s">
        <v>13</v>
      </c>
      <c r="F1656">
        <v>4</v>
      </c>
      <c r="G1656">
        <v>565.73</v>
      </c>
      <c r="H1656">
        <v>0.34</v>
      </c>
      <c r="I1656" t="s">
        <v>16</v>
      </c>
      <c r="J1656">
        <v>7</v>
      </c>
      <c r="K1656">
        <v>4.7</v>
      </c>
      <c r="L1656">
        <v>1493.53</v>
      </c>
      <c r="M1656">
        <f>(Table1[[#This Row],[unit_price]]*Table1[[#This Row],[quantity]])-(Table1[[#This Row],[unit_price]]*Table1[[#This Row],[discount]]*Table1[[#This Row],[quantity]])</f>
        <v>1493.5272</v>
      </c>
      <c r="N1656">
        <f>DAY(Table1[[#This Row],[order_date]])</f>
        <v>13</v>
      </c>
      <c r="O1656" t="str">
        <f>TEXT(Table1[[#This Row],[order_date]],"mmm")</f>
        <v>Jul</v>
      </c>
      <c r="P1656">
        <f>YEAR(Table1[[#This Row],[order_date]])</f>
        <v>2026</v>
      </c>
    </row>
    <row r="1657" spans="1:16" x14ac:dyDescent="0.3">
      <c r="A1657">
        <v>11656</v>
      </c>
      <c r="B1657" s="1">
        <v>46217</v>
      </c>
      <c r="C1657">
        <v>1768</v>
      </c>
      <c r="D1657" t="s">
        <v>15</v>
      </c>
      <c r="E1657" t="s">
        <v>20</v>
      </c>
      <c r="F1657">
        <v>5</v>
      </c>
      <c r="G1657">
        <v>326.43</v>
      </c>
      <c r="H1657">
        <v>0.3</v>
      </c>
      <c r="I1657" t="s">
        <v>16</v>
      </c>
      <c r="J1657">
        <v>3</v>
      </c>
      <c r="K1657">
        <v>1.7</v>
      </c>
      <c r="L1657">
        <v>1142.5</v>
      </c>
      <c r="M1657">
        <f>(Table1[[#This Row],[unit_price]]*Table1[[#This Row],[quantity]])-(Table1[[#This Row],[unit_price]]*Table1[[#This Row],[discount]]*Table1[[#This Row],[quantity]])</f>
        <v>1142.5050000000001</v>
      </c>
      <c r="N1657">
        <f>DAY(Table1[[#This Row],[order_date]])</f>
        <v>14</v>
      </c>
      <c r="O1657" t="str">
        <f>TEXT(Table1[[#This Row],[order_date]],"mmm")</f>
        <v>Jul</v>
      </c>
      <c r="P1657">
        <f>YEAR(Table1[[#This Row],[order_date]])</f>
        <v>2026</v>
      </c>
    </row>
    <row r="1658" spans="1:16" x14ac:dyDescent="0.3">
      <c r="A1658">
        <v>11657</v>
      </c>
      <c r="B1658" s="1">
        <v>46218</v>
      </c>
      <c r="C1658">
        <v>1735</v>
      </c>
      <c r="D1658" t="s">
        <v>22</v>
      </c>
      <c r="E1658" t="s">
        <v>17</v>
      </c>
      <c r="F1658">
        <v>2</v>
      </c>
      <c r="G1658">
        <v>513.63</v>
      </c>
      <c r="H1658">
        <v>0.16</v>
      </c>
      <c r="I1658" t="s">
        <v>16</v>
      </c>
      <c r="J1658">
        <v>6</v>
      </c>
      <c r="K1658">
        <v>4.9000000000000004</v>
      </c>
      <c r="L1658">
        <v>862.9</v>
      </c>
      <c r="M1658">
        <f>(Table1[[#This Row],[unit_price]]*Table1[[#This Row],[quantity]])-(Table1[[#This Row],[unit_price]]*Table1[[#This Row],[discount]]*Table1[[#This Row],[quantity]])</f>
        <v>862.89840000000004</v>
      </c>
      <c r="N1658">
        <f>DAY(Table1[[#This Row],[order_date]])</f>
        <v>15</v>
      </c>
      <c r="O1658" t="str">
        <f>TEXT(Table1[[#This Row],[order_date]],"mmm")</f>
        <v>Jul</v>
      </c>
      <c r="P1658">
        <f>YEAR(Table1[[#This Row],[order_date]])</f>
        <v>2026</v>
      </c>
    </row>
    <row r="1659" spans="1:16" x14ac:dyDescent="0.3">
      <c r="A1659">
        <v>11658</v>
      </c>
      <c r="B1659" s="1">
        <v>46219</v>
      </c>
      <c r="C1659">
        <v>1140</v>
      </c>
      <c r="D1659" t="s">
        <v>15</v>
      </c>
      <c r="E1659" t="s">
        <v>21</v>
      </c>
      <c r="F1659">
        <v>5</v>
      </c>
      <c r="G1659">
        <v>215.13</v>
      </c>
      <c r="H1659">
        <v>0.27</v>
      </c>
      <c r="I1659" t="s">
        <v>18</v>
      </c>
      <c r="J1659">
        <v>3</v>
      </c>
      <c r="K1659">
        <v>2.2000000000000002</v>
      </c>
      <c r="L1659">
        <v>785.22</v>
      </c>
      <c r="M1659">
        <f>(Table1[[#This Row],[unit_price]]*Table1[[#This Row],[quantity]])-(Table1[[#This Row],[unit_price]]*Table1[[#This Row],[discount]]*Table1[[#This Row],[quantity]])</f>
        <v>785.22450000000003</v>
      </c>
      <c r="N1659">
        <f>DAY(Table1[[#This Row],[order_date]])</f>
        <v>16</v>
      </c>
      <c r="O1659" t="str">
        <f>TEXT(Table1[[#This Row],[order_date]],"mmm")</f>
        <v>Jul</v>
      </c>
      <c r="P1659">
        <f>YEAR(Table1[[#This Row],[order_date]])</f>
        <v>2026</v>
      </c>
    </row>
    <row r="1660" spans="1:16" x14ac:dyDescent="0.3">
      <c r="A1660">
        <v>11659</v>
      </c>
      <c r="B1660" s="1">
        <v>46220</v>
      </c>
      <c r="C1660">
        <v>1989</v>
      </c>
      <c r="D1660" t="s">
        <v>15</v>
      </c>
      <c r="E1660" t="s">
        <v>20</v>
      </c>
      <c r="F1660">
        <v>7</v>
      </c>
      <c r="G1660">
        <v>211.14</v>
      </c>
      <c r="H1660">
        <v>7.0000000000000007E-2</v>
      </c>
      <c r="I1660" t="s">
        <v>14</v>
      </c>
      <c r="J1660">
        <v>1</v>
      </c>
      <c r="K1660">
        <v>3.5</v>
      </c>
      <c r="L1660">
        <v>1374.52</v>
      </c>
      <c r="M1660">
        <f>(Table1[[#This Row],[unit_price]]*Table1[[#This Row],[quantity]])-(Table1[[#This Row],[unit_price]]*Table1[[#This Row],[discount]]*Table1[[#This Row],[quantity]])</f>
        <v>1374.5214000000001</v>
      </c>
      <c r="N1660">
        <f>DAY(Table1[[#This Row],[order_date]])</f>
        <v>17</v>
      </c>
      <c r="O1660" t="str">
        <f>TEXT(Table1[[#This Row],[order_date]],"mmm")</f>
        <v>Jul</v>
      </c>
      <c r="P1660">
        <f>YEAR(Table1[[#This Row],[order_date]])</f>
        <v>2026</v>
      </c>
    </row>
    <row r="1661" spans="1:16" x14ac:dyDescent="0.3">
      <c r="A1661">
        <v>11660</v>
      </c>
      <c r="B1661" s="1">
        <v>46221</v>
      </c>
      <c r="C1661">
        <v>1214</v>
      </c>
      <c r="D1661" t="s">
        <v>15</v>
      </c>
      <c r="E1661" t="s">
        <v>20</v>
      </c>
      <c r="F1661">
        <v>7</v>
      </c>
      <c r="G1661">
        <v>591.54</v>
      </c>
      <c r="H1661">
        <v>0.2</v>
      </c>
      <c r="I1661" t="s">
        <v>16</v>
      </c>
      <c r="J1661">
        <v>6</v>
      </c>
      <c r="K1661">
        <v>1.3</v>
      </c>
      <c r="L1661">
        <v>3312.62</v>
      </c>
      <c r="M1661">
        <f>(Table1[[#This Row],[unit_price]]*Table1[[#This Row],[quantity]])-(Table1[[#This Row],[unit_price]]*Table1[[#This Row],[discount]]*Table1[[#This Row],[quantity]])</f>
        <v>3312.6239999999998</v>
      </c>
      <c r="N1661">
        <f>DAY(Table1[[#This Row],[order_date]])</f>
        <v>18</v>
      </c>
      <c r="O1661" t="str">
        <f>TEXT(Table1[[#This Row],[order_date]],"mmm")</f>
        <v>Jul</v>
      </c>
      <c r="P1661">
        <f>YEAR(Table1[[#This Row],[order_date]])</f>
        <v>2026</v>
      </c>
    </row>
    <row r="1662" spans="1:16" x14ac:dyDescent="0.3">
      <c r="A1662">
        <v>11661</v>
      </c>
      <c r="B1662" s="1">
        <v>46222</v>
      </c>
      <c r="C1662">
        <v>1434</v>
      </c>
      <c r="D1662" t="s">
        <v>19</v>
      </c>
      <c r="E1662" t="s">
        <v>17</v>
      </c>
      <c r="F1662">
        <v>2</v>
      </c>
      <c r="G1662">
        <v>320.27</v>
      </c>
      <c r="H1662">
        <v>0.03</v>
      </c>
      <c r="I1662" t="s">
        <v>14</v>
      </c>
      <c r="J1662">
        <v>11</v>
      </c>
      <c r="K1662">
        <v>2.2000000000000002</v>
      </c>
      <c r="L1662">
        <v>621.32000000000005</v>
      </c>
      <c r="M1662">
        <f>(Table1[[#This Row],[unit_price]]*Table1[[#This Row],[quantity]])-(Table1[[#This Row],[unit_price]]*Table1[[#This Row],[discount]]*Table1[[#This Row],[quantity]])</f>
        <v>621.32380000000001</v>
      </c>
      <c r="N1662">
        <f>DAY(Table1[[#This Row],[order_date]])</f>
        <v>19</v>
      </c>
      <c r="O1662" t="str">
        <f>TEXT(Table1[[#This Row],[order_date]],"mmm")</f>
        <v>Jul</v>
      </c>
      <c r="P1662">
        <f>YEAR(Table1[[#This Row],[order_date]])</f>
        <v>2026</v>
      </c>
    </row>
    <row r="1663" spans="1:16" x14ac:dyDescent="0.3">
      <c r="A1663">
        <v>11662</v>
      </c>
      <c r="B1663" s="1">
        <v>46223</v>
      </c>
      <c r="C1663">
        <v>1890</v>
      </c>
      <c r="D1663" t="s">
        <v>22</v>
      </c>
      <c r="E1663" t="s">
        <v>21</v>
      </c>
      <c r="F1663">
        <v>7</v>
      </c>
      <c r="G1663">
        <v>97.31</v>
      </c>
      <c r="H1663">
        <v>0.12</v>
      </c>
      <c r="I1663" t="s">
        <v>16</v>
      </c>
      <c r="J1663">
        <v>3</v>
      </c>
      <c r="K1663">
        <v>1.8</v>
      </c>
      <c r="L1663">
        <v>599.42999999999995</v>
      </c>
      <c r="M1663">
        <f>(Table1[[#This Row],[unit_price]]*Table1[[#This Row],[quantity]])-(Table1[[#This Row],[unit_price]]*Table1[[#This Row],[discount]]*Table1[[#This Row],[quantity]])</f>
        <v>599.42960000000005</v>
      </c>
      <c r="N1663">
        <f>DAY(Table1[[#This Row],[order_date]])</f>
        <v>20</v>
      </c>
      <c r="O1663" t="str">
        <f>TEXT(Table1[[#This Row],[order_date]],"mmm")</f>
        <v>Jul</v>
      </c>
      <c r="P1663">
        <f>YEAR(Table1[[#This Row],[order_date]])</f>
        <v>2026</v>
      </c>
    </row>
    <row r="1664" spans="1:16" x14ac:dyDescent="0.3">
      <c r="A1664">
        <v>11663</v>
      </c>
      <c r="B1664" s="1">
        <v>46224</v>
      </c>
      <c r="C1664">
        <v>1951</v>
      </c>
      <c r="D1664" t="s">
        <v>15</v>
      </c>
      <c r="E1664" t="s">
        <v>21</v>
      </c>
      <c r="F1664">
        <v>7</v>
      </c>
      <c r="G1664">
        <v>143.51</v>
      </c>
      <c r="H1664">
        <v>0.08</v>
      </c>
      <c r="I1664" t="s">
        <v>16</v>
      </c>
      <c r="J1664">
        <v>1</v>
      </c>
      <c r="K1664">
        <v>1</v>
      </c>
      <c r="L1664">
        <v>924.2</v>
      </c>
      <c r="M1664">
        <f>(Table1[[#This Row],[unit_price]]*Table1[[#This Row],[quantity]])-(Table1[[#This Row],[unit_price]]*Table1[[#This Row],[discount]]*Table1[[#This Row],[quantity]])</f>
        <v>924.20439999999996</v>
      </c>
      <c r="N1664">
        <f>DAY(Table1[[#This Row],[order_date]])</f>
        <v>21</v>
      </c>
      <c r="O1664" t="str">
        <f>TEXT(Table1[[#This Row],[order_date]],"mmm")</f>
        <v>Jul</v>
      </c>
      <c r="P1664">
        <f>YEAR(Table1[[#This Row],[order_date]])</f>
        <v>2026</v>
      </c>
    </row>
    <row r="1665" spans="1:16" x14ac:dyDescent="0.3">
      <c r="A1665">
        <v>11664</v>
      </c>
      <c r="B1665" s="1">
        <v>46225</v>
      </c>
      <c r="C1665">
        <v>1722</v>
      </c>
      <c r="D1665" t="s">
        <v>15</v>
      </c>
      <c r="E1665" t="s">
        <v>13</v>
      </c>
      <c r="F1665">
        <v>4</v>
      </c>
      <c r="G1665">
        <v>296.94</v>
      </c>
      <c r="H1665">
        <v>0.25</v>
      </c>
      <c r="I1665" t="s">
        <v>18</v>
      </c>
      <c r="J1665">
        <v>5</v>
      </c>
      <c r="K1665">
        <v>1.6</v>
      </c>
      <c r="L1665">
        <v>890.82</v>
      </c>
      <c r="M1665">
        <f>(Table1[[#This Row],[unit_price]]*Table1[[#This Row],[quantity]])-(Table1[[#This Row],[unit_price]]*Table1[[#This Row],[discount]]*Table1[[#This Row],[quantity]])</f>
        <v>890.81999999999994</v>
      </c>
      <c r="N1665">
        <f>DAY(Table1[[#This Row],[order_date]])</f>
        <v>22</v>
      </c>
      <c r="O1665" t="str">
        <f>TEXT(Table1[[#This Row],[order_date]],"mmm")</f>
        <v>Jul</v>
      </c>
      <c r="P1665">
        <f>YEAR(Table1[[#This Row],[order_date]])</f>
        <v>2026</v>
      </c>
    </row>
    <row r="1666" spans="1:16" x14ac:dyDescent="0.3">
      <c r="A1666">
        <v>11665</v>
      </c>
      <c r="B1666" s="1">
        <v>46226</v>
      </c>
      <c r="C1666">
        <v>1317</v>
      </c>
      <c r="D1666" t="s">
        <v>12</v>
      </c>
      <c r="E1666" t="s">
        <v>13</v>
      </c>
      <c r="F1666">
        <v>4</v>
      </c>
      <c r="G1666">
        <v>39.85</v>
      </c>
      <c r="H1666">
        <v>0.17</v>
      </c>
      <c r="I1666" t="s">
        <v>16</v>
      </c>
      <c r="J1666">
        <v>8</v>
      </c>
      <c r="K1666">
        <v>3.4</v>
      </c>
      <c r="L1666">
        <v>132.30000000000001</v>
      </c>
      <c r="M1666">
        <f>(Table1[[#This Row],[unit_price]]*Table1[[#This Row],[quantity]])-(Table1[[#This Row],[unit_price]]*Table1[[#This Row],[discount]]*Table1[[#This Row],[quantity]])</f>
        <v>132.30199999999999</v>
      </c>
      <c r="N1666">
        <f>DAY(Table1[[#This Row],[order_date]])</f>
        <v>23</v>
      </c>
      <c r="O1666" t="str">
        <f>TEXT(Table1[[#This Row],[order_date]],"mmm")</f>
        <v>Jul</v>
      </c>
      <c r="P1666">
        <f>YEAR(Table1[[#This Row],[order_date]])</f>
        <v>2026</v>
      </c>
    </row>
    <row r="1667" spans="1:16" x14ac:dyDescent="0.3">
      <c r="A1667">
        <v>11666</v>
      </c>
      <c r="B1667" s="1">
        <v>46227</v>
      </c>
      <c r="C1667">
        <v>1031</v>
      </c>
      <c r="D1667" t="s">
        <v>19</v>
      </c>
      <c r="E1667" t="s">
        <v>17</v>
      </c>
      <c r="F1667">
        <v>1</v>
      </c>
      <c r="G1667">
        <v>285.58</v>
      </c>
      <c r="H1667">
        <v>0.26</v>
      </c>
      <c r="I1667" t="s">
        <v>16</v>
      </c>
      <c r="J1667">
        <v>8</v>
      </c>
      <c r="K1667">
        <v>2.6</v>
      </c>
      <c r="L1667">
        <v>211.33</v>
      </c>
      <c r="M1667">
        <f>(Table1[[#This Row],[unit_price]]*Table1[[#This Row],[quantity]])-(Table1[[#This Row],[unit_price]]*Table1[[#This Row],[discount]]*Table1[[#This Row],[quantity]])</f>
        <v>211.32919999999999</v>
      </c>
      <c r="N1667">
        <f>DAY(Table1[[#This Row],[order_date]])</f>
        <v>24</v>
      </c>
      <c r="O1667" t="str">
        <f>TEXT(Table1[[#This Row],[order_date]],"mmm")</f>
        <v>Jul</v>
      </c>
      <c r="P1667">
        <f>YEAR(Table1[[#This Row],[order_date]])</f>
        <v>2026</v>
      </c>
    </row>
    <row r="1668" spans="1:16" x14ac:dyDescent="0.3">
      <c r="A1668">
        <v>11667</v>
      </c>
      <c r="B1668" s="1">
        <v>46228</v>
      </c>
      <c r="C1668">
        <v>1669</v>
      </c>
      <c r="D1668" t="s">
        <v>19</v>
      </c>
      <c r="E1668" t="s">
        <v>21</v>
      </c>
      <c r="F1668">
        <v>4</v>
      </c>
      <c r="G1668">
        <v>260.08</v>
      </c>
      <c r="H1668">
        <v>0.18</v>
      </c>
      <c r="I1668" t="s">
        <v>14</v>
      </c>
      <c r="J1668">
        <v>8</v>
      </c>
      <c r="K1668">
        <v>3.9</v>
      </c>
      <c r="L1668">
        <v>853.06</v>
      </c>
      <c r="M1668">
        <f>(Table1[[#This Row],[unit_price]]*Table1[[#This Row],[quantity]])-(Table1[[#This Row],[unit_price]]*Table1[[#This Row],[discount]]*Table1[[#This Row],[quantity]])</f>
        <v>853.06240000000003</v>
      </c>
      <c r="N1668">
        <f>DAY(Table1[[#This Row],[order_date]])</f>
        <v>25</v>
      </c>
      <c r="O1668" t="str">
        <f>TEXT(Table1[[#This Row],[order_date]],"mmm")</f>
        <v>Jul</v>
      </c>
      <c r="P1668">
        <f>YEAR(Table1[[#This Row],[order_date]])</f>
        <v>2026</v>
      </c>
    </row>
    <row r="1669" spans="1:16" x14ac:dyDescent="0.3">
      <c r="A1669">
        <v>11668</v>
      </c>
      <c r="B1669" s="1">
        <v>46229</v>
      </c>
      <c r="C1669">
        <v>1284</v>
      </c>
      <c r="D1669" t="s">
        <v>19</v>
      </c>
      <c r="E1669" t="s">
        <v>21</v>
      </c>
      <c r="F1669">
        <v>3</v>
      </c>
      <c r="G1669">
        <v>470.91</v>
      </c>
      <c r="H1669">
        <v>0.03</v>
      </c>
      <c r="I1669" t="s">
        <v>16</v>
      </c>
      <c r="J1669">
        <v>3</v>
      </c>
      <c r="K1669">
        <v>3.7</v>
      </c>
      <c r="L1669">
        <v>1370.35</v>
      </c>
      <c r="M1669">
        <f>(Table1[[#This Row],[unit_price]]*Table1[[#This Row],[quantity]])-(Table1[[#This Row],[unit_price]]*Table1[[#This Row],[discount]]*Table1[[#This Row],[quantity]])</f>
        <v>1370.3480999999999</v>
      </c>
      <c r="N1669">
        <f>DAY(Table1[[#This Row],[order_date]])</f>
        <v>26</v>
      </c>
      <c r="O1669" t="str">
        <f>TEXT(Table1[[#This Row],[order_date]],"mmm")</f>
        <v>Jul</v>
      </c>
      <c r="P1669">
        <f>YEAR(Table1[[#This Row],[order_date]])</f>
        <v>2026</v>
      </c>
    </row>
    <row r="1670" spans="1:16" x14ac:dyDescent="0.3">
      <c r="A1670">
        <v>11669</v>
      </c>
      <c r="B1670" s="1">
        <v>46230</v>
      </c>
      <c r="C1670">
        <v>1304</v>
      </c>
      <c r="D1670" t="s">
        <v>22</v>
      </c>
      <c r="E1670" t="s">
        <v>13</v>
      </c>
      <c r="F1670">
        <v>5</v>
      </c>
      <c r="G1670">
        <v>222.64</v>
      </c>
      <c r="H1670">
        <v>0.26</v>
      </c>
      <c r="I1670" t="s">
        <v>18</v>
      </c>
      <c r="J1670">
        <v>8</v>
      </c>
      <c r="K1670">
        <v>4.2</v>
      </c>
      <c r="L1670">
        <v>823.77</v>
      </c>
      <c r="M1670">
        <f>(Table1[[#This Row],[unit_price]]*Table1[[#This Row],[quantity]])-(Table1[[#This Row],[unit_price]]*Table1[[#This Row],[discount]]*Table1[[#This Row],[quantity]])</f>
        <v>823.7679999999998</v>
      </c>
      <c r="N1670">
        <f>DAY(Table1[[#This Row],[order_date]])</f>
        <v>27</v>
      </c>
      <c r="O1670" t="str">
        <f>TEXT(Table1[[#This Row],[order_date]],"mmm")</f>
        <v>Jul</v>
      </c>
      <c r="P1670">
        <f>YEAR(Table1[[#This Row],[order_date]])</f>
        <v>2026</v>
      </c>
    </row>
    <row r="1671" spans="1:16" x14ac:dyDescent="0.3">
      <c r="A1671">
        <v>11670</v>
      </c>
      <c r="B1671" s="1">
        <v>46231</v>
      </c>
      <c r="C1671">
        <v>1428</v>
      </c>
      <c r="D1671" t="s">
        <v>22</v>
      </c>
      <c r="E1671" t="s">
        <v>13</v>
      </c>
      <c r="F1671">
        <v>5</v>
      </c>
      <c r="G1671">
        <v>589.79</v>
      </c>
      <c r="H1671">
        <v>0.28999999999999998</v>
      </c>
      <c r="I1671" t="s">
        <v>16</v>
      </c>
      <c r="J1671">
        <v>4</v>
      </c>
      <c r="K1671">
        <v>4.5</v>
      </c>
      <c r="L1671">
        <v>2093.75</v>
      </c>
      <c r="M1671">
        <f>(Table1[[#This Row],[unit_price]]*Table1[[#This Row],[quantity]])-(Table1[[#This Row],[unit_price]]*Table1[[#This Row],[discount]]*Table1[[#This Row],[quantity]])</f>
        <v>2093.7545</v>
      </c>
      <c r="N1671">
        <f>DAY(Table1[[#This Row],[order_date]])</f>
        <v>28</v>
      </c>
      <c r="O1671" t="str">
        <f>TEXT(Table1[[#This Row],[order_date]],"mmm")</f>
        <v>Jul</v>
      </c>
      <c r="P1671">
        <f>YEAR(Table1[[#This Row],[order_date]])</f>
        <v>2026</v>
      </c>
    </row>
    <row r="1672" spans="1:16" x14ac:dyDescent="0.3">
      <c r="A1672">
        <v>11671</v>
      </c>
      <c r="B1672" s="1">
        <v>46232</v>
      </c>
      <c r="C1672">
        <v>1476</v>
      </c>
      <c r="D1672" t="s">
        <v>19</v>
      </c>
      <c r="E1672" t="s">
        <v>17</v>
      </c>
      <c r="F1672">
        <v>2</v>
      </c>
      <c r="G1672">
        <v>120.75</v>
      </c>
      <c r="H1672">
        <v>0.32</v>
      </c>
      <c r="I1672" t="s">
        <v>16</v>
      </c>
      <c r="J1672">
        <v>8</v>
      </c>
      <c r="K1672">
        <v>4.3</v>
      </c>
      <c r="L1672">
        <v>164.22</v>
      </c>
      <c r="M1672">
        <f>(Table1[[#This Row],[unit_price]]*Table1[[#This Row],[quantity]])-(Table1[[#This Row],[unit_price]]*Table1[[#This Row],[discount]]*Table1[[#This Row],[quantity]])</f>
        <v>164.22</v>
      </c>
      <c r="N1672">
        <f>DAY(Table1[[#This Row],[order_date]])</f>
        <v>29</v>
      </c>
      <c r="O1672" t="str">
        <f>TEXT(Table1[[#This Row],[order_date]],"mmm")</f>
        <v>Jul</v>
      </c>
      <c r="P1672">
        <f>YEAR(Table1[[#This Row],[order_date]])</f>
        <v>2026</v>
      </c>
    </row>
    <row r="1673" spans="1:16" x14ac:dyDescent="0.3">
      <c r="A1673">
        <v>11672</v>
      </c>
      <c r="B1673" s="1">
        <v>46233</v>
      </c>
      <c r="C1673">
        <v>1285</v>
      </c>
      <c r="D1673" t="s">
        <v>22</v>
      </c>
      <c r="E1673" t="s">
        <v>21</v>
      </c>
      <c r="F1673">
        <v>4</v>
      </c>
      <c r="G1673">
        <v>360.73</v>
      </c>
      <c r="H1673">
        <v>0.2</v>
      </c>
      <c r="I1673" t="s">
        <v>18</v>
      </c>
      <c r="J1673">
        <v>3</v>
      </c>
      <c r="K1673">
        <v>2.8</v>
      </c>
      <c r="L1673">
        <v>1154.3399999999999</v>
      </c>
      <c r="M1673">
        <f>(Table1[[#This Row],[unit_price]]*Table1[[#This Row],[quantity]])-(Table1[[#This Row],[unit_price]]*Table1[[#This Row],[discount]]*Table1[[#This Row],[quantity]])</f>
        <v>1154.336</v>
      </c>
      <c r="N1673">
        <f>DAY(Table1[[#This Row],[order_date]])</f>
        <v>30</v>
      </c>
      <c r="O1673" t="str">
        <f>TEXT(Table1[[#This Row],[order_date]],"mmm")</f>
        <v>Jul</v>
      </c>
      <c r="P1673">
        <f>YEAR(Table1[[#This Row],[order_date]])</f>
        <v>2026</v>
      </c>
    </row>
    <row r="1674" spans="1:16" x14ac:dyDescent="0.3">
      <c r="A1674">
        <v>11673</v>
      </c>
      <c r="B1674" s="1">
        <v>46234</v>
      </c>
      <c r="C1674">
        <v>1143</v>
      </c>
      <c r="D1674" t="s">
        <v>15</v>
      </c>
      <c r="E1674" t="s">
        <v>20</v>
      </c>
      <c r="F1674">
        <v>1</v>
      </c>
      <c r="G1674">
        <v>67.47</v>
      </c>
      <c r="H1674">
        <v>0.26</v>
      </c>
      <c r="I1674" t="s">
        <v>14</v>
      </c>
      <c r="J1674">
        <v>3</v>
      </c>
      <c r="K1674">
        <v>2.2000000000000002</v>
      </c>
      <c r="L1674">
        <v>49.93</v>
      </c>
      <c r="M1674">
        <f>(Table1[[#This Row],[unit_price]]*Table1[[#This Row],[quantity]])-(Table1[[#This Row],[unit_price]]*Table1[[#This Row],[discount]]*Table1[[#This Row],[quantity]])</f>
        <v>49.927799999999998</v>
      </c>
      <c r="N1674">
        <f>DAY(Table1[[#This Row],[order_date]])</f>
        <v>31</v>
      </c>
      <c r="O1674" t="str">
        <f>TEXT(Table1[[#This Row],[order_date]],"mmm")</f>
        <v>Jul</v>
      </c>
      <c r="P1674">
        <f>YEAR(Table1[[#This Row],[order_date]])</f>
        <v>2026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38"/>
  <sheetViews>
    <sheetView zoomScale="69" workbookViewId="0">
      <selection activeCell="N20" sqref="N20"/>
    </sheetView>
  </sheetViews>
  <sheetFormatPr defaultRowHeight="14.4" x14ac:dyDescent="0.3"/>
  <cols>
    <col min="1" max="1" width="15.77734375" customWidth="1"/>
    <col min="2" max="2" width="25.88671875" customWidth="1"/>
    <col min="3" max="3" width="17.77734375" customWidth="1"/>
    <col min="6" max="6" width="16" bestFit="1" customWidth="1"/>
    <col min="7" max="7" width="15.77734375" customWidth="1"/>
    <col min="8" max="8" width="25.88671875" customWidth="1"/>
    <col min="9" max="9" width="14.109375" bestFit="1" customWidth="1"/>
    <col min="10" max="10" width="15.21875" customWidth="1"/>
  </cols>
  <sheetData>
    <row r="2" spans="1:8" x14ac:dyDescent="0.3">
      <c r="G2" s="2" t="s">
        <v>44</v>
      </c>
      <c r="H2" t="s">
        <v>28</v>
      </c>
    </row>
    <row r="3" spans="1:8" x14ac:dyDescent="0.3">
      <c r="A3" s="2" t="s">
        <v>45</v>
      </c>
      <c r="B3" t="s">
        <v>28</v>
      </c>
      <c r="G3" s="3" t="s">
        <v>31</v>
      </c>
      <c r="H3" s="6">
        <v>151135.52310000002</v>
      </c>
    </row>
    <row r="4" spans="1:8" x14ac:dyDescent="0.3">
      <c r="A4" s="3" t="s">
        <v>12</v>
      </c>
      <c r="B4" s="6">
        <v>228151.3422999999</v>
      </c>
      <c r="G4" s="3" t="s">
        <v>32</v>
      </c>
      <c r="H4" s="6">
        <v>152071.29300000006</v>
      </c>
    </row>
    <row r="5" spans="1:8" x14ac:dyDescent="0.3">
      <c r="A5" s="3" t="s">
        <v>15</v>
      </c>
      <c r="B5" s="6">
        <v>469471.81900000008</v>
      </c>
      <c r="G5" s="3" t="s">
        <v>33</v>
      </c>
      <c r="H5" s="6">
        <v>149096.538</v>
      </c>
    </row>
    <row r="6" spans="1:8" x14ac:dyDescent="0.3">
      <c r="A6" s="3" t="s">
        <v>19</v>
      </c>
      <c r="B6" s="6">
        <v>596136.78679999942</v>
      </c>
      <c r="G6" s="3" t="s">
        <v>34</v>
      </c>
      <c r="H6" s="6">
        <v>133768.82270000008</v>
      </c>
    </row>
    <row r="7" spans="1:8" x14ac:dyDescent="0.3">
      <c r="A7" s="3" t="s">
        <v>22</v>
      </c>
      <c r="B7" s="6">
        <v>367333.92310000001</v>
      </c>
      <c r="G7" s="3" t="s">
        <v>35</v>
      </c>
      <c r="H7" s="6">
        <v>169685.53579999998</v>
      </c>
    </row>
    <row r="8" spans="1:8" x14ac:dyDescent="0.3">
      <c r="A8" s="3" t="s">
        <v>27</v>
      </c>
      <c r="B8" s="6">
        <v>1661093.8711999995</v>
      </c>
      <c r="G8" s="3" t="s">
        <v>36</v>
      </c>
      <c r="H8" s="6">
        <v>152936.74269999994</v>
      </c>
    </row>
    <row r="9" spans="1:8" x14ac:dyDescent="0.3">
      <c r="G9" s="3" t="s">
        <v>37</v>
      </c>
      <c r="H9" s="6">
        <v>147224.47750000012</v>
      </c>
    </row>
    <row r="10" spans="1:8" x14ac:dyDescent="0.3">
      <c r="G10" s="3" t="s">
        <v>38</v>
      </c>
      <c r="H10" s="6">
        <v>135613.16829999996</v>
      </c>
    </row>
    <row r="11" spans="1:8" x14ac:dyDescent="0.3">
      <c r="G11" s="3" t="s">
        <v>39</v>
      </c>
      <c r="H11" s="6">
        <v>125337.66970000001</v>
      </c>
    </row>
    <row r="12" spans="1:8" x14ac:dyDescent="0.3">
      <c r="A12" s="2" t="s">
        <v>46</v>
      </c>
      <c r="B12" t="s">
        <v>30</v>
      </c>
      <c r="G12" s="3" t="s">
        <v>40</v>
      </c>
      <c r="H12" s="6">
        <v>101827.50109999999</v>
      </c>
    </row>
    <row r="13" spans="1:8" x14ac:dyDescent="0.3">
      <c r="A13" s="3" t="s">
        <v>16</v>
      </c>
      <c r="B13" s="4">
        <v>3125</v>
      </c>
      <c r="G13" s="3" t="s">
        <v>41</v>
      </c>
      <c r="H13" s="6">
        <v>119111.12169999997</v>
      </c>
    </row>
    <row r="14" spans="1:8" x14ac:dyDescent="0.3">
      <c r="A14" s="3" t="s">
        <v>18</v>
      </c>
      <c r="B14" s="4">
        <v>2344</v>
      </c>
      <c r="G14" s="3" t="s">
        <v>42</v>
      </c>
      <c r="H14" s="6">
        <v>123285.47760000004</v>
      </c>
    </row>
    <row r="15" spans="1:8" x14ac:dyDescent="0.3">
      <c r="A15" s="3" t="s">
        <v>14</v>
      </c>
      <c r="B15" s="4">
        <v>1236</v>
      </c>
      <c r="G15" s="3" t="s">
        <v>27</v>
      </c>
      <c r="H15" s="6">
        <v>1661093.8712000002</v>
      </c>
    </row>
    <row r="16" spans="1:8" x14ac:dyDescent="0.3">
      <c r="A16" s="3" t="s">
        <v>27</v>
      </c>
      <c r="B16" s="4">
        <v>6705</v>
      </c>
    </row>
    <row r="17" spans="1:10" x14ac:dyDescent="0.3">
      <c r="F17" s="2" t="s">
        <v>43</v>
      </c>
      <c r="G17" t="s">
        <v>29</v>
      </c>
    </row>
    <row r="18" spans="1:10" x14ac:dyDescent="0.3">
      <c r="F18" s="3">
        <v>1</v>
      </c>
      <c r="G18" s="5">
        <v>2.9316901408450695</v>
      </c>
    </row>
    <row r="19" spans="1:10" x14ac:dyDescent="0.3">
      <c r="A19" s="2" t="s">
        <v>47</v>
      </c>
      <c r="B19" t="s">
        <v>28</v>
      </c>
      <c r="F19" s="3">
        <v>2</v>
      </c>
      <c r="G19" s="5">
        <v>2.9888888888888885</v>
      </c>
    </row>
    <row r="20" spans="1:10" x14ac:dyDescent="0.3">
      <c r="A20" s="3" t="s">
        <v>17</v>
      </c>
      <c r="B20" s="6">
        <v>409078.76360000041</v>
      </c>
      <c r="F20" s="3">
        <v>3</v>
      </c>
      <c r="G20" s="5">
        <v>2.7685714285714278</v>
      </c>
    </row>
    <row r="21" spans="1:10" x14ac:dyDescent="0.3">
      <c r="A21" s="3" t="s">
        <v>21</v>
      </c>
      <c r="B21" s="6">
        <v>428203.69299999985</v>
      </c>
      <c r="F21" s="3">
        <v>4</v>
      </c>
      <c r="G21" s="5">
        <v>3.2000000000000024</v>
      </c>
      <c r="I21" s="2" t="s">
        <v>50</v>
      </c>
      <c r="J21" t="s">
        <v>28</v>
      </c>
    </row>
    <row r="22" spans="1:10" x14ac:dyDescent="0.3">
      <c r="A22" s="3" t="s">
        <v>13</v>
      </c>
      <c r="B22" s="6">
        <v>396428.06660000014</v>
      </c>
      <c r="F22" s="3">
        <v>5</v>
      </c>
      <c r="G22" s="5">
        <v>2.9985294117647063</v>
      </c>
      <c r="I22" s="3" t="s">
        <v>16</v>
      </c>
      <c r="J22" s="6">
        <v>785139.20699999901</v>
      </c>
    </row>
    <row r="23" spans="1:10" x14ac:dyDescent="0.3">
      <c r="A23" s="3" t="s">
        <v>20</v>
      </c>
      <c r="B23" s="6">
        <v>427383.34799999988</v>
      </c>
      <c r="F23" s="3">
        <v>6</v>
      </c>
      <c r="G23" s="5">
        <v>2.8950310559006218</v>
      </c>
      <c r="I23" s="3" t="s">
        <v>18</v>
      </c>
      <c r="J23" s="6">
        <v>575723.1745000002</v>
      </c>
    </row>
    <row r="24" spans="1:10" x14ac:dyDescent="0.3">
      <c r="A24" s="3" t="s">
        <v>27</v>
      </c>
      <c r="B24" s="6">
        <v>1661093.8712000004</v>
      </c>
      <c r="F24" s="3">
        <v>7</v>
      </c>
      <c r="G24" s="5">
        <v>3.1144654088050303</v>
      </c>
      <c r="I24" s="3" t="s">
        <v>14</v>
      </c>
      <c r="J24" s="6">
        <v>300231.48970000009</v>
      </c>
    </row>
    <row r="25" spans="1:10" x14ac:dyDescent="0.3">
      <c r="F25" s="3">
        <v>8</v>
      </c>
      <c r="G25" s="5">
        <v>3.0192546583850932</v>
      </c>
      <c r="I25" s="3" t="s">
        <v>27</v>
      </c>
      <c r="J25" s="6">
        <v>1661093.8711999992</v>
      </c>
    </row>
    <row r="26" spans="1:10" x14ac:dyDescent="0.3">
      <c r="F26" s="3">
        <v>9</v>
      </c>
      <c r="G26" s="5">
        <v>2.9328767123287665</v>
      </c>
    </row>
    <row r="27" spans="1:10" x14ac:dyDescent="0.3">
      <c r="A27" s="2" t="s">
        <v>48</v>
      </c>
      <c r="B27" t="s">
        <v>28</v>
      </c>
      <c r="C27" t="s">
        <v>49</v>
      </c>
      <c r="F27" s="3">
        <v>10</v>
      </c>
      <c r="G27" s="5">
        <v>2.9140350877192986</v>
      </c>
    </row>
    <row r="28" spans="1:10" x14ac:dyDescent="0.3">
      <c r="A28" s="3">
        <v>1805</v>
      </c>
      <c r="B28" s="6">
        <v>7393.8055999999997</v>
      </c>
      <c r="C28" s="4">
        <v>5</v>
      </c>
      <c r="F28" s="3">
        <v>11</v>
      </c>
      <c r="G28" s="5">
        <v>2.9849315068493141</v>
      </c>
    </row>
    <row r="29" spans="1:10" x14ac:dyDescent="0.3">
      <c r="A29" s="3">
        <v>1735</v>
      </c>
      <c r="B29" s="6">
        <v>7412.4322000000002</v>
      </c>
      <c r="C29" s="4">
        <v>4</v>
      </c>
      <c r="F29" s="3" t="s">
        <v>27</v>
      </c>
      <c r="G29" s="5">
        <v>2.98039450089659</v>
      </c>
    </row>
    <row r="30" spans="1:10" x14ac:dyDescent="0.3">
      <c r="A30" s="3">
        <v>1276</v>
      </c>
      <c r="B30" s="6">
        <v>7483.1016</v>
      </c>
      <c r="C30" s="4">
        <v>5</v>
      </c>
      <c r="I30" s="2" t="s">
        <v>50</v>
      </c>
      <c r="J30" t="s">
        <v>30</v>
      </c>
    </row>
    <row r="31" spans="1:10" x14ac:dyDescent="0.3">
      <c r="A31" s="3">
        <v>1970</v>
      </c>
      <c r="B31" s="6">
        <v>7589.4660999999996</v>
      </c>
      <c r="C31" s="4">
        <v>4</v>
      </c>
      <c r="I31" s="3" t="s">
        <v>13</v>
      </c>
      <c r="J31" s="4">
        <v>1598</v>
      </c>
    </row>
    <row r="32" spans="1:10" x14ac:dyDescent="0.3">
      <c r="A32" s="3">
        <v>1252</v>
      </c>
      <c r="B32" s="6">
        <v>7783.894299999999</v>
      </c>
      <c r="C32" s="4">
        <v>6</v>
      </c>
      <c r="I32" s="3" t="s">
        <v>17</v>
      </c>
      <c r="J32" s="4">
        <v>1661</v>
      </c>
    </row>
    <row r="33" spans="1:10" x14ac:dyDescent="0.3">
      <c r="A33" s="3">
        <v>1505</v>
      </c>
      <c r="B33" s="6">
        <v>8432.3052000000007</v>
      </c>
      <c r="C33" s="4">
        <v>4</v>
      </c>
      <c r="I33" s="3" t="s">
        <v>20</v>
      </c>
      <c r="J33" s="4">
        <v>1676</v>
      </c>
    </row>
    <row r="34" spans="1:10" x14ac:dyDescent="0.3">
      <c r="A34" s="3">
        <v>1882</v>
      </c>
      <c r="B34" s="6">
        <v>8869.2474999999995</v>
      </c>
      <c r="C34" s="4">
        <v>6</v>
      </c>
      <c r="I34" s="3" t="s">
        <v>21</v>
      </c>
      <c r="J34" s="4">
        <v>1770</v>
      </c>
    </row>
    <row r="35" spans="1:10" x14ac:dyDescent="0.3">
      <c r="A35" s="3">
        <v>1957</v>
      </c>
      <c r="B35" s="6">
        <v>9500.0397000000012</v>
      </c>
      <c r="C35" s="4">
        <v>7</v>
      </c>
      <c r="I35" s="3" t="s">
        <v>27</v>
      </c>
      <c r="J35" s="4">
        <v>6705</v>
      </c>
    </row>
    <row r="36" spans="1:10" x14ac:dyDescent="0.3">
      <c r="A36" s="3">
        <v>1871</v>
      </c>
      <c r="B36" s="6">
        <v>9662.7954000000009</v>
      </c>
      <c r="C36" s="4">
        <v>6</v>
      </c>
    </row>
    <row r="37" spans="1:10" x14ac:dyDescent="0.3">
      <c r="A37" s="3">
        <v>1612</v>
      </c>
      <c r="B37" s="6">
        <v>10604.6679</v>
      </c>
      <c r="C37" s="4">
        <v>7</v>
      </c>
    </row>
    <row r="38" spans="1:10" x14ac:dyDescent="0.3">
      <c r="A38" s="3" t="s">
        <v>27</v>
      </c>
      <c r="B38" s="6">
        <v>84731.755499999999</v>
      </c>
      <c r="C38" s="4">
        <v>54</v>
      </c>
    </row>
  </sheetData>
  <conditionalFormatting sqref="A3">
    <cfRule type="colorScale" priority="19">
      <colorScale>
        <cfvo type="min"/>
        <cfvo type="percentile" val="50"/>
        <cfvo type="max"/>
        <color rgb="FFF8696B"/>
        <color rgb="FFFFEB84"/>
        <color rgb="FF63BE7B"/>
      </colorScale>
    </cfRule>
  </conditionalFormatting>
  <conditionalFormatting sqref="B3">
    <cfRule type="dataBar" priority="16">
      <dataBar>
        <cfvo type="min"/>
        <cfvo type="max"/>
        <color rgb="FF638EC6"/>
      </dataBar>
      <extLst>
        <ext xmlns:x14="http://schemas.microsoft.com/office/spreadsheetml/2009/9/main" uri="{B025F937-C7B1-47D3-B67F-A62EFF666E3E}">
          <x14:id>{D4E9884D-0ADA-47FE-968B-BF5CEDBEE08A}</x14:id>
        </ext>
      </extLst>
    </cfRule>
  </conditionalFormatting>
  <conditionalFormatting sqref="C3">
    <cfRule type="colorScale" priority="14">
      <colorScale>
        <cfvo type="min"/>
        <cfvo type="percentile" val="50"/>
        <cfvo type="max"/>
        <color rgb="FFF8696B"/>
        <color rgb="FFFFEB84"/>
        <color rgb="FF63BE7B"/>
      </colorScale>
    </cfRule>
  </conditionalFormatting>
  <conditionalFormatting pivot="1" sqref="B4:B7">
    <cfRule type="colorScale" priority="12">
      <colorScale>
        <cfvo type="min"/>
        <cfvo type="percentile" val="50"/>
        <cfvo type="max"/>
        <color rgb="FFF8696B"/>
        <color rgb="FFFFEB84"/>
        <color rgb="FF63BE7B"/>
      </colorScale>
    </cfRule>
  </conditionalFormatting>
  <conditionalFormatting pivot="1" sqref="B20:B23">
    <cfRule type="colorScale" priority="8">
      <colorScale>
        <cfvo type="min"/>
        <cfvo type="percentile" val="50"/>
        <cfvo type="max"/>
        <color rgb="FFF8696B"/>
        <color rgb="FFFFEB84"/>
        <color rgb="FF63BE7B"/>
      </colorScale>
    </cfRule>
  </conditionalFormatting>
  <conditionalFormatting pivot="1" sqref="H4 H3 H5 H6 H7 H8 H9 H10 H11 H12 H13 H14">
    <cfRule type="dataBar" priority="7">
      <dataBar>
        <cfvo type="min"/>
        <cfvo type="max"/>
        <color rgb="FF638EC6"/>
      </dataBar>
      <extLst>
        <ext xmlns:x14="http://schemas.microsoft.com/office/spreadsheetml/2009/9/main" uri="{B025F937-C7B1-47D3-B67F-A62EFF666E3E}">
          <x14:id>{73AE4202-1D6F-4705-88F1-E29223D076E7}</x14:id>
        </ext>
      </extLst>
    </cfRule>
  </conditionalFormatting>
  <conditionalFormatting pivot="1" sqref="G18:G28">
    <cfRule type="colorScale" priority="6">
      <colorScale>
        <cfvo type="min"/>
        <cfvo type="percentile" val="50"/>
        <cfvo type="max"/>
        <color rgb="FFF8696B"/>
        <color rgb="FFFFEB84"/>
        <color rgb="FF63BE7B"/>
      </colorScale>
    </cfRule>
  </conditionalFormatting>
  <conditionalFormatting pivot="1" sqref="B28:B37">
    <cfRule type="dataBar" priority="4">
      <dataBar>
        <cfvo type="min"/>
        <cfvo type="max"/>
        <color rgb="FF638EC6"/>
      </dataBar>
      <extLst>
        <ext xmlns:x14="http://schemas.microsoft.com/office/spreadsheetml/2009/9/main" uri="{B025F937-C7B1-47D3-B67F-A62EFF666E3E}">
          <x14:id>{CEB892EB-1B70-47DE-A393-D1169DD6519E}</x14:id>
        </ext>
      </extLst>
    </cfRule>
  </conditionalFormatting>
  <conditionalFormatting pivot="1" sqref="B13:B15">
    <cfRule type="colorScale" priority="3">
      <colorScale>
        <cfvo type="min"/>
        <cfvo type="percentile" val="50"/>
        <cfvo type="max"/>
        <color rgb="FFF8696B"/>
        <color rgb="FFFFEB84"/>
        <color rgb="FF63BE7B"/>
      </colorScale>
    </cfRule>
  </conditionalFormatting>
  <conditionalFormatting pivot="1" sqref="J22:J25">
    <cfRule type="dataBar" priority="2">
      <dataBar>
        <cfvo type="min"/>
        <cfvo type="max"/>
        <color rgb="FF638EC6"/>
      </dataBar>
      <extLst>
        <ext xmlns:x14="http://schemas.microsoft.com/office/spreadsheetml/2009/9/main" uri="{B025F937-C7B1-47D3-B67F-A62EFF666E3E}">
          <x14:id>{BA3232A6-E00B-4381-ABE4-95AAA3DBFD2F}</x14:id>
        </ext>
      </extLst>
    </cfRule>
  </conditionalFormatting>
  <conditionalFormatting pivot="1" sqref="J31:J34">
    <cfRule type="colorScale" priority="1">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4E9884D-0ADA-47FE-968B-BF5CEDBEE08A}">
            <x14:dataBar minLength="0" maxLength="100" border="1" negativeBarBorderColorSameAsPositive="0">
              <x14:cfvo type="autoMin"/>
              <x14:cfvo type="autoMax"/>
              <x14:borderColor rgb="FF638EC6"/>
              <x14:negativeFillColor rgb="FFFF0000"/>
              <x14:negativeBorderColor rgb="FFFF0000"/>
              <x14:axisColor rgb="FF000000"/>
            </x14:dataBar>
          </x14:cfRule>
          <xm:sqref>B3</xm:sqref>
        </x14:conditionalFormatting>
        <x14:conditionalFormatting xmlns:xm="http://schemas.microsoft.com/office/excel/2006/main" pivot="1">
          <x14:cfRule type="dataBar" id="{73AE4202-1D6F-4705-88F1-E29223D076E7}">
            <x14:dataBar minLength="0" maxLength="100" border="1" negativeBarBorderColorSameAsPositive="0">
              <x14:cfvo type="autoMin"/>
              <x14:cfvo type="autoMax"/>
              <x14:borderColor rgb="FF638EC6"/>
              <x14:negativeFillColor rgb="FFFF0000"/>
              <x14:negativeBorderColor rgb="FFFF0000"/>
              <x14:axisColor rgb="FF000000"/>
            </x14:dataBar>
          </x14:cfRule>
          <xm:sqref>H4 H3 H5 H6 H7 H8 H9 H10 H11 H12 H13 H14</xm:sqref>
        </x14:conditionalFormatting>
        <x14:conditionalFormatting xmlns:xm="http://schemas.microsoft.com/office/excel/2006/main" pivot="1">
          <x14:cfRule type="dataBar" id="{CEB892EB-1B70-47DE-A393-D1169DD6519E}">
            <x14:dataBar minLength="0" maxLength="100" border="1" negativeBarBorderColorSameAsPositive="0">
              <x14:cfvo type="autoMin"/>
              <x14:cfvo type="autoMax"/>
              <x14:borderColor rgb="FF638EC6"/>
              <x14:negativeFillColor rgb="FFFF0000"/>
              <x14:negativeBorderColor rgb="FFFF0000"/>
              <x14:axisColor rgb="FF000000"/>
            </x14:dataBar>
          </x14:cfRule>
          <xm:sqref>B28:B37</xm:sqref>
        </x14:conditionalFormatting>
        <x14:conditionalFormatting xmlns:xm="http://schemas.microsoft.com/office/excel/2006/main" pivot="1">
          <x14:cfRule type="dataBar" id="{BA3232A6-E00B-4381-ABE4-95AAA3DBFD2F}">
            <x14:dataBar minLength="0" maxLength="100" border="1" negativeBarBorderColorSameAsPositive="0">
              <x14:cfvo type="autoMin"/>
              <x14:cfvo type="autoMax"/>
              <x14:borderColor rgb="FF638EC6"/>
              <x14:negativeFillColor rgb="FFFF0000"/>
              <x14:negativeBorderColor rgb="FFFF0000"/>
              <x14:axisColor rgb="FF000000"/>
            </x14:dataBar>
          </x14:cfRule>
          <xm:sqref>J22:J25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1"/>
  <sheetViews>
    <sheetView tabSelected="1" zoomScale="70" workbookViewId="0">
      <selection activeCell="W37" sqref="W37"/>
    </sheetView>
  </sheetViews>
  <sheetFormatPr defaultRowHeight="14.4" x14ac:dyDescent="0.3"/>
  <sheetData>
    <row r="1" spans="1:28" ht="14.4" customHeight="1" x14ac:dyDescent="0.3">
      <c r="A1" s="8" t="s">
        <v>51</v>
      </c>
      <c r="B1" s="8"/>
      <c r="C1" s="8"/>
      <c r="D1" s="8"/>
      <c r="E1" s="8"/>
      <c r="F1" s="8"/>
      <c r="G1" s="8"/>
      <c r="H1" s="8"/>
      <c r="I1" s="8"/>
      <c r="J1" s="8"/>
      <c r="K1" s="8"/>
      <c r="L1" s="8"/>
      <c r="M1" s="8"/>
      <c r="N1" s="8"/>
      <c r="O1" s="8"/>
      <c r="P1" s="8"/>
      <c r="Q1" s="8"/>
      <c r="R1" s="8"/>
      <c r="S1" s="8"/>
      <c r="T1" s="8"/>
      <c r="U1" s="8"/>
      <c r="V1" s="8"/>
      <c r="W1" s="8"/>
      <c r="X1" s="8"/>
      <c r="Y1" s="8"/>
      <c r="Z1" s="8"/>
      <c r="AA1" s="8"/>
      <c r="AB1" s="8"/>
    </row>
    <row r="2" spans="1:28" ht="14.4" customHeight="1" x14ac:dyDescent="0.3">
      <c r="A2" s="8"/>
      <c r="B2" s="8"/>
      <c r="C2" s="8"/>
      <c r="D2" s="8"/>
      <c r="E2" s="8"/>
      <c r="F2" s="8"/>
      <c r="G2" s="8"/>
      <c r="H2" s="8"/>
      <c r="I2" s="8"/>
      <c r="J2" s="8"/>
      <c r="K2" s="8"/>
      <c r="L2" s="8"/>
      <c r="M2" s="8"/>
      <c r="N2" s="8"/>
      <c r="O2" s="8"/>
      <c r="P2" s="8"/>
      <c r="Q2" s="8"/>
      <c r="R2" s="8"/>
      <c r="S2" s="8"/>
      <c r="T2" s="8"/>
      <c r="U2" s="8"/>
      <c r="V2" s="8"/>
      <c r="W2" s="8"/>
      <c r="X2" s="8"/>
      <c r="Y2" s="8"/>
      <c r="Z2" s="8"/>
      <c r="AA2" s="8"/>
      <c r="AB2" s="8"/>
    </row>
    <row r="3" spans="1:28" ht="14.4" customHeight="1" x14ac:dyDescent="0.3">
      <c r="A3" s="8"/>
      <c r="B3" s="8"/>
      <c r="C3" s="8"/>
      <c r="D3" s="8"/>
      <c r="E3" s="8"/>
      <c r="F3" s="8"/>
      <c r="G3" s="8"/>
      <c r="H3" s="8"/>
      <c r="I3" s="8"/>
      <c r="J3" s="8"/>
      <c r="K3" s="8"/>
      <c r="L3" s="8"/>
      <c r="M3" s="8"/>
      <c r="N3" s="8"/>
      <c r="O3" s="8"/>
      <c r="P3" s="8"/>
      <c r="Q3" s="8"/>
      <c r="R3" s="8"/>
      <c r="S3" s="8"/>
      <c r="T3" s="8"/>
      <c r="U3" s="8"/>
      <c r="V3" s="8"/>
      <c r="W3" s="8"/>
      <c r="X3" s="8"/>
      <c r="Y3" s="8"/>
      <c r="Z3" s="8"/>
      <c r="AA3" s="8"/>
      <c r="AB3" s="8"/>
    </row>
    <row r="4" spans="1:28" ht="14.4" customHeight="1" x14ac:dyDescent="0.3">
      <c r="A4" s="8"/>
      <c r="B4" s="8"/>
      <c r="C4" s="8"/>
      <c r="D4" s="8"/>
      <c r="E4" s="8"/>
      <c r="F4" s="8"/>
      <c r="G4" s="8"/>
      <c r="H4" s="8"/>
      <c r="I4" s="8"/>
      <c r="J4" s="8"/>
      <c r="K4" s="8"/>
      <c r="L4" s="8"/>
      <c r="M4" s="8"/>
      <c r="N4" s="8"/>
      <c r="O4" s="8"/>
      <c r="P4" s="8"/>
      <c r="Q4" s="8"/>
      <c r="R4" s="8"/>
      <c r="S4" s="8"/>
      <c r="T4" s="8"/>
      <c r="U4" s="8"/>
      <c r="V4" s="8"/>
      <c r="W4" s="8"/>
      <c r="X4" s="8"/>
      <c r="Y4" s="8"/>
      <c r="Z4" s="8"/>
      <c r="AA4" s="8"/>
      <c r="AB4" s="8"/>
    </row>
    <row r="5" spans="1:28" x14ac:dyDescent="0.3">
      <c r="A5" s="7"/>
      <c r="B5" s="7"/>
      <c r="C5" s="7"/>
      <c r="D5" s="7"/>
      <c r="E5" s="7"/>
      <c r="F5" s="7"/>
      <c r="G5" s="7"/>
      <c r="H5" s="7"/>
      <c r="I5" s="7"/>
      <c r="J5" s="7"/>
      <c r="K5" s="7"/>
      <c r="L5" s="7"/>
      <c r="M5" s="7"/>
      <c r="N5" s="7"/>
      <c r="O5" s="7"/>
      <c r="P5" s="7"/>
      <c r="Q5" s="7"/>
      <c r="R5" s="7"/>
      <c r="S5" s="7"/>
      <c r="T5" s="7"/>
      <c r="U5" s="7"/>
      <c r="V5" s="7"/>
      <c r="W5" s="7"/>
      <c r="X5" s="7"/>
      <c r="Y5" s="7"/>
      <c r="Z5" s="7"/>
      <c r="AA5" s="7"/>
      <c r="AB5" s="7"/>
    </row>
    <row r="6" spans="1:28" x14ac:dyDescent="0.3">
      <c r="A6" s="7"/>
      <c r="B6" s="7"/>
      <c r="C6" s="7"/>
      <c r="D6" s="7"/>
      <c r="E6" s="7"/>
      <c r="F6" s="7"/>
      <c r="G6" s="7"/>
      <c r="H6" s="7"/>
      <c r="I6" s="7"/>
      <c r="J6" s="7"/>
      <c r="K6" s="7"/>
      <c r="L6" s="7"/>
      <c r="M6" s="7"/>
      <c r="N6" s="7"/>
      <c r="O6" s="7"/>
      <c r="P6" s="7"/>
      <c r="Q6" s="7"/>
      <c r="R6" s="7"/>
      <c r="S6" s="7"/>
      <c r="T6" s="7"/>
      <c r="U6" s="7"/>
      <c r="V6" s="7"/>
      <c r="W6" s="7"/>
      <c r="X6" s="7"/>
      <c r="Y6" s="7"/>
      <c r="Z6" s="7"/>
      <c r="AA6" s="7"/>
      <c r="AB6" s="7"/>
    </row>
    <row r="7" spans="1:28" x14ac:dyDescent="0.3">
      <c r="A7" s="7"/>
      <c r="B7" s="7"/>
      <c r="C7" s="7"/>
      <c r="D7" s="7"/>
      <c r="E7" s="7"/>
      <c r="F7" s="7"/>
      <c r="G7" s="7"/>
      <c r="H7" s="7"/>
      <c r="I7" s="7"/>
      <c r="J7" s="7"/>
      <c r="K7" s="7"/>
      <c r="L7" s="7"/>
      <c r="M7" s="7"/>
      <c r="N7" s="7"/>
      <c r="O7" s="7"/>
      <c r="P7" s="7"/>
      <c r="Q7" s="7"/>
      <c r="R7" s="7"/>
      <c r="S7" s="7"/>
      <c r="T7" s="7"/>
      <c r="U7" s="7"/>
      <c r="V7" s="7"/>
      <c r="W7" s="7"/>
      <c r="X7" s="7"/>
      <c r="Y7" s="7"/>
      <c r="Z7" s="7"/>
      <c r="AA7" s="7"/>
      <c r="AB7" s="7"/>
    </row>
    <row r="8" spans="1:28" x14ac:dyDescent="0.3">
      <c r="A8" s="7"/>
      <c r="B8" s="7"/>
      <c r="C8" s="7"/>
      <c r="D8" s="7"/>
      <c r="E8" s="7"/>
      <c r="F8" s="7"/>
      <c r="G8" s="7"/>
      <c r="H8" s="7"/>
      <c r="I8" s="7"/>
      <c r="J8" s="7"/>
      <c r="K8" s="7"/>
      <c r="L8" s="7"/>
      <c r="M8" s="7"/>
      <c r="N8" s="7"/>
      <c r="O8" s="7"/>
      <c r="P8" s="7"/>
      <c r="Q8" s="7"/>
      <c r="R8" s="7"/>
      <c r="S8" s="7"/>
      <c r="T8" s="7"/>
      <c r="U8" s="7"/>
      <c r="V8" s="7"/>
      <c r="W8" s="7"/>
      <c r="X8" s="7"/>
      <c r="Y8" s="7"/>
      <c r="Z8" s="7"/>
      <c r="AA8" s="7"/>
      <c r="AB8" s="7"/>
    </row>
    <row r="9" spans="1:28" x14ac:dyDescent="0.3">
      <c r="A9" s="7"/>
      <c r="B9" s="7"/>
      <c r="C9" s="7"/>
      <c r="D9" s="7"/>
      <c r="E9" s="7"/>
      <c r="F9" s="7"/>
      <c r="G9" s="7"/>
      <c r="H9" s="7"/>
      <c r="I9" s="7"/>
      <c r="J9" s="7"/>
      <c r="K9" s="7"/>
      <c r="L9" s="7"/>
      <c r="M9" s="7"/>
      <c r="N9" s="7"/>
      <c r="O9" s="7"/>
      <c r="P9" s="7"/>
      <c r="Q9" s="7"/>
      <c r="R9" s="7"/>
      <c r="S9" s="7"/>
      <c r="T9" s="7"/>
      <c r="U9" s="7"/>
      <c r="V9" s="7"/>
      <c r="W9" s="7"/>
      <c r="X9" s="7"/>
      <c r="Y9" s="7"/>
      <c r="Z9" s="7"/>
      <c r="AA9" s="7"/>
      <c r="AB9" s="7"/>
    </row>
    <row r="10" spans="1:28"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row>
    <row r="11" spans="1:28"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row>
    <row r="12" spans="1:28"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row>
    <row r="13" spans="1:28"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row>
    <row r="14" spans="1:28"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row>
    <row r="15" spans="1:28"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row>
    <row r="16" spans="1:28"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row>
    <row r="17" spans="1:28"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row>
    <row r="18" spans="1:28"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row>
    <row r="19" spans="1:28"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row>
    <row r="20" spans="1:28"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row>
    <row r="21" spans="1:28"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row>
    <row r="22" spans="1:28"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row>
    <row r="23" spans="1:28"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1:28"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1:28"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1:28"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1:28"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1:28"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1:28"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1:28"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1:28"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row>
  </sheetData>
  <mergeCells count="2">
    <mergeCell ref="A1:AB4"/>
    <mergeCell ref="A5:AB3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2026-08-08T12:57:58Z</dcterms:created>
  <dcterms:modified xsi:type="dcterms:W3CDTF">2026-08-08T15:55:05Z</dcterms:modified>
</cp:coreProperties>
</file>